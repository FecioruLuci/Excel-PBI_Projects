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Program Files (x86)\vcodestuff\EXCEL\HR_Analytics_Dashboard\"/>
    </mc:Choice>
  </mc:AlternateContent>
  <xr:revisionPtr revIDLastSave="0" documentId="13_ncr:1_{05245120-A3F0-4373-B100-B30B6345C11A}" xr6:coauthVersionLast="47" xr6:coauthVersionMax="47" xr10:uidLastSave="{00000000-0000-0000-0000-000000000000}"/>
  <bookViews>
    <workbookView xWindow="-108" yWindow="-108" windowWidth="23256" windowHeight="12456" activeTab="2" xr2:uid="{00000000-000D-0000-FFFF-FFFF00000000}"/>
  </bookViews>
  <sheets>
    <sheet name="dESIGN" sheetId="7" r:id="rId1"/>
    <sheet name="Data" sheetId="1" r:id="rId2"/>
    <sheet name="DASHBOARD" sheetId="8" r:id="rId3"/>
    <sheet name="Images" sheetId="2" r:id="rId4"/>
    <sheet name="Background 1" sheetId="3" r:id="rId5"/>
    <sheet name="Background 2" sheetId="4" r:id="rId6"/>
    <sheet name="Background 3" sheetId="5" r:id="rId7"/>
    <sheet name="Background 4" sheetId="6" r:id="rId8"/>
  </sheets>
  <definedNames>
    <definedName name="_xlchart.v1.0" hidden="1">dESIGN!$D$89:$D$97</definedName>
    <definedName name="_xlchart.v1.1" hidden="1">dESIGN!$E$89:$E$97</definedName>
    <definedName name="_xlchart.v1.4" hidden="1">dESIGN!$D$89:$D$97</definedName>
    <definedName name="_xlchart.v1.5" hidden="1">dESIGN!$E$89:$E$97</definedName>
    <definedName name="_xlchart.v2.2" hidden="1">dESIGN!$D$145:$D$147</definedName>
    <definedName name="_xlchart.v2.3" hidden="1">dESIGN!$E$145:$E$147</definedName>
    <definedName name="_xlchart.v2.6" hidden="1">dESIGN!$D$145:$D$147</definedName>
    <definedName name="_xlchart.v2.7" hidden="1">dESIGN!$E$145:$E$147</definedName>
    <definedName name="_xlchart.v2.8" hidden="1">dESIGN!$D$145:$D$147</definedName>
    <definedName name="_xlchart.v2.9" hidden="1">dESIGN!$E$145:$E$147</definedName>
    <definedName name="Slicer_Department">#N/A</definedName>
    <definedName name="Slicer_Education_Field">#N/A</definedName>
    <definedName name="Slicer_Gender">#N/A</definedName>
  </definedNames>
  <calcPr calcId="191029"/>
  <pivotCaches>
    <pivotCache cacheId="7"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0W7NtiAel2xy0cZdwUBcRsMoEuXg6pzXui43o1bypBA="/>
    </ext>
  </extLst>
</workbook>
</file>

<file path=xl/calcChain.xml><?xml version="1.0" encoding="utf-8"?>
<calcChain xmlns="http://schemas.openxmlformats.org/spreadsheetml/2006/main">
  <c r="D146" i="7" l="1"/>
  <c r="D145" i="7"/>
  <c r="D147" i="7"/>
  <c r="E145" i="7"/>
  <c r="E146" i="7"/>
  <c r="E147" i="7"/>
  <c r="E90" i="7"/>
  <c r="E91" i="7"/>
  <c r="E92" i="7"/>
  <c r="E93" i="7"/>
  <c r="E94" i="7"/>
  <c r="E95" i="7"/>
  <c r="E96" i="7"/>
  <c r="E97" i="7"/>
  <c r="E89" i="7"/>
  <c r="E59" i="7"/>
  <c r="D59" i="7"/>
  <c r="D31" i="7"/>
  <c r="G59" i="7" l="1"/>
  <c r="F59" i="7"/>
  <c r="E31" i="7"/>
  <c r="D32" i="7"/>
  <c r="E32" i="7" s="1"/>
  <c r="D15" i="7"/>
  <c r="D9" i="7"/>
  <c r="D3" i="7"/>
  <c r="D23" i="7" l="1"/>
  <c r="D20" i="7"/>
</calcChain>
</file>

<file path=xl/sharedStrings.xml><?xml version="1.0" encoding="utf-8"?>
<sst xmlns="http://schemas.openxmlformats.org/spreadsheetml/2006/main" count="19235" uniqueCount="1578">
  <si>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</si>
  <si>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</si>
  <si>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</si>
  <si>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</si>
  <si>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</si>
  <si>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</si>
  <si>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</si>
  <si>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</si>
  <si>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</si>
  <si>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</si>
  <si>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</si>
  <si>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</si>
  <si>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</si>
  <si>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</si>
  <si>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</si>
  <si>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</si>
  <si>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</si>
  <si>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</si>
  <si>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</si>
  <si>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</si>
  <si>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</si>
  <si>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</si>
  <si>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</si>
  <si>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</si>
  <si>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</si>
  <si>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</si>
  <si>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</si>
  <si>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</si>
  <si>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</si>
  <si>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</si>
  <si>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</si>
  <si>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</si>
  <si>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</si>
  <si>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</si>
  <si>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</si>
  <si>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</si>
  <si>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</si>
  <si>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</si>
  <si>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</si>
  <si>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</si>
  <si>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</si>
  <si>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</si>
  <si>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</si>
  <si>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</si>
  <si>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</si>
  <si>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</si>
  <si>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</si>
  <si>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</si>
  <si>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</si>
  <si>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</si>
  <si>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</si>
  <si>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</si>
  <si>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</si>
  <si>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</si>
  <si>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</si>
  <si>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</si>
  <si>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</si>
  <si>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</si>
  <si>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</si>
  <si>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</si>
  <si>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</si>
  <si>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</si>
  <si>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</si>
  <si>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</si>
  <si>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</si>
  <si>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</si>
  <si>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</si>
  <si>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</si>
  <si>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</si>
  <si>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</si>
  <si>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</si>
  <si>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</si>
  <si>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</si>
  <si>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</si>
  <si>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</si>
  <si>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</si>
  <si>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</si>
  <si>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</si>
  <si>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</si>
  <si>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</si>
  <si>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</si>
  <si>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</si>
  <si>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</si>
  <si>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</si>
  <si>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</si>
  <si>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</si>
  <si>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</si>
  <si>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</si>
  <si>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</si>
  <si>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</si>
  <si>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</si>
  <si>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</si>
  <si>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</si>
  <si>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</si>
  <si>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</si>
  <si>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</si>
  <si>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</si>
  <si>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</si>
  <si>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</si>
  <si>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</si>
  <si>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</si>
  <si>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</si>
  <si>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</si>
  <si>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</si>
  <si>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</si>
  <si>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</si>
  <si>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</si>
  <si>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</si>
  <si>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</si>
  <si>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</si>
  <si>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</si>
  <si>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</si>
  <si>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</si>
  <si>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</si>
  <si>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</si>
  <si>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</si>
  <si>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</si>
  <si>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</si>
  <si>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</si>
  <si>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</si>
  <si>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</si>
  <si>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</si>
  <si>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</si>
  <si>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</si>
  <si>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</si>
  <si>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</si>
  <si>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</si>
  <si>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</si>
  <si>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</si>
  <si>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</si>
  <si>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</si>
  <si>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</si>
  <si>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</si>
  <si>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</si>
  <si>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</si>
  <si>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</si>
  <si>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</si>
  <si>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</si>
  <si>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</si>
  <si>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</si>
  <si>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</si>
  <si>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</si>
  <si>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</si>
  <si>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</si>
  <si>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</si>
  <si>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</si>
  <si>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</si>
  <si>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</si>
  <si>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</si>
  <si>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</si>
  <si>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</si>
  <si>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</si>
  <si>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</si>
  <si>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</si>
  <si>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</si>
  <si>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</si>
  <si>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</si>
  <si>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</si>
  <si>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</si>
  <si>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</si>
  <si>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</si>
  <si>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</si>
  <si>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</si>
  <si>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</si>
  <si>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</si>
  <si>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</si>
  <si>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</si>
  <si>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</si>
  <si>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</si>
  <si>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</si>
  <si>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</si>
  <si>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</si>
  <si>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</si>
  <si>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</si>
  <si>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</si>
  <si>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</si>
  <si>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</si>
  <si>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</si>
  <si>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</si>
  <si>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</si>
  <si>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</si>
  <si>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</si>
  <si>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</si>
  <si>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</si>
  <si>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</si>
  <si>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</si>
  <si>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</si>
  <si>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</si>
  <si>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</si>
  <si>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</si>
  <si>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</si>
  <si>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</si>
  <si>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</si>
  <si>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</si>
  <si>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</si>
  <si>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</si>
  <si>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</si>
  <si>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</si>
  <si>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</si>
  <si>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</si>
  <si>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</si>
  <si>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</si>
  <si>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</si>
  <si>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</si>
  <si>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</si>
  <si>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</si>
  <si>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</si>
  <si>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</si>
  <si>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</si>
  <si>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</si>
  <si>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</si>
  <si>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</si>
  <si>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</si>
  <si>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</si>
  <si>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</si>
  <si>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</si>
  <si>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</si>
  <si>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</si>
  <si>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</si>
  <si>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</si>
  <si>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</si>
  <si>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</si>
  <si>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</si>
  <si>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</si>
  <si>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</si>
  <si>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</si>
  <si>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</si>
  <si>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</si>
  <si>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</si>
  <si>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</si>
  <si>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</si>
  <si>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</si>
  <si>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</si>
  <si>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</si>
  <si>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</si>
  <si>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</si>
  <si>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</si>
  <si>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</si>
  <si>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</si>
  <si>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</si>
  <si>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</si>
  <si>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</si>
  <si>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</si>
  <si>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</si>
  <si>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</si>
  <si>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</si>
  <si>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</si>
  <si>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</si>
  <si>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</si>
  <si>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</si>
  <si>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</si>
  <si>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</si>
  <si>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</si>
  <si>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</si>
  <si>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</si>
  <si>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</si>
  <si>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</si>
  <si>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</si>
  <si>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</si>
  <si>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</si>
  <si>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</si>
  <si>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</si>
  <si>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</si>
  <si>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</si>
  <si>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</si>
  <si>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</si>
  <si>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</si>
  <si>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</si>
  <si>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</si>
  <si>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</si>
  <si>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</si>
  <si>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</si>
  <si>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</si>
  <si>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</si>
  <si>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</si>
  <si>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</si>
  <si>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</si>
  <si>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</si>
  <si>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</si>
  <si>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</si>
  <si>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</si>
  <si>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</si>
  <si>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</si>
  <si>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</si>
  <si>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</si>
  <si>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</si>
  <si>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</si>
  <si>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</si>
  <si>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</si>
  <si>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</si>
  <si>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</si>
  <si>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</si>
  <si>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</si>
  <si>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</si>
  <si>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</si>
  <si>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</si>
  <si>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</si>
  <si>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</si>
  <si>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</si>
  <si>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</si>
  <si>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</si>
  <si>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</si>
  <si>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</si>
  <si>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</si>
  <si>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</si>
  <si>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</si>
  <si>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</si>
  <si>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</si>
  <si>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</si>
  <si>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</si>
  <si>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</si>
  <si>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</si>
  <si>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</si>
  <si>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</si>
  <si>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</si>
  <si>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</si>
  <si>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</si>
  <si>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</si>
  <si>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</si>
  <si>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</si>
  <si>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</si>
  <si>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</si>
  <si>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</si>
  <si>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</si>
  <si>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</si>
  <si>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</si>
  <si>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</si>
  <si>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</si>
  <si>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</si>
  <si>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</si>
  <si>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</si>
  <si>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</si>
  <si>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</si>
  <si>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</si>
  <si>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</si>
  <si>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</si>
  <si>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</si>
  <si>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</si>
  <si>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</si>
  <si>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</si>
  <si>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</si>
  <si>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</si>
  <si>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</si>
  <si>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</si>
  <si>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</si>
  <si>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</si>
  <si>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</si>
  <si>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</si>
  <si>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</si>
  <si>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</si>
  <si>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</si>
  <si>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</si>
  <si>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</si>
  <si>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</si>
  <si>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</si>
  <si>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</si>
  <si>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</si>
  <si>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</si>
  <si>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</si>
  <si>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</si>
  <si>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</si>
  <si>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</si>
  <si>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</si>
  <si>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</si>
  <si>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</si>
  <si>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</si>
  <si>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</si>
  <si>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</si>
  <si>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</si>
  <si>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</si>
  <si>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</si>
  <si>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</si>
  <si>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</si>
  <si>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</si>
  <si>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</si>
  <si>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</si>
  <si>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</si>
  <si>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</si>
  <si>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</si>
  <si>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</si>
  <si>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</si>
  <si>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</si>
  <si>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</si>
  <si>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</si>
  <si>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</si>
  <si>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</si>
  <si>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</si>
  <si>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</si>
  <si>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</si>
  <si>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</si>
  <si>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</si>
  <si>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</si>
  <si>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</si>
  <si>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</si>
  <si>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</si>
  <si>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</si>
  <si>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</si>
  <si>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</si>
  <si>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</si>
  <si>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</si>
  <si>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</si>
  <si>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</si>
  <si>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</si>
  <si>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</si>
  <si>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</si>
  <si>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</si>
  <si>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</si>
  <si>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</si>
  <si>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</si>
  <si>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</si>
  <si>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</si>
  <si>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</si>
  <si>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</si>
  <si>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</si>
  <si>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</si>
  <si>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</si>
  <si>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</si>
  <si>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</si>
  <si>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</si>
  <si>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</si>
  <si>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</si>
  <si>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</si>
  <si>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</si>
  <si>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</si>
  <si>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</si>
  <si>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</si>
  <si>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</si>
  <si>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</si>
  <si>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</si>
  <si>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</si>
  <si>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</si>
  <si>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</si>
  <si>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</si>
  <si>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</si>
  <si>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</si>
  <si>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</si>
  <si>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</si>
  <si>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</si>
  <si>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</si>
  <si>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</si>
  <si>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</si>
  <si>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</si>
  <si>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</si>
  <si>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</si>
  <si>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</si>
  <si>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</si>
  <si>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</si>
  <si>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</si>
  <si>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</si>
  <si>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</si>
  <si>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</si>
  <si>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</si>
  <si>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</si>
  <si>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</si>
  <si>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</si>
  <si>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</si>
  <si>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</si>
  <si>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</si>
  <si>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</si>
  <si>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</si>
  <si>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</si>
  <si>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</si>
  <si>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</si>
  <si>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</si>
  <si>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</si>
  <si>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</si>
  <si>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</si>
  <si>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</si>
  <si>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</si>
  <si>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</si>
  <si>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</si>
  <si>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</si>
  <si>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</si>
  <si>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</si>
  <si>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</si>
  <si>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</si>
  <si>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</si>
  <si>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</si>
  <si>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</si>
  <si>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</si>
  <si>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</si>
  <si>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</si>
  <si>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</si>
  <si>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</si>
  <si>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</si>
  <si>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</si>
  <si>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</si>
  <si>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</si>
  <si>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</si>
  <si>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</si>
  <si>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</si>
  <si>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</si>
  <si>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</si>
  <si>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</si>
  <si>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</si>
  <si>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</si>
  <si>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</si>
  <si>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</si>
  <si>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</si>
  <si>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</si>
  <si>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</si>
  <si>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</si>
  <si>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</si>
  <si>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</si>
  <si>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</si>
  <si>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</si>
  <si>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</si>
  <si>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</si>
  <si>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</si>
  <si>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</si>
  <si>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</si>
  <si>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</si>
  <si>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</si>
  <si>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</si>
  <si>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</si>
  <si>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</si>
  <si>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</si>
  <si>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</si>
  <si>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</si>
  <si>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</si>
  <si>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</si>
  <si>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</si>
  <si>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</si>
  <si>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</si>
  <si>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</si>
  <si>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</si>
  <si>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</si>
  <si>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</si>
  <si>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</si>
  <si>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</si>
  <si>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</si>
  <si>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</si>
  <si>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</si>
  <si>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</si>
  <si>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</si>
  <si>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</si>
  <si>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</si>
  <si>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</si>
  <si>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</si>
  <si>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</si>
  <si>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</si>
  <si>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</si>
  <si>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</si>
  <si>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</si>
  <si>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</si>
  <si>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</si>
  <si>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</si>
  <si>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</si>
  <si>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</si>
  <si>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</si>
  <si>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</si>
  <si>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</si>
  <si>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</si>
  <si>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</si>
  <si>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</si>
  <si>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</si>
  <si>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</si>
  <si>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</si>
  <si>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</si>
  <si>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</si>
  <si>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</si>
  <si>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</si>
  <si>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</si>
  <si>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</si>
  <si>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</si>
  <si>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</si>
  <si>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</si>
  <si>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</si>
  <si>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</si>
  <si>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</si>
  <si>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</si>
  <si>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</si>
  <si>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</si>
  <si>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</si>
  <si>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</si>
  <si>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</si>
  <si>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</si>
  <si>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</si>
  <si>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</si>
  <si>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</si>
  <si>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</si>
  <si>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</si>
  <si>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</si>
  <si>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</si>
  <si>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</si>
  <si>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</si>
  <si>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</si>
  <si>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</si>
  <si>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</si>
  <si>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</si>
  <si>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</si>
  <si>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</si>
  <si>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</si>
  <si>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</si>
  <si>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</si>
  <si>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</si>
  <si>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</si>
  <si>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</si>
  <si>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</si>
  <si>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</si>
  <si>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</si>
  <si>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</si>
  <si>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</si>
  <si>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</si>
  <si>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</si>
  <si>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</si>
  <si>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</si>
  <si>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</si>
  <si>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</si>
  <si>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</si>
  <si>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</si>
  <si>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</si>
  <si>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</si>
  <si>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</si>
  <si>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</si>
  <si>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</si>
  <si>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</si>
  <si>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</si>
  <si>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</si>
  <si>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</si>
  <si>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</si>
  <si>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</si>
  <si>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</si>
  <si>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</si>
  <si>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</si>
  <si>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</si>
  <si>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</si>
  <si>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</si>
  <si>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</si>
  <si>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</si>
  <si>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</si>
  <si>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</si>
  <si>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</si>
  <si>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</si>
  <si>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</si>
  <si>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</si>
  <si>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</si>
  <si>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</si>
  <si>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</si>
  <si>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</si>
  <si>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</si>
  <si>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</si>
  <si>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</si>
  <si>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</si>
  <si>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</si>
  <si>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</si>
  <si>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</si>
  <si>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</si>
  <si>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</si>
  <si>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</si>
  <si>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</si>
  <si>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</si>
  <si>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</si>
  <si>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</si>
  <si>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</si>
  <si>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</si>
  <si>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</si>
  <si>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</si>
  <si>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</si>
  <si>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</si>
  <si>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</si>
  <si>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</si>
  <si>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</si>
  <si>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</si>
  <si>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</si>
  <si>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</si>
  <si>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</si>
  <si>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</si>
  <si>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</si>
  <si>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</si>
  <si>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</si>
  <si>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</si>
  <si>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</si>
  <si>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</si>
  <si>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</si>
  <si>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</si>
  <si>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</si>
  <si>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</si>
  <si>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</si>
  <si>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</si>
  <si>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</si>
  <si>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</si>
  <si>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</si>
  <si>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</si>
  <si>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</si>
  <si>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</si>
  <si>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</si>
  <si>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</si>
  <si>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</si>
  <si>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</si>
  <si>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</si>
  <si>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</si>
  <si>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</si>
  <si>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</si>
  <si>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</si>
  <si>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</si>
  <si>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</si>
  <si>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</si>
  <si>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</si>
  <si>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</si>
  <si>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</si>
  <si>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</si>
  <si>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</si>
  <si>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</si>
  <si>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</si>
  <si>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</si>
  <si>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</si>
  <si>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</si>
  <si>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</si>
  <si>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</si>
  <si>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</si>
  <si>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</si>
  <si>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</si>
  <si>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</si>
  <si>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</si>
  <si>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</si>
  <si>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</si>
  <si>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</si>
  <si>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</si>
  <si>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</si>
  <si>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</si>
  <si>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</si>
  <si>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</si>
  <si>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</si>
  <si>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</si>
  <si>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</si>
  <si>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</si>
  <si>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</si>
  <si>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</si>
  <si>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</si>
  <si>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</si>
  <si>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</si>
  <si>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</si>
  <si>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</si>
  <si>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</si>
  <si>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</si>
  <si>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</si>
  <si>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</si>
  <si>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</si>
  <si>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</si>
  <si>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</si>
  <si>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</si>
  <si>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</si>
  <si>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</si>
  <si>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</si>
  <si>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</si>
  <si>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</si>
  <si>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</si>
  <si>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</si>
  <si>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</si>
  <si>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</si>
  <si>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</si>
  <si>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</si>
  <si>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</si>
  <si>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</si>
  <si>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</si>
  <si>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</si>
  <si>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</si>
  <si>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</si>
  <si>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</si>
  <si>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</si>
  <si>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</si>
  <si>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</si>
  <si>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</si>
  <si>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</si>
  <si>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</si>
  <si>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</si>
  <si>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</si>
  <si>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</si>
  <si>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</si>
  <si>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</si>
  <si>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</si>
  <si>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</si>
  <si>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</si>
  <si>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</si>
  <si>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</si>
  <si>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</si>
  <si>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</si>
  <si>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</si>
  <si>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</si>
  <si>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</si>
  <si>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</si>
  <si>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</si>
  <si>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</si>
  <si>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</si>
  <si>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</si>
  <si>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</si>
  <si>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</si>
  <si>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</si>
  <si>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</si>
  <si>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</si>
  <si>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</si>
  <si>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</si>
  <si>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</si>
  <si>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</si>
  <si>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</si>
  <si>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</si>
  <si>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</si>
  <si>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</si>
  <si>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</si>
  <si>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</si>
  <si>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</si>
  <si>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</si>
  <si>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</si>
  <si>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</si>
  <si>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</si>
  <si>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</si>
  <si>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</si>
  <si>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</si>
  <si>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</si>
  <si>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</si>
  <si>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</si>
  <si>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</si>
  <si>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</si>
  <si>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</si>
  <si>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</si>
  <si>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</si>
  <si>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</si>
  <si>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</si>
  <si>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</si>
  <si>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</si>
  <si>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</si>
  <si>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</si>
  <si>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</si>
  <si>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</si>
  <si>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</si>
  <si>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</si>
  <si>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</si>
  <si>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</si>
  <si>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</si>
  <si>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</si>
  <si>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</si>
  <si>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</si>
  <si>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</si>
  <si>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</si>
  <si>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</si>
  <si>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</si>
  <si>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</si>
  <si>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</si>
  <si>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</si>
  <si>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</si>
  <si>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</si>
  <si>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</si>
  <si>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</si>
  <si>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</si>
  <si>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</si>
  <si>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</si>
  <si>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</si>
  <si>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</si>
  <si>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</si>
  <si>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</si>
  <si>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</si>
  <si>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</si>
  <si>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</si>
  <si>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</si>
  <si>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</si>
  <si>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</si>
  <si>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</si>
  <si>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</si>
  <si>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</si>
  <si>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</si>
  <si>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</si>
  <si>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</si>
  <si>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</si>
  <si>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</si>
  <si>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</si>
  <si>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</si>
  <si>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</si>
  <si>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</si>
  <si>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</si>
  <si>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</si>
  <si>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</si>
  <si>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</si>
  <si>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</si>
  <si>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</si>
  <si>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</si>
  <si>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</si>
  <si>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</si>
  <si>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</si>
  <si>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</si>
  <si>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</si>
  <si>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</si>
  <si>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</si>
  <si>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</si>
  <si>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</si>
  <si>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</si>
  <si>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</si>
  <si>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</si>
  <si>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</si>
  <si>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</si>
  <si>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</si>
  <si>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</si>
  <si>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</si>
  <si>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</si>
  <si>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</si>
  <si>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</si>
  <si>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</si>
  <si>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</si>
  <si>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</si>
  <si>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</si>
  <si>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</si>
  <si>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</si>
  <si>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</si>
  <si>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</si>
  <si>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</si>
  <si>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</si>
  <si>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</si>
  <si>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</si>
  <si>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</si>
  <si>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</si>
  <si>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</si>
  <si>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</si>
  <si>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</si>
  <si>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</si>
  <si>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</si>
  <si>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</si>
  <si>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</si>
  <si>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</si>
  <si>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</si>
  <si>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</si>
  <si>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</si>
  <si>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</si>
  <si>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</si>
  <si>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</si>
  <si>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</si>
  <si>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</si>
  <si>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</si>
  <si>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</si>
  <si>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</si>
  <si>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</si>
  <si>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</si>
  <si>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</si>
  <si>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</si>
  <si>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</si>
  <si>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</si>
  <si>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</si>
  <si>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</si>
  <si>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</si>
  <si>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</si>
  <si>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</si>
  <si>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</si>
  <si>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</si>
  <si>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</si>
  <si>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</si>
  <si>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</si>
  <si>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</si>
  <si>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</si>
  <si>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</si>
  <si>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</si>
  <si>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</si>
  <si>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</si>
  <si>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</si>
  <si>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</si>
  <si>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</si>
  <si>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</si>
  <si>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</si>
  <si>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</si>
  <si>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</si>
  <si>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</si>
  <si>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</si>
  <si>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</si>
  <si>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</si>
  <si>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</si>
  <si>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</si>
  <si>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</si>
  <si>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</si>
  <si>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</si>
  <si>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</si>
  <si>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</si>
  <si>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</si>
  <si>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</si>
  <si>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</si>
  <si>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</si>
  <si>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</si>
  <si>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</si>
  <si>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</si>
  <si>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</si>
  <si>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</si>
  <si>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</si>
  <si>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</si>
  <si>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</si>
  <si>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</si>
  <si>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</si>
  <si>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</si>
  <si>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</si>
  <si>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</si>
  <si>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</si>
  <si>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</si>
  <si>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</si>
  <si>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</si>
  <si>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</si>
  <si>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</si>
  <si>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</si>
  <si>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</si>
  <si>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</si>
  <si>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</si>
  <si>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</si>
  <si>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</si>
  <si>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</si>
  <si>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</si>
  <si>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</si>
  <si>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</si>
  <si>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</si>
  <si>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</si>
  <si>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</si>
  <si>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</si>
  <si>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</si>
  <si>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</si>
  <si>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</si>
  <si>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</si>
  <si>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</si>
  <si>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</si>
  <si>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</si>
  <si>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</si>
  <si>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</si>
  <si>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</si>
  <si>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</si>
  <si>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</si>
  <si>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</si>
  <si>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</si>
  <si>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</si>
  <si>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</si>
  <si>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</si>
  <si>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</si>
  <si>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</si>
  <si>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</si>
  <si>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</si>
  <si>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</si>
  <si>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</si>
  <si>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</si>
  <si>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</si>
  <si>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</si>
  <si>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</si>
  <si>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</si>
  <si>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</si>
  <si>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</si>
  <si>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</si>
  <si>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</si>
  <si>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</si>
  <si>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</si>
  <si>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</si>
  <si>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</si>
  <si>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</si>
  <si>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</si>
  <si>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</si>
  <si>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</si>
  <si>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</si>
  <si>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</si>
  <si>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</si>
  <si>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</si>
  <si>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</si>
  <si>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</si>
  <si>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</si>
  <si>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</si>
  <si>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</si>
  <si>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</si>
  <si>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</si>
  <si>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</si>
  <si>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</si>
  <si>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</si>
  <si>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</si>
  <si>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</si>
  <si>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</si>
  <si>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</si>
  <si>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</si>
  <si>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</si>
  <si>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</si>
  <si>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</si>
  <si>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</si>
  <si>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</si>
  <si>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</si>
  <si>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</si>
  <si>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</si>
  <si>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</si>
  <si>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</si>
  <si>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</si>
  <si>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</si>
  <si>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</si>
  <si>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</si>
  <si>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</si>
  <si>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</si>
  <si>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</si>
  <si>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</si>
  <si>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</si>
  <si>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</si>
  <si>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</si>
  <si>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</si>
  <si>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</si>
  <si>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</si>
  <si>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</si>
  <si>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</si>
  <si>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</si>
  <si>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</si>
  <si>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</si>
  <si>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</si>
  <si>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</si>
  <si>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</si>
  <si>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</si>
  <si>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</si>
  <si>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</si>
  <si>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</si>
  <si>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</si>
  <si>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</si>
  <si>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</si>
  <si>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</si>
  <si>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</si>
  <si>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</si>
  <si>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</si>
  <si>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</si>
  <si>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</si>
  <si>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</si>
  <si>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</si>
  <si>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</si>
  <si>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</si>
  <si>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</si>
  <si>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</si>
  <si>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</si>
  <si>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</si>
  <si>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</si>
  <si>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</si>
  <si>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</si>
  <si>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</si>
  <si>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</si>
  <si>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</si>
  <si>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</si>
  <si>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</si>
  <si>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</si>
  <si>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</si>
  <si>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</si>
  <si>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</si>
  <si>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</si>
  <si>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</si>
  <si>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</si>
  <si>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</si>
  <si>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</si>
  <si>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</si>
  <si>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</si>
  <si>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</si>
  <si>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</si>
  <si>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</si>
  <si>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</si>
  <si>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</si>
  <si>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</si>
  <si>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</si>
  <si>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</si>
  <si>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</si>
  <si>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</si>
  <si>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</si>
  <si>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</si>
  <si>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</si>
  <si>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</si>
  <si>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</si>
  <si>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</si>
  <si>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</si>
  <si>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</si>
  <si>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</si>
  <si>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</si>
  <si>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</si>
  <si>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</si>
  <si>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</si>
  <si>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</si>
  <si>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</si>
  <si>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</si>
  <si>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</si>
  <si>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</si>
  <si>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</si>
  <si>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</si>
  <si>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</si>
  <si>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</si>
  <si>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</si>
  <si>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</si>
  <si>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</si>
  <si>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</si>
  <si>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</si>
  <si>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</si>
  <si>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</si>
  <si>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</si>
  <si>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</si>
  <si>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</si>
  <si>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</si>
  <si>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</si>
  <si>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</si>
  <si>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</si>
  <si>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</si>
  <si>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</si>
  <si>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</si>
  <si>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</si>
  <si>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</si>
  <si>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</si>
  <si>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</si>
  <si>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</si>
  <si>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</si>
  <si>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</si>
  <si>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</si>
  <si>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</si>
  <si>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</si>
  <si>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</si>
  <si>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</si>
  <si>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</si>
  <si>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</si>
  <si>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</si>
  <si>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</si>
  <si>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</si>
  <si>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</si>
  <si>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</si>
  <si>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</si>
  <si>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</si>
  <si>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</si>
  <si>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</si>
  <si>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</si>
  <si>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</si>
  <si>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</si>
  <si>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</si>
  <si>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</si>
  <si>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</si>
  <si>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</si>
  <si>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</si>
  <si>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</si>
  <si>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</si>
  <si>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</si>
  <si>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</si>
  <si>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</si>
  <si>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</si>
  <si>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</si>
  <si>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</si>
  <si>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</si>
  <si>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</si>
  <si>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</si>
  <si>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</si>
  <si>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</si>
  <si>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</si>
  <si>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</si>
  <si>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</si>
  <si>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</si>
  <si>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</si>
  <si>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</si>
  <si>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</si>
  <si>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</si>
  <si>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</si>
  <si>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</si>
  <si>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</si>
  <si>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</si>
  <si>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</si>
  <si>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</si>
  <si>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</si>
  <si>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</si>
  <si>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</si>
  <si>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</si>
  <si>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</si>
  <si>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</si>
  <si>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</si>
  <si>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</si>
  <si>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</si>
  <si>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</si>
  <si>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</si>
  <si>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</si>
  <si>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</si>
  <si>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</si>
  <si>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</si>
  <si>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</si>
  <si>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</si>
  <si>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</si>
  <si>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</si>
  <si>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</si>
  <si>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</si>
  <si>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</si>
  <si>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</si>
  <si>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</si>
  <si>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</si>
  <si>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</si>
  <si>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</si>
  <si>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</si>
  <si>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</si>
  <si>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</si>
  <si>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</si>
  <si>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</si>
  <si>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</si>
  <si>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</si>
  <si>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</si>
  <si>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</si>
  <si>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</si>
  <si>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</si>
  <si>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</si>
  <si>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</si>
  <si>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</si>
  <si>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</si>
  <si>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</si>
  <si>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</si>
  <si>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</si>
  <si>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</si>
  <si>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</si>
  <si>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</si>
  <si>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</si>
  <si>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</si>
  <si>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</si>
  <si>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</si>
  <si>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</si>
  <si>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</si>
  <si>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</si>
  <si>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</si>
  <si>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</si>
  <si>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</si>
  <si>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</si>
  <si>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</si>
  <si>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</si>
  <si>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</si>
  <si>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</si>
  <si>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</si>
  <si>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</si>
  <si>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</si>
  <si>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</si>
  <si>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</si>
  <si>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</si>
  <si>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</si>
  <si>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</si>
  <si>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</si>
  <si>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</si>
  <si>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</si>
  <si>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</si>
  <si>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</si>
  <si>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</si>
  <si>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</si>
  <si>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</si>
  <si>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</si>
  <si>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</si>
  <si>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</si>
  <si>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</si>
  <si>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</si>
  <si>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</si>
  <si>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</si>
  <si>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</si>
  <si>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</si>
  <si>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</si>
  <si>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</si>
  <si>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</si>
  <si>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</si>
  <si>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</si>
  <si>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</si>
  <si>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</si>
  <si>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</si>
  <si>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</si>
  <si>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</si>
  <si>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</si>
  <si>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</si>
  <si>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</si>
  <si>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</si>
  <si>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</si>
  <si>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</si>
  <si>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</si>
  <si>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</si>
  <si>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</si>
  <si>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</si>
  <si>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</si>
  <si>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</si>
  <si>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</si>
  <si>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</si>
  <si>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</si>
  <si>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</si>
  <si>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</si>
  <si>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</si>
  <si>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</si>
  <si>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</si>
  <si>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</si>
  <si>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</si>
  <si>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</si>
  <si>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</si>
  <si>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</si>
  <si>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</si>
  <si>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</si>
  <si>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</si>
  <si>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</si>
  <si>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</si>
  <si>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</si>
  <si>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</si>
  <si>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</si>
  <si>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</si>
  <si>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</si>
  <si>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</si>
  <si>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</si>
  <si>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</si>
  <si>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</si>
  <si>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</si>
  <si>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</si>
  <si>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</si>
  <si>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</si>
  <si>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</si>
  <si>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</si>
  <si>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</si>
  <si>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</si>
  <si>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</si>
  <si>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</si>
  <si>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</si>
  <si>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</si>
  <si>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</si>
  <si>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</si>
  <si>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</si>
  <si>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</si>
  <si>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</si>
  <si>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</si>
  <si>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</si>
  <si>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</si>
  <si>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</si>
  <si>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</si>
  <si>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</si>
  <si>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</si>
  <si>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</si>
  <si>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</si>
  <si>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</si>
  <si>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</si>
  <si>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</si>
  <si>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</si>
  <si>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</si>
  <si>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</si>
  <si>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</si>
  <si>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</si>
  <si>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</si>
  <si>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</si>
  <si>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</si>
  <si>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</si>
  <si>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</si>
  <si>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</si>
  <si>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</si>
  <si>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</si>
  <si>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</si>
  <si>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</si>
  <si>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</si>
  <si>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</si>
  <si>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</si>
  <si>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</si>
  <si>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</si>
  <si>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</si>
  <si>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</si>
  <si>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</si>
  <si>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</si>
  <si>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</si>
  <si>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</si>
  <si>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</si>
  <si>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</si>
  <si>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</si>
  <si>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</si>
  <si>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</si>
  <si>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</si>
  <si>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</si>
  <si>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</si>
  <si>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</si>
  <si>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</si>
  <si>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</si>
  <si>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</si>
  <si>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</si>
  <si>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</si>
  <si>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</si>
  <si>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</si>
  <si>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</si>
  <si>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</si>
  <si>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</si>
  <si>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</si>
  <si>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</si>
  <si>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</si>
  <si>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</si>
  <si>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</si>
  <si>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</si>
  <si>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</si>
  <si>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</si>
  <si>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</si>
  <si>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</si>
  <si>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</si>
  <si>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</si>
  <si>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</si>
  <si>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</si>
  <si>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</si>
  <si>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</si>
  <si>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</si>
  <si>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</si>
  <si>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</si>
  <si>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</si>
  <si>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</si>
  <si>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</si>
  <si>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</si>
  <si>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</si>
  <si>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</si>
  <si>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</si>
  <si>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</si>
  <si>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</si>
  <si>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</si>
  <si>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</si>
  <si>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</si>
  <si>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</si>
  <si>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</si>
  <si>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</si>
  <si>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</si>
  <si>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</si>
  <si>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</si>
  <si>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</si>
  <si>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</si>
  <si>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</si>
  <si>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</si>
  <si>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</si>
  <si>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</si>
  <si>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</si>
  <si>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</si>
  <si>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</si>
  <si>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</si>
  <si>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</si>
  <si>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</si>
  <si>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</si>
  <si>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</si>
  <si>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</si>
  <si>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</si>
  <si>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</si>
  <si>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</si>
  <si>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</si>
  <si>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</si>
  <si>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</si>
  <si>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</si>
  <si>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</si>
  <si>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</si>
  <si>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</si>
  <si>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</si>
  <si>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</si>
  <si>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</si>
  <si>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</si>
  <si>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</si>
  <si>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</si>
  <si>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</si>
  <si>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</si>
  <si>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</si>
  <si>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</si>
  <si>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</si>
  <si>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</si>
  <si>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</si>
  <si>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</si>
  <si>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</si>
  <si>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</si>
  <si>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</si>
  <si>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</si>
  <si>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</si>
  <si>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</si>
  <si>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</si>
  <si>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</si>
  <si>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</si>
  <si>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</si>
  <si>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</si>
  <si>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</si>
  <si>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</si>
  <si>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</si>
  <si>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</si>
  <si>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</si>
  <si>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</si>
  <si>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</si>
  <si>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</si>
  <si>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</si>
  <si>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</si>
  <si>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</si>
  <si>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</si>
  <si>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</si>
  <si>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Total employee</t>
  </si>
  <si>
    <t>Sum of CF_attrition count</t>
  </si>
  <si>
    <t>Average of Age</t>
  </si>
  <si>
    <t>Average Age</t>
  </si>
  <si>
    <t>Active employees</t>
  </si>
  <si>
    <t>Total Employee</t>
  </si>
  <si>
    <t>Avg Age</t>
  </si>
  <si>
    <t>Attrition rate</t>
  </si>
  <si>
    <t>Average of Job Satisfaction</t>
  </si>
  <si>
    <t>Rating</t>
  </si>
  <si>
    <t>Balance Rating</t>
  </si>
  <si>
    <t>Count of employees by gender</t>
  </si>
  <si>
    <t>Row Labels</t>
  </si>
  <si>
    <t>Grand Total</t>
  </si>
  <si>
    <t>Count of Employee Count</t>
  </si>
  <si>
    <t>PercentageF</t>
  </si>
  <si>
    <t>PercentageM</t>
  </si>
  <si>
    <t>Education by attrition</t>
  </si>
  <si>
    <t>Job Type</t>
  </si>
  <si>
    <t>attrition</t>
  </si>
  <si>
    <t>Departament by attrition</t>
  </si>
  <si>
    <t>Age group by attrition</t>
  </si>
  <si>
    <t>Marital Status by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</si>
</sst>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73"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2">
    <fill>
      <patternFill patternType="none"/>
    </fill>
    <fill>
      <patternFill patternType="gray125"/>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rgb="FF999999"/>
      </top>
      <bottom style="medium">
        <color indexed="64"/>
      </bottom>
      <diagonal/>
    </border>
    <border>
      <left style="medium">
        <color indexed="64"/>
      </left>
      <right/>
      <top style="medium">
        <color indexed="64"/>
      </top>
      <bottom/>
      <diagonal/>
    </border>
    <border>
      <left style="medium">
        <color indexed="64"/>
      </left>
      <right/>
      <top style="thin">
        <color indexed="65"/>
      </top>
      <bottom/>
      <diagonal/>
    </border>
    <border>
      <left style="medium">
        <color indexed="64"/>
      </left>
      <right/>
      <top style="thin">
        <color indexed="65"/>
      </top>
      <bottom style="medium">
        <color indexed="64"/>
      </bottom>
      <diagonal/>
    </border>
    <border>
      <left style="medium">
        <color indexed="64"/>
      </left>
      <right style="medium">
        <color indexed="64"/>
      </right>
      <top style="thin">
        <color indexed="65"/>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5"/>
      </top>
      <bottom style="medium">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6">
    <xf numFmtId="0" fontId="0" fillId="0" borderId="0" xfId="0"/>
    <xf numFmtId="0" fontId="1" fillId="0" borderId="0" xfId="0" applyFont="1"/>
    <xf numFmtId="0" fontId="1" fillId="0" borderId="2" xfId="0" applyFont="1" applyBorder="1"/>
    <xf numFmtId="0" fontId="0" fillId="0" borderId="3" xfId="0" applyBorder="1"/>
    <xf numFmtId="0" fontId="0" fillId="0" borderId="1" xfId="0" applyBorder="1"/>
    <xf numFmtId="1" fontId="0" fillId="0" borderId="1" xfId="0" applyNumberFormat="1" applyBorder="1"/>
    <xf numFmtId="0" fontId="0" fillId="0" borderId="4" xfId="0" applyNumberFormat="1" applyBorder="1"/>
    <xf numFmtId="0" fontId="0" fillId="0" borderId="1" xfId="0" applyNumberFormat="1" applyBorder="1"/>
    <xf numFmtId="1" fontId="0" fillId="0" borderId="4" xfId="0" applyNumberFormat="1" applyBorder="1"/>
    <xf numFmtId="1" fontId="0" fillId="0" borderId="0" xfId="0" applyNumberFormat="1"/>
    <xf numFmtId="9" fontId="1" fillId="0" borderId="0" xfId="2" applyFont="1"/>
    <xf numFmtId="0" fontId="0" fillId="0" borderId="1" xfId="0" pivotButton="1" applyBorder="1"/>
    <xf numFmtId="0" fontId="0" fillId="0" borderId="5" xfId="0" applyBorder="1"/>
    <xf numFmtId="173" fontId="0" fillId="0" borderId="1" xfId="0" applyNumberFormat="1" applyBorder="1"/>
    <xf numFmtId="0" fontId="0" fillId="0" borderId="6" xfId="0" applyBorder="1" applyAlignment="1">
      <alignment horizontal="left"/>
    </xf>
    <xf numFmtId="0" fontId="0" fillId="0" borderId="2" xfId="0" applyNumberFormat="1" applyBorder="1"/>
    <xf numFmtId="0" fontId="0" fillId="0" borderId="8" xfId="0" applyNumberFormat="1" applyBorder="1"/>
    <xf numFmtId="1" fontId="0" fillId="0" borderId="2" xfId="0" applyNumberFormat="1" applyBorder="1"/>
    <xf numFmtId="1" fontId="0" fillId="0" borderId="8" xfId="0" applyNumberFormat="1" applyBorder="1"/>
    <xf numFmtId="173" fontId="0" fillId="0" borderId="2" xfId="0" applyNumberFormat="1" applyBorder="1"/>
    <xf numFmtId="173" fontId="0" fillId="0" borderId="8" xfId="0" applyNumberFormat="1" applyBorder="1"/>
    <xf numFmtId="0" fontId="0" fillId="0" borderId="8" xfId="0" applyBorder="1" applyAlignment="1">
      <alignment horizontal="left"/>
    </xf>
    <xf numFmtId="0" fontId="1" fillId="0" borderId="0" xfId="0" applyFont="1" applyFill="1" applyBorder="1"/>
    <xf numFmtId="0" fontId="1" fillId="0" borderId="5" xfId="0" applyFont="1" applyBorder="1"/>
    <xf numFmtId="0" fontId="0" fillId="0" borderId="9" xfId="0" applyBorder="1"/>
    <xf numFmtId="0" fontId="0" fillId="0" borderId="10" xfId="0" applyBorder="1"/>
    <xf numFmtId="0" fontId="0" fillId="0" borderId="11" xfId="0" applyBorder="1"/>
    <xf numFmtId="0" fontId="0" fillId="0" borderId="0" xfId="0" applyBorder="1"/>
    <xf numFmtId="0" fontId="0" fillId="0" borderId="12" xfId="0" applyBorder="1"/>
    <xf numFmtId="0" fontId="1" fillId="0" borderId="0" xfId="0" applyFont="1" applyBorder="1"/>
    <xf numFmtId="9" fontId="0" fillId="0" borderId="0" xfId="2" applyFont="1" applyBorder="1"/>
    <xf numFmtId="0" fontId="0" fillId="0" borderId="13" xfId="0" applyBorder="1"/>
    <xf numFmtId="0" fontId="0" fillId="0" borderId="14" xfId="0" applyBorder="1"/>
    <xf numFmtId="0" fontId="0" fillId="0" borderId="15" xfId="0" applyBorder="1"/>
    <xf numFmtId="173" fontId="0" fillId="0" borderId="0" xfId="0" applyNumberFormat="1" applyBorder="1"/>
    <xf numFmtId="43" fontId="0" fillId="0" borderId="0" xfId="1" applyFont="1" applyBorder="1"/>
    <xf numFmtId="0" fontId="0" fillId="0" borderId="2" xfId="0" applyBorder="1" applyAlignment="1">
      <alignment horizontal="left"/>
    </xf>
    <xf numFmtId="0" fontId="0" fillId="0" borderId="16" xfId="0" applyBorder="1" applyAlignment="1">
      <alignment horizontal="left"/>
    </xf>
    <xf numFmtId="0" fontId="0" fillId="0" borderId="1" xfId="0" applyBorder="1" applyAlignment="1">
      <alignment horizontal="left"/>
    </xf>
    <xf numFmtId="0" fontId="0" fillId="0" borderId="5" xfId="0" applyBorder="1" applyAlignment="1">
      <alignment horizontal="left"/>
    </xf>
    <xf numFmtId="0" fontId="0" fillId="0" borderId="7" xfId="0" applyBorder="1" applyAlignment="1">
      <alignment horizontal="left"/>
    </xf>
    <xf numFmtId="0" fontId="1" fillId="0" borderId="12" xfId="0" applyFont="1" applyFill="1" applyBorder="1"/>
    <xf numFmtId="10" fontId="0" fillId="0" borderId="2" xfId="0" applyNumberFormat="1" applyBorder="1"/>
    <xf numFmtId="10" fontId="0" fillId="0" borderId="8" xfId="0" applyNumberFormat="1" applyBorder="1"/>
    <xf numFmtId="10" fontId="0" fillId="0" borderId="4" xfId="0" applyNumberFormat="1" applyBorder="1"/>
    <xf numFmtId="0" fontId="1" fillId="0" borderId="11" xfId="0" applyFont="1" applyBorder="1"/>
  </cellXfs>
  <cellStyles count="3">
    <cellStyle name="Comma" xfId="1" builtinId="3"/>
    <cellStyle name="Normal" xfId="0" builtinId="0"/>
    <cellStyle name="Percent" xfId="2" builtinId="5"/>
  </cellStyles>
  <dxfs count="608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0.149967955565050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color theme="1"/>
        <name val="Calibri"/>
        <family val="2"/>
        <scheme val="minor"/>
      </font>
      <fill>
        <patternFill>
          <bgColor theme="0" tint="-0.149967955565050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0.149967955565050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3"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0.14996795556505021"/>
        </patternFill>
      </fill>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7">
    <tableStyle name="Data-style" pivot="0" count="3" xr9:uid="{00000000-0011-0000-FFFF-FFFF00000000}">
      <tableStyleElement type="headerRow" dxfId="6083"/>
      <tableStyleElement type="firstRowStripe" dxfId="6082"/>
      <tableStyleElement type="secondRowStripe" dxfId="6081"/>
    </tableStyle>
    <tableStyle name="goodslicer" pivot="0" table="0" count="4" xr9:uid="{03496957-F722-4810-B4E5-C1D4DB7D9918}">
      <tableStyleElement type="wholeTable" dxfId="620"/>
    </tableStyle>
    <tableStyle name="Myslicer" pivot="0" table="0" count="2" xr9:uid="{5E563E88-DCA8-401F-905F-D5193F910FF6}">
      <tableStyleElement type="wholeTable" dxfId="6080"/>
    </tableStyle>
    <tableStyle name="Slicer Style 1" pivot="0" table="0" count="1" xr9:uid="{DEA83CB8-5E34-4A3C-A4DF-09C7F114EF07}">
      <tableStyleElement type="wholeTable" dxfId="6079"/>
    </tableStyle>
    <tableStyle name="Slicer Style 2" pivot="0" table="0" count="1" xr9:uid="{A2F97EA7-26A3-4C17-9D78-815127D04ED8}"/>
    <tableStyle name="Slicer Style 3" pivot="0" table="0" count="3" xr9:uid="{EAE251AD-EF98-43AB-998F-1B2742934BBC}">
      <tableStyleElement type="wholeTable" dxfId="5706"/>
    </tableStyle>
    <tableStyle name="Slicer Style 4" pivot="0" table="0" count="6" xr9:uid="{2D3FFE18-030F-4C55-A149-C24BCD640E38}">
      <tableStyleElement type="wholeTable" dxfId="1985"/>
    </tableStyle>
  </tableStyles>
  <colors>
    <mruColors>
      <color rgb="FFB3F1F9"/>
      <color rgb="FFCDF2FF"/>
      <color rgb="FF5555FD"/>
      <color rgb="FFF161CF"/>
      <color rgb="FF027082"/>
    </mruColors>
  </colors>
  <extLst>
    <ext xmlns:x14="http://schemas.microsoft.com/office/spreadsheetml/2009/9/main" uri="{46F421CA-312F-682f-3DD2-61675219B42D}">
      <x14:dxfs count="61">
        <dxf>
          <fill>
            <gradientFill degree="45">
              <stop position="0">
                <color theme="7" tint="-0.25098422193060094"/>
              </stop>
              <stop position="1">
                <color theme="7" tint="-0.49803155613879818"/>
              </stop>
            </gradientFill>
          </fill>
        </dxf>
        <dxf>
          <font>
            <b/>
            <i val="0"/>
            <name val="Calibri"/>
            <family val="2"/>
            <scheme val="minor"/>
          </font>
          <fill>
            <gradientFill degree="45">
              <stop position="0">
                <color theme="7" tint="0.40000610370189521"/>
              </stop>
              <stop position="1">
                <color theme="7" tint="-0.25098422193060094"/>
              </stop>
            </gradientFill>
          </fill>
        </dxf>
        <dxf>
          <fill>
            <gradientFill degree="45">
              <stop position="0">
                <color theme="7" tint="-0.25098422193060094"/>
              </stop>
              <stop position="1">
                <color theme="7" tint="-0.49803155613879818"/>
              </stop>
            </gradientFill>
          </fill>
        </dxf>
        <dxf>
          <fill>
            <patternFill>
              <bgColor theme="3"/>
            </patternFill>
          </fill>
        </dxf>
        <dxf>
          <fill>
            <gradientFill degree="45">
              <stop position="0">
                <color theme="7" tint="-0.25098422193060094"/>
              </stop>
              <stop position="1">
                <color theme="7" tint="-0.49803155613879818"/>
              </stop>
            </gradientFill>
          </fill>
        </dxf>
        <dxf>
          <font>
            <b/>
            <i val="0"/>
            <name val="Calibri"/>
            <family val="2"/>
            <scheme val="minor"/>
          </font>
          <fill>
            <gradientFill degree="45">
              <stop position="0">
                <color theme="7" tint="0.40000610370189521"/>
              </stop>
              <stop position="1">
                <color theme="7" tint="-0.25098422193060094"/>
              </stop>
            </gradientFill>
          </fill>
        </dxf>
        <dxf>
          <fill>
            <gradientFill degree="45">
              <stop position="0">
                <color theme="7" tint="-0.25098422193060094"/>
              </stop>
              <stop position="1">
                <color theme="7" tint="-0.49803155613879818"/>
              </stop>
            </gradientFill>
          </fill>
        </dxf>
        <dxf>
          <fill>
            <gradientFill degree="45">
              <stop position="0">
                <color theme="7" tint="-0.25098422193060094"/>
              </stop>
              <stop position="1">
                <color theme="7" tint="-0.49803155613879818"/>
              </stop>
            </gradientFill>
          </fill>
        </dxf>
        <dxf>
          <font>
            <b/>
            <i val="0"/>
            <name val="Calibri"/>
            <family val="2"/>
            <scheme val="minor"/>
          </font>
          <fill>
            <gradientFill degree="45">
              <stop position="0">
                <color theme="7" tint="0.40000610370189521"/>
              </stop>
              <stop position="1">
                <color theme="7" tint="-0.25098422193060094"/>
              </stop>
            </gradientFill>
          </fill>
        </dxf>
        <dxf>
          <fill>
            <gradientFill degree="45">
              <stop position="0">
                <color theme="7" tint="-0.25098422193060094"/>
              </stop>
              <stop position="1">
                <color theme="7" tint="-0.49803155613879818"/>
              </stop>
            </gradientFill>
          </fill>
        </dxf>
        <dxf>
          <fill>
            <gradientFill degree="45">
              <stop position="0">
                <color theme="7" tint="-0.25098422193060094"/>
              </stop>
              <stop position="1">
                <color theme="7" tint="-0.49803155613879818"/>
              </stop>
            </gradientFill>
          </fill>
        </dxf>
        <dxf>
          <fill>
            <gradientFill degree="45">
              <stop position="0">
                <color theme="7" tint="-0.25098422193060094"/>
              </stop>
              <stop position="1">
                <color theme="7" tint="-0.49803155613879818"/>
              </stop>
            </gradientFill>
          </fill>
        </dxf>
        <dxf>
          <font>
            <b/>
            <i val="0"/>
            <name val="Calibri"/>
            <family val="2"/>
            <scheme val="minor"/>
          </font>
          <fill>
            <gradientFill degree="45">
              <stop position="0">
                <color theme="7" tint="0.40000610370189521"/>
              </stop>
              <stop position="1">
                <color theme="7" tint="-0.25098422193060094"/>
              </stop>
            </gradientFill>
          </fill>
        </dxf>
        <dxf>
          <fill>
            <patternFill>
              <bgColor theme="1" tint="0.24994659260841701"/>
            </patternFill>
          </fill>
        </dxf>
        <dxf>
          <fill>
            <patternFill>
              <bgColor theme="1" tint="0.34998626667073579"/>
            </patternFill>
          </fill>
        </dxf>
        <dxf>
          <fill>
            <patternFill>
              <bgColor theme="1" tint="0.24994659260841701"/>
            </patternFill>
          </fill>
        </dxf>
        <dxf>
          <fill>
            <patternFill>
              <bgColor theme="1" tint="0.34998626667073579"/>
            </patternFill>
          </fill>
        </dxf>
        <dxf>
          <fill>
            <patternFill>
              <bgColor theme="1" tint="0.499984740745262"/>
            </patternFill>
          </fill>
        </dxf>
        <dxf>
          <fill>
            <patternFill>
              <bgColor theme="1" tint="0.34998626667073579"/>
            </patternFill>
          </fill>
        </dxf>
        <dxf>
          <fill>
            <patternFill>
              <bgColor theme="1" tint="0.24994659260841701"/>
            </patternFill>
          </fill>
        </dxf>
        <dxf>
          <fill>
            <patternFill>
              <bgColor theme="1" tint="0.34998626667073579"/>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4" tint="0.59996337778862885"/>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1" tint="4.9989318521683403E-2"/>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2" tint="-0.14996795556505021"/>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1" tint="0.499984740745262"/>
            </patternFill>
          </fill>
        </dxf>
        <dxf>
          <fill>
            <patternFill>
              <bgColor theme="1" tint="0.34998626667073579"/>
            </patternFill>
          </fill>
        </dxf>
        <dxf>
          <fill>
            <patternFill>
              <bgColor theme="1" tint="0.499984740745262"/>
            </patternFill>
          </fill>
        </dxf>
        <dxf>
          <fill>
            <patternFill>
              <bgColor theme="1" tint="0.499984740745262"/>
            </patternFill>
          </fill>
        </dxf>
        <dxf>
          <fill>
            <patternFill>
              <bgColor theme="1" tint="0.34998626667073579"/>
            </patternFill>
          </fill>
        </dxf>
        <dxf>
          <fill>
            <patternFill>
              <bgColor theme="1" tint="0.34998626667073579"/>
            </patternFill>
          </fill>
        </dxf>
        <dxf>
          <fill>
            <patternFill>
              <bgColor theme="1" tint="0.499984740745262"/>
            </patternFill>
          </fill>
        </dxf>
        <dxf>
          <fill>
            <patternFill>
              <bgColor theme="1" tint="0.499984740745262"/>
            </patternFill>
          </fill>
        </dxf>
      </x14:dxfs>
    </ext>
    <ext xmlns:x14="http://schemas.microsoft.com/office/spreadsheetml/2009/9/main" uri="{EB79DEF2-80B8-43e5-95BD-54CBDDF9020C}">
      <x14:slicerStyles defaultSlicerStyle="SlicerStyleLight1">
        <x14:slicerStyle name="goodslicer">
          <x14:slicerStyleElements>
            <x14:slicerStyleElement type="unselectedItemWithData" dxfId="2"/>
            <x14:slicerStyleElement type="selectedItemWithData" dxfId="1"/>
            <x14:slicerStyleElement type="selectedItemWithNoData" dxfId="0"/>
          </x14:slicerStyleElements>
        </x14:slicerStyle>
        <x14:slicerStyle name="Myslicer">
          <x14:slicerStyleElements/>
        </x14:slicerStyle>
        <x14:slicerStyle name="Slicer Style 1"/>
        <x14:slicerStyle name="Slicer Style 2">
          <x14:slicerStyleElements>
            <x14:slicerStyleElement type="selectedItemWithData" dxfId="60"/>
          </x14:slicerStyleElements>
        </x14:slicerStyle>
        <x14:slicerStyle name="Slicer Style 3">
          <x14:slicerStyleElements>
            <x14:slicerStyleElement type="unselectedItemWithData" dxfId="58"/>
            <x14:slicerStyleElement type="selectedItemWithNoData" dxfId="59"/>
          </x14:slicerStyleElements>
        </x14:slicerStyle>
        <x14:slicerStyle name="Slicer Style 4">
          <x14:slicerStyleElements>
            <x14:slicerStyleElement type="unselectedItemWithData" dxfId="17"/>
            <x14:slicerStyleElement type="selectedItemWithData" dxfId="16"/>
            <x14:slicerStyleElement type="hoveredUnselectedItemWithData" dxfId="15"/>
            <x14:slicerStyleElement type="hoveredSelectedItemWithData" dxfId="14"/>
            <x14:slicerStyleElement type="hoveredUnselectedItemWithNoData" dxfId="13"/>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dESIGN!$E$31:$E$32</c:f>
              <c:numCache>
                <c:formatCode>_(* #,##0.00_);_(* \(#,##0.00\);_(* "-"??_);_(@_)</c:formatCode>
                <c:ptCount val="2"/>
                <c:pt idx="0">
                  <c:v>0.65663265306122454</c:v>
                </c:pt>
                <c:pt idx="1">
                  <c:v>0.34336734693877546</c:v>
                </c:pt>
              </c:numCache>
            </c:numRef>
          </c:val>
          <c:extLst>
            <c:ext xmlns:c16="http://schemas.microsoft.com/office/drawing/2014/chart" uri="{C3380CC4-5D6E-409C-BE32-E72D297353CC}">
              <c16:uniqueId val="{00000000-A3F3-4590-945E-4EA911FCD9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dESIGN!$D$31</c:f>
              <c:numCache>
                <c:formatCode>0.0</c:formatCode>
                <c:ptCount val="1"/>
                <c:pt idx="0">
                  <c:v>2.6265306122448981</c:v>
                </c:pt>
              </c:numCache>
            </c:numRef>
          </c:val>
          <c:extLst>
            <c:ext xmlns:c16="http://schemas.microsoft.com/office/drawing/2014/chart" uri="{C3380CC4-5D6E-409C-BE32-E72D297353CC}">
              <c16:uniqueId val="{00000000-5889-42E6-BC03-5AA9EFB842B1}"/>
            </c:ext>
          </c:extLst>
        </c:ser>
        <c:ser>
          <c:idx val="1"/>
          <c:order val="1"/>
          <c:spPr>
            <a:solidFill>
              <a:schemeClr val="accent2"/>
            </a:solidFill>
            <a:ln>
              <a:noFill/>
            </a:ln>
            <a:effectLst/>
          </c:spPr>
          <c:invertIfNegative val="0"/>
          <c:val>
            <c:numRef>
              <c:f>dESIGN!$D$32</c:f>
              <c:numCache>
                <c:formatCode>0.0</c:formatCode>
                <c:ptCount val="1"/>
                <c:pt idx="0">
                  <c:v>1.3734693877551019</c:v>
                </c:pt>
              </c:numCache>
            </c:numRef>
          </c:val>
          <c:extLst>
            <c:ext xmlns:c16="http://schemas.microsoft.com/office/drawing/2014/chart" uri="{C3380CC4-5D6E-409C-BE32-E72D297353CC}">
              <c16:uniqueId val="{00000004-5889-42E6-BC03-5AA9EFB842B1}"/>
            </c:ext>
          </c:extLst>
        </c:ser>
        <c:dLbls>
          <c:showLegendKey val="0"/>
          <c:showVal val="0"/>
          <c:showCatName val="0"/>
          <c:showSerName val="0"/>
          <c:showPercent val="0"/>
          <c:showBubbleSize val="0"/>
        </c:dLbls>
        <c:gapWidth val="0"/>
        <c:overlap val="100"/>
        <c:axId val="1887731136"/>
        <c:axId val="1887742656"/>
      </c:barChart>
      <c:catAx>
        <c:axId val="1887731136"/>
        <c:scaling>
          <c:orientation val="minMax"/>
        </c:scaling>
        <c:delete val="1"/>
        <c:axPos val="l"/>
        <c:majorTickMark val="out"/>
        <c:minorTickMark val="none"/>
        <c:tickLblPos val="nextTo"/>
        <c:crossAx val="1887742656"/>
        <c:crosses val="autoZero"/>
        <c:auto val="1"/>
        <c:lblAlgn val="ctr"/>
        <c:lblOffset val="100"/>
        <c:noMultiLvlLbl val="0"/>
      </c:catAx>
      <c:valAx>
        <c:axId val="1887742656"/>
        <c:scaling>
          <c:orientation val="minMax"/>
          <c:max val="4"/>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73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dESIGN!$F$59:$G$59</c:f>
              <c:numCache>
                <c:formatCode>0%</c:formatCode>
                <c:ptCount val="2"/>
                <c:pt idx="0">
                  <c:v>0.4</c:v>
                </c:pt>
                <c:pt idx="1">
                  <c:v>0.6</c:v>
                </c:pt>
              </c:numCache>
            </c:numRef>
          </c:val>
          <c:extLst>
            <c:ext xmlns:c16="http://schemas.microsoft.com/office/drawing/2014/chart" uri="{C3380CC4-5D6E-409C-BE32-E72D297353CC}">
              <c16:uniqueId val="{00000000-F0CE-4AF6-84C4-96866D13B65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DATA_Excel.xlsx]dESIGN!Education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dESIGN!$A$72:$A$77</c:f>
              <c:strCache>
                <c:ptCount val="5"/>
                <c:pt idx="0">
                  <c:v>Doctoral Degree</c:v>
                </c:pt>
                <c:pt idx="1">
                  <c:v>High School</c:v>
                </c:pt>
                <c:pt idx="2">
                  <c:v>Associates Degree</c:v>
                </c:pt>
                <c:pt idx="3">
                  <c:v>Master's Degree</c:v>
                </c:pt>
                <c:pt idx="4">
                  <c:v>Bachelor's Degree</c:v>
                </c:pt>
              </c:strCache>
            </c:strRef>
          </c:cat>
          <c:val>
            <c:numRef>
              <c:f>dESIGN!$B$72:$B$77</c:f>
              <c:numCache>
                <c:formatCode>0.0</c:formatCode>
                <c:ptCount val="5"/>
                <c:pt idx="0">
                  <c:v>5</c:v>
                </c:pt>
                <c:pt idx="1">
                  <c:v>31</c:v>
                </c:pt>
                <c:pt idx="2">
                  <c:v>44</c:v>
                </c:pt>
                <c:pt idx="3">
                  <c:v>58</c:v>
                </c:pt>
                <c:pt idx="4">
                  <c:v>99</c:v>
                </c:pt>
              </c:numCache>
            </c:numRef>
          </c:val>
          <c:extLst>
            <c:ext xmlns:c16="http://schemas.microsoft.com/office/drawing/2014/chart" uri="{C3380CC4-5D6E-409C-BE32-E72D297353CC}">
              <c16:uniqueId val="{00000000-5926-49EB-9561-C05B5187E6D1}"/>
            </c:ext>
          </c:extLst>
        </c:ser>
        <c:dLbls>
          <c:dLblPos val="outEnd"/>
          <c:showLegendKey val="0"/>
          <c:showVal val="1"/>
          <c:showCatName val="0"/>
          <c:showSerName val="0"/>
          <c:showPercent val="0"/>
          <c:showBubbleSize val="0"/>
        </c:dLbls>
        <c:gapWidth val="182"/>
        <c:axId val="1812709040"/>
        <c:axId val="1812722960"/>
      </c:barChart>
      <c:catAx>
        <c:axId val="1812709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722960"/>
        <c:crosses val="autoZero"/>
        <c:auto val="1"/>
        <c:lblAlgn val="ctr"/>
        <c:lblOffset val="100"/>
        <c:noMultiLvlLbl val="0"/>
      </c:catAx>
      <c:valAx>
        <c:axId val="1812722960"/>
        <c:scaling>
          <c:orientation val="minMax"/>
        </c:scaling>
        <c:delete val="1"/>
        <c:axPos val="b"/>
        <c:numFmt formatCode="0.0" sourceLinked="1"/>
        <c:majorTickMark val="out"/>
        <c:minorTickMark val="none"/>
        <c:tickLblPos val="nextTo"/>
        <c:crossAx val="18127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DATA_Excel.xlsx]dESIGN!PivotTable10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dESIGN!$B$113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dESIGN!$A$114:$A$117</c:f>
              <c:strCache>
                <c:ptCount val="3"/>
                <c:pt idx="0">
                  <c:v>HR</c:v>
                </c:pt>
                <c:pt idx="1">
                  <c:v>R&amp;D</c:v>
                </c:pt>
                <c:pt idx="2">
                  <c:v>Sales</c:v>
                </c:pt>
              </c:strCache>
            </c:strRef>
          </c:cat>
          <c:val>
            <c:numRef>
              <c:f>dESIGN!$B$114:$B$117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FDB1-4286-9DE6-C3C634AEFE9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DATA_Excel.xlsx]dESIGN!PivotTable11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dESIGN!$B$129</c:f>
              <c:strCache>
                <c:ptCount val="1"/>
                <c:pt idx="0">
                  <c:v>Total</c:v>
                </c:pt>
              </c:strCache>
            </c:strRef>
          </c:tx>
          <c:spPr>
            <a:solidFill>
              <a:schemeClr val="accent1"/>
            </a:solidFill>
            <a:ln>
              <a:noFill/>
            </a:ln>
            <a:effectLst/>
          </c:spPr>
          <c:invertIfNegative val="0"/>
          <c:cat>
            <c:strRef>
              <c:f>dESIGN!$A$130:$A$135</c:f>
              <c:strCache>
                <c:ptCount val="5"/>
                <c:pt idx="0">
                  <c:v>25 - 34</c:v>
                </c:pt>
                <c:pt idx="1">
                  <c:v>35 - 44</c:v>
                </c:pt>
                <c:pt idx="2">
                  <c:v>Under 25</c:v>
                </c:pt>
                <c:pt idx="3">
                  <c:v>45 - 54</c:v>
                </c:pt>
                <c:pt idx="4">
                  <c:v>Over 55</c:v>
                </c:pt>
              </c:strCache>
            </c:strRef>
          </c:cat>
          <c:val>
            <c:numRef>
              <c:f>dESIGN!$B$130:$B$135</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507-44C9-8739-B9325633BCAB}"/>
            </c:ext>
          </c:extLst>
        </c:ser>
        <c:dLbls>
          <c:showLegendKey val="0"/>
          <c:showVal val="0"/>
          <c:showCatName val="0"/>
          <c:showSerName val="0"/>
          <c:showPercent val="0"/>
          <c:showBubbleSize val="0"/>
        </c:dLbls>
        <c:gapWidth val="150"/>
        <c:overlap val="100"/>
        <c:axId val="1889119552"/>
        <c:axId val="1889111872"/>
      </c:barChart>
      <c:catAx>
        <c:axId val="188911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111872"/>
        <c:crosses val="autoZero"/>
        <c:auto val="1"/>
        <c:lblAlgn val="ctr"/>
        <c:lblOffset val="100"/>
        <c:noMultiLvlLbl val="0"/>
      </c:catAx>
      <c:valAx>
        <c:axId val="1889111872"/>
        <c:scaling>
          <c:orientation val="minMax"/>
        </c:scaling>
        <c:delete val="1"/>
        <c:axPos val="l"/>
        <c:numFmt formatCode="General" sourceLinked="1"/>
        <c:majorTickMark val="none"/>
        <c:minorTickMark val="none"/>
        <c:tickLblPos val="nextTo"/>
        <c:crossAx val="188911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00B050"/>
                  </a:gs>
                  <a:gs pos="100000">
                    <a:srgbClr val="00B0F0"/>
                  </a:gs>
                </a:gsLst>
                <a:lin ang="5400000" scaled="1"/>
              </a:gradFill>
              <a:ln w="19050">
                <a:noFill/>
              </a:ln>
              <a:effectLst/>
            </c:spPr>
            <c:extLst>
              <c:ext xmlns:c16="http://schemas.microsoft.com/office/drawing/2014/chart" uri="{C3380CC4-5D6E-409C-BE32-E72D297353CC}">
                <c16:uniqueId val="{00000001-BC35-415C-B593-E95889A30B5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C35-415C-B593-E95889A30B52}"/>
              </c:ext>
            </c:extLst>
          </c:dPt>
          <c:val>
            <c:numRef>
              <c:f>dESIGN!$E$31:$E$32</c:f>
              <c:numCache>
                <c:formatCode>_(* #,##0.00_);_(* \(#,##0.00\);_(* "-"??_);_(@_)</c:formatCode>
                <c:ptCount val="2"/>
                <c:pt idx="0">
                  <c:v>0.65663265306122454</c:v>
                </c:pt>
                <c:pt idx="1">
                  <c:v>0.34336734693877546</c:v>
                </c:pt>
              </c:numCache>
            </c:numRef>
          </c:val>
          <c:extLst>
            <c:ext xmlns:c16="http://schemas.microsoft.com/office/drawing/2014/chart" uri="{C3380CC4-5D6E-409C-BE32-E72D297353CC}">
              <c16:uniqueId val="{00000004-BC35-415C-B593-E95889A30B5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dESIGN!$D$31</c:f>
              <c:numCache>
                <c:formatCode>0.0</c:formatCode>
                <c:ptCount val="1"/>
                <c:pt idx="0">
                  <c:v>2.6265306122448981</c:v>
                </c:pt>
              </c:numCache>
            </c:numRef>
          </c:val>
          <c:extLst>
            <c:ext xmlns:c16="http://schemas.microsoft.com/office/drawing/2014/chart" uri="{C3380CC4-5D6E-409C-BE32-E72D297353CC}">
              <c16:uniqueId val="{00000000-D776-4898-8F9D-B13DAEBC2185}"/>
            </c:ext>
          </c:extLst>
        </c:ser>
        <c:ser>
          <c:idx val="1"/>
          <c:order val="1"/>
          <c:spPr>
            <a:solidFill>
              <a:schemeClr val="bg1"/>
            </a:solidFill>
            <a:ln>
              <a:noFill/>
            </a:ln>
            <a:effectLst/>
          </c:spPr>
          <c:invertIfNegative val="0"/>
          <c:val>
            <c:numRef>
              <c:f>dESIGN!$D$32</c:f>
              <c:numCache>
                <c:formatCode>0.0</c:formatCode>
                <c:ptCount val="1"/>
                <c:pt idx="0">
                  <c:v>1.3734693877551019</c:v>
                </c:pt>
              </c:numCache>
            </c:numRef>
          </c:val>
          <c:extLst>
            <c:ext xmlns:c16="http://schemas.microsoft.com/office/drawing/2014/chart" uri="{C3380CC4-5D6E-409C-BE32-E72D297353CC}">
              <c16:uniqueId val="{00000001-D776-4898-8F9D-B13DAEBC2185}"/>
            </c:ext>
          </c:extLst>
        </c:ser>
        <c:dLbls>
          <c:showLegendKey val="0"/>
          <c:showVal val="0"/>
          <c:showCatName val="0"/>
          <c:showSerName val="0"/>
          <c:showPercent val="0"/>
          <c:showBubbleSize val="0"/>
        </c:dLbls>
        <c:gapWidth val="0"/>
        <c:overlap val="100"/>
        <c:axId val="1887731136"/>
        <c:axId val="1887742656"/>
      </c:barChart>
      <c:catAx>
        <c:axId val="1887731136"/>
        <c:scaling>
          <c:orientation val="minMax"/>
        </c:scaling>
        <c:delete val="1"/>
        <c:axPos val="l"/>
        <c:majorTickMark val="out"/>
        <c:minorTickMark val="none"/>
        <c:tickLblPos val="nextTo"/>
        <c:crossAx val="1887742656"/>
        <c:crosses val="autoZero"/>
        <c:auto val="1"/>
        <c:lblAlgn val="ctr"/>
        <c:lblOffset val="100"/>
        <c:noMultiLvlLbl val="0"/>
      </c:catAx>
      <c:valAx>
        <c:axId val="1887742656"/>
        <c:scaling>
          <c:orientation val="minMax"/>
          <c:max val="4"/>
        </c:scaling>
        <c:delete val="1"/>
        <c:axPos val="b"/>
        <c:numFmt formatCode="0.0" sourceLinked="1"/>
        <c:majorTickMark val="out"/>
        <c:minorTickMark val="none"/>
        <c:tickLblPos val="nextTo"/>
        <c:crossAx val="188773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gradFill>
                <a:gsLst>
                  <a:gs pos="0">
                    <a:srgbClr val="F161CF"/>
                  </a:gs>
                  <a:gs pos="100000">
                    <a:srgbClr val="CDF2FF"/>
                  </a:gs>
                </a:gsLst>
                <a:lin ang="5400000" scaled="1"/>
              </a:gradFill>
              <a:ln w="19050">
                <a:noFill/>
              </a:ln>
              <a:effectLst/>
            </c:spPr>
            <c:extLst>
              <c:ext xmlns:c16="http://schemas.microsoft.com/office/drawing/2014/chart" uri="{C3380CC4-5D6E-409C-BE32-E72D297353CC}">
                <c16:uniqueId val="{00000001-DCF7-48EA-A329-606B650A5326}"/>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DCF7-48EA-A329-606B650A5326}"/>
              </c:ext>
            </c:extLst>
          </c:dPt>
          <c:val>
            <c:numRef>
              <c:f>dESIGN!$F$59:$G$59</c:f>
              <c:numCache>
                <c:formatCode>0%</c:formatCode>
                <c:ptCount val="2"/>
                <c:pt idx="0">
                  <c:v>0.4</c:v>
                </c:pt>
                <c:pt idx="1">
                  <c:v>0.6</c:v>
                </c:pt>
              </c:numCache>
            </c:numRef>
          </c:val>
          <c:extLst>
            <c:ext xmlns:c16="http://schemas.microsoft.com/office/drawing/2014/chart" uri="{C3380CC4-5D6E-409C-BE32-E72D297353CC}">
              <c16:uniqueId val="{00000004-DCF7-48EA-A329-606B650A5326}"/>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rgbClr val="5555FD"/>
                </a:gs>
                <a:gs pos="100000">
                  <a:srgbClr val="00B0F0"/>
                </a:gs>
              </a:gsLst>
              <a:lin ang="5400000" scaled="1"/>
            </a:gradFill>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DCF7-48EA-A329-606B650A5326}"/>
              </c:ext>
            </c:extLst>
          </c:dPt>
          <c:dPt>
            <c:idx val="1"/>
            <c:bubble3D val="0"/>
            <c:spPr>
              <a:gradFill>
                <a:gsLst>
                  <a:gs pos="0">
                    <a:srgbClr val="5555FD"/>
                  </a:gs>
                  <a:gs pos="100000">
                    <a:srgbClr val="00B0F0"/>
                  </a:gs>
                </a:gsLst>
                <a:lin ang="5400000" scaled="1"/>
              </a:gradFill>
              <a:ln w="19050">
                <a:noFill/>
              </a:ln>
              <a:effectLst/>
            </c:spPr>
            <c:extLst>
              <c:ext xmlns:c16="http://schemas.microsoft.com/office/drawing/2014/chart" uri="{C3380CC4-5D6E-409C-BE32-E72D297353CC}">
                <c16:uniqueId val="{00000003-DCF7-48EA-A329-606B650A5326}"/>
              </c:ext>
            </c:extLst>
          </c:dPt>
          <c:val>
            <c:numRef>
              <c:f>dESIGN!$F$59:$G$59</c:f>
              <c:numCache>
                <c:formatCode>0%</c:formatCode>
                <c:ptCount val="2"/>
                <c:pt idx="0">
                  <c:v>0.4</c:v>
                </c:pt>
                <c:pt idx="1">
                  <c:v>0.6</c:v>
                </c:pt>
              </c:numCache>
            </c:numRef>
          </c:val>
          <c:extLst>
            <c:ext xmlns:c16="http://schemas.microsoft.com/office/drawing/2014/chart" uri="{C3380CC4-5D6E-409C-BE32-E72D297353CC}">
              <c16:uniqueId val="{00000004-DCF7-48EA-A329-606B650A5326}"/>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DATA_Excel.xlsx]dESIGN!Education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40000"/>
                  <a:lumOff val="60000"/>
                </a:schemeClr>
              </a:gs>
              <a:gs pos="100000">
                <a:schemeClr val="accent6">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dESIGN!$B$71</c:f>
              <c:strCache>
                <c:ptCount val="1"/>
                <c:pt idx="0">
                  <c:v>Total</c:v>
                </c:pt>
              </c:strCache>
            </c:strRef>
          </c:tx>
          <c:spPr>
            <a:gradFill>
              <a:gsLst>
                <a:gs pos="0">
                  <a:schemeClr val="accent6">
                    <a:lumMod val="40000"/>
                    <a:lumOff val="60000"/>
                  </a:schemeClr>
                </a:gs>
                <a:gs pos="100000">
                  <a:schemeClr val="accent6">
                    <a:lumMod val="5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dESIGN!$A$72:$A$77</c:f>
              <c:strCache>
                <c:ptCount val="5"/>
                <c:pt idx="0">
                  <c:v>Doctoral Degree</c:v>
                </c:pt>
                <c:pt idx="1">
                  <c:v>High School</c:v>
                </c:pt>
                <c:pt idx="2">
                  <c:v>Associates Degree</c:v>
                </c:pt>
                <c:pt idx="3">
                  <c:v>Master's Degree</c:v>
                </c:pt>
                <c:pt idx="4">
                  <c:v>Bachelor's Degree</c:v>
                </c:pt>
              </c:strCache>
            </c:strRef>
          </c:cat>
          <c:val>
            <c:numRef>
              <c:f>dESIGN!$B$72:$B$77</c:f>
              <c:numCache>
                <c:formatCode>0.0</c:formatCode>
                <c:ptCount val="5"/>
                <c:pt idx="0">
                  <c:v>5</c:v>
                </c:pt>
                <c:pt idx="1">
                  <c:v>31</c:v>
                </c:pt>
                <c:pt idx="2">
                  <c:v>44</c:v>
                </c:pt>
                <c:pt idx="3">
                  <c:v>58</c:v>
                </c:pt>
                <c:pt idx="4">
                  <c:v>99</c:v>
                </c:pt>
              </c:numCache>
            </c:numRef>
          </c:val>
          <c:extLst>
            <c:ext xmlns:c16="http://schemas.microsoft.com/office/drawing/2014/chart" uri="{C3380CC4-5D6E-409C-BE32-E72D297353CC}">
              <c16:uniqueId val="{00000000-D637-4E1F-BDD4-6A423BFFCCF6}"/>
            </c:ext>
          </c:extLst>
        </c:ser>
        <c:dLbls>
          <c:dLblPos val="outEnd"/>
          <c:showLegendKey val="0"/>
          <c:showVal val="1"/>
          <c:showCatName val="0"/>
          <c:showSerName val="0"/>
          <c:showPercent val="0"/>
          <c:showBubbleSize val="0"/>
        </c:dLbls>
        <c:gapWidth val="75"/>
        <c:axId val="1812709040"/>
        <c:axId val="1812722960"/>
      </c:barChart>
      <c:catAx>
        <c:axId val="1812709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12722960"/>
        <c:crosses val="autoZero"/>
        <c:auto val="1"/>
        <c:lblAlgn val="ctr"/>
        <c:lblOffset val="100"/>
        <c:noMultiLvlLbl val="0"/>
      </c:catAx>
      <c:valAx>
        <c:axId val="1812722960"/>
        <c:scaling>
          <c:orientation val="minMax"/>
        </c:scaling>
        <c:delete val="1"/>
        <c:axPos val="b"/>
        <c:numFmt formatCode="0.0" sourceLinked="1"/>
        <c:majorTickMark val="out"/>
        <c:minorTickMark val="none"/>
        <c:tickLblPos val="nextTo"/>
        <c:crossAx val="18127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DATA_Excel.xlsx]dESIGN!PivotTable10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40000"/>
                  <a:lumOff val="60000"/>
                </a:schemeClr>
              </a:gs>
              <a:gs pos="100000">
                <a:schemeClr val="tx1"/>
              </a:gs>
            </a:gsLst>
            <a:lin ang="10800000" scaled="0"/>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4">
                  <a:lumMod val="20000"/>
                  <a:lumOff val="80000"/>
                </a:schemeClr>
              </a:gs>
              <a:gs pos="100000">
                <a:schemeClr val="accent4">
                  <a:lumMod val="50000"/>
                </a:schemeClr>
              </a:gs>
            </a:gsLst>
            <a:lin ang="10800000" scaled="0"/>
          </a:gradFill>
          <a:ln w="19050">
            <a:noFill/>
          </a:ln>
          <a:effectLst/>
        </c:spPr>
      </c:pivotFmt>
      <c:pivotFmt>
        <c:idx val="7"/>
        <c:spPr>
          <a:gradFill>
            <a:gsLst>
              <a:gs pos="0">
                <a:schemeClr val="accent1">
                  <a:lumMod val="40000"/>
                  <a:lumOff val="60000"/>
                </a:schemeClr>
              </a:gs>
              <a:gs pos="100000">
                <a:schemeClr val="tx1"/>
              </a:gs>
            </a:gsLst>
            <a:lin ang="10800000" scaled="0"/>
          </a:gradFill>
          <a:ln w="19050">
            <a:noFill/>
          </a:ln>
          <a:effectLst/>
        </c:spPr>
        <c:dLbl>
          <c:idx val="0"/>
          <c:layout>
            <c:manualLayout>
              <c:x val="1.4195100612423447E-2"/>
              <c:y val="-0.108168160014480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6">
                  <a:lumMod val="20000"/>
                  <a:lumOff val="80000"/>
                </a:schemeClr>
              </a:gs>
              <a:gs pos="100000">
                <a:schemeClr val="accent6">
                  <a:lumMod val="50000"/>
                </a:schemeClr>
              </a:gs>
            </a:gsLst>
            <a:lin ang="10800000" scaled="0"/>
          </a:gradFill>
          <a:ln w="19050">
            <a:noFill/>
          </a:ln>
          <a:effectLst/>
        </c:spPr>
        <c:dLbl>
          <c:idx val="0"/>
          <c:layout>
            <c:manualLayout>
              <c:x val="-1.216400622878115E-2"/>
              <c:y val="9.474110276445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dESIGN!$B$113</c:f>
              <c:strCache>
                <c:ptCount val="1"/>
                <c:pt idx="0">
                  <c:v>Total</c:v>
                </c:pt>
              </c:strCache>
            </c:strRef>
          </c:tx>
          <c:spPr>
            <a:gradFill>
              <a:gsLst>
                <a:gs pos="0">
                  <a:schemeClr val="accent1">
                    <a:lumMod val="40000"/>
                    <a:lumOff val="60000"/>
                  </a:schemeClr>
                </a:gs>
                <a:gs pos="100000">
                  <a:schemeClr val="tx1"/>
                </a:gs>
              </a:gsLst>
              <a:lin ang="10800000" scaled="0"/>
            </a:gradFill>
            <a:ln>
              <a:noFill/>
            </a:ln>
          </c:spPr>
          <c:dPt>
            <c:idx val="0"/>
            <c:bubble3D val="0"/>
            <c:spPr>
              <a:gradFill>
                <a:gsLst>
                  <a:gs pos="0">
                    <a:schemeClr val="accent4">
                      <a:lumMod val="20000"/>
                      <a:lumOff val="80000"/>
                    </a:schemeClr>
                  </a:gs>
                  <a:gs pos="100000">
                    <a:schemeClr val="accent4">
                      <a:lumMod val="50000"/>
                    </a:schemeClr>
                  </a:gs>
                </a:gsLst>
                <a:lin ang="10800000" scaled="0"/>
              </a:gradFill>
              <a:ln w="19050">
                <a:noFill/>
              </a:ln>
              <a:effectLst/>
            </c:spPr>
            <c:extLst>
              <c:ext xmlns:c16="http://schemas.microsoft.com/office/drawing/2014/chart" uri="{C3380CC4-5D6E-409C-BE32-E72D297353CC}">
                <c16:uniqueId val="{00000001-A257-4E6B-86F9-720B80EC4A83}"/>
              </c:ext>
            </c:extLst>
          </c:dPt>
          <c:dPt>
            <c:idx val="1"/>
            <c:bubble3D val="0"/>
            <c:spPr>
              <a:gradFill>
                <a:gsLst>
                  <a:gs pos="0">
                    <a:schemeClr val="accent1">
                      <a:lumMod val="40000"/>
                      <a:lumOff val="60000"/>
                    </a:schemeClr>
                  </a:gs>
                  <a:gs pos="100000">
                    <a:schemeClr val="tx1"/>
                  </a:gs>
                </a:gsLst>
                <a:lin ang="10800000" scaled="0"/>
              </a:gradFill>
              <a:ln w="19050">
                <a:noFill/>
              </a:ln>
              <a:effectLst/>
            </c:spPr>
            <c:extLst>
              <c:ext xmlns:c16="http://schemas.microsoft.com/office/drawing/2014/chart" uri="{C3380CC4-5D6E-409C-BE32-E72D297353CC}">
                <c16:uniqueId val="{00000003-A257-4E6B-86F9-720B80EC4A83}"/>
              </c:ext>
            </c:extLst>
          </c:dPt>
          <c:dPt>
            <c:idx val="2"/>
            <c:bubble3D val="0"/>
            <c:spPr>
              <a:gradFill>
                <a:gsLst>
                  <a:gs pos="0">
                    <a:schemeClr val="accent6">
                      <a:lumMod val="20000"/>
                      <a:lumOff val="80000"/>
                    </a:schemeClr>
                  </a:gs>
                  <a:gs pos="100000">
                    <a:schemeClr val="accent6">
                      <a:lumMod val="50000"/>
                    </a:schemeClr>
                  </a:gs>
                </a:gsLst>
                <a:lin ang="10800000" scaled="0"/>
              </a:gradFill>
              <a:ln w="19050">
                <a:noFill/>
              </a:ln>
              <a:effectLst/>
            </c:spPr>
            <c:extLst>
              <c:ext xmlns:c16="http://schemas.microsoft.com/office/drawing/2014/chart" uri="{C3380CC4-5D6E-409C-BE32-E72D297353CC}">
                <c16:uniqueId val="{00000005-A257-4E6B-86F9-720B80EC4A83}"/>
              </c:ext>
            </c:extLst>
          </c:dPt>
          <c:dLbls>
            <c:dLbl>
              <c:idx val="1"/>
              <c:layout>
                <c:manualLayout>
                  <c:x val="1.4195100612423447E-2"/>
                  <c:y val="-0.1081681600144809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57-4E6B-86F9-720B80EC4A83}"/>
                </c:ext>
              </c:extLst>
            </c:dLbl>
            <c:dLbl>
              <c:idx val="2"/>
              <c:layout>
                <c:manualLayout>
                  <c:x val="-1.216400622878115E-2"/>
                  <c:y val="9.474110276445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57-4E6B-86F9-720B80EC4A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dESIGN!$A$114:$A$117</c:f>
              <c:strCache>
                <c:ptCount val="3"/>
                <c:pt idx="0">
                  <c:v>HR</c:v>
                </c:pt>
                <c:pt idx="1">
                  <c:v>R&amp;D</c:v>
                </c:pt>
                <c:pt idx="2">
                  <c:v>Sales</c:v>
                </c:pt>
              </c:strCache>
            </c:strRef>
          </c:cat>
          <c:val>
            <c:numRef>
              <c:f>dESIGN!$B$114:$B$117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257-4E6B-86F9-720B80EC4A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DATA_Excel.xlsx]dESIGN!PivotTable11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B3F1F9"/>
              </a:gs>
              <a:gs pos="100000">
                <a:schemeClr val="accent5">
                  <a:lumMod val="60000"/>
                  <a:lumOff val="40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B3F1F9"/>
              </a:gs>
              <a:gs pos="100000">
                <a:schemeClr val="accent5">
                  <a:lumMod val="60000"/>
                  <a:lumOff val="40000"/>
                </a:schemeClr>
              </a:gs>
            </a:gsLst>
            <a:lin ang="10800000" scaled="0"/>
          </a:gradFill>
          <a:ln>
            <a:noFill/>
          </a:ln>
          <a:effectLst/>
        </c:spPr>
        <c:dLbl>
          <c:idx val="0"/>
          <c:layout>
            <c:manualLayout>
              <c:x val="-1.5308217725074139E-17"/>
              <c:y val="-0.393760203051541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B3F1F9"/>
              </a:gs>
              <a:gs pos="100000">
                <a:schemeClr val="accent5">
                  <a:lumMod val="60000"/>
                  <a:lumOff val="40000"/>
                </a:schemeClr>
              </a:gs>
            </a:gsLst>
            <a:lin ang="10800000" scaled="0"/>
          </a:gradFill>
          <a:ln>
            <a:noFill/>
          </a:ln>
          <a:effectLst/>
        </c:spPr>
        <c:dLbl>
          <c:idx val="0"/>
          <c:layout>
            <c:manualLayout>
              <c:x val="-1.2246574180059311E-16"/>
              <c:y val="-0.100339188370684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B3F1F9"/>
              </a:gs>
              <a:gs pos="100000">
                <a:schemeClr val="accent5">
                  <a:lumMod val="60000"/>
                  <a:lumOff val="40000"/>
                </a:schemeClr>
              </a:gs>
            </a:gsLst>
            <a:lin ang="10800000" scaled="0"/>
          </a:gradFill>
          <a:ln>
            <a:noFill/>
          </a:ln>
          <a:effectLst/>
        </c:spPr>
        <c:dLbl>
          <c:idx val="0"/>
          <c:layout>
            <c:manualLayout>
              <c:x val="0"/>
              <c:y val="-0.136731562400853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B3F1F9"/>
              </a:gs>
              <a:gs pos="100000">
                <a:schemeClr val="accent5">
                  <a:lumMod val="60000"/>
                  <a:lumOff val="40000"/>
                </a:schemeClr>
              </a:gs>
            </a:gsLst>
            <a:lin ang="10800000" scaled="0"/>
          </a:gradFill>
          <a:ln>
            <a:noFill/>
          </a:ln>
          <a:effectLst/>
        </c:spPr>
        <c:dLbl>
          <c:idx val="0"/>
          <c:layout>
            <c:manualLayout>
              <c:x val="-6.1232870900296555E-17"/>
              <c:y val="-0.162675434801419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B3F1F9"/>
              </a:gs>
              <a:gs pos="100000">
                <a:schemeClr val="accent5">
                  <a:lumMod val="60000"/>
                  <a:lumOff val="40000"/>
                </a:schemeClr>
              </a:gs>
            </a:gsLst>
            <a:lin ang="10800000" scaled="0"/>
          </a:gradFill>
          <a:ln>
            <a:noFill/>
          </a:ln>
          <a:effectLst/>
        </c:spPr>
        <c:dLbl>
          <c:idx val="0"/>
          <c:layout>
            <c:manualLayout>
              <c:x val="-6.1232870900296555E-17"/>
              <c:y val="-0.225249920682991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dESIGN!$B$129</c:f>
              <c:strCache>
                <c:ptCount val="1"/>
                <c:pt idx="0">
                  <c:v>Total</c:v>
                </c:pt>
              </c:strCache>
            </c:strRef>
          </c:tx>
          <c:spPr>
            <a:gradFill>
              <a:gsLst>
                <a:gs pos="0">
                  <a:srgbClr val="B3F1F9"/>
                </a:gs>
                <a:gs pos="100000">
                  <a:schemeClr val="accent5">
                    <a:lumMod val="60000"/>
                    <a:lumOff val="40000"/>
                  </a:schemeClr>
                </a:gs>
              </a:gsLst>
              <a:lin ang="10800000" scaled="0"/>
            </a:gradFill>
            <a:ln>
              <a:noFill/>
            </a:ln>
            <a:effectLst/>
          </c:spPr>
          <c:invertIfNegative val="0"/>
          <c:dLbls>
            <c:dLbl>
              <c:idx val="0"/>
              <c:layout>
                <c:manualLayout>
                  <c:x val="-1.5308217725074139E-17"/>
                  <c:y val="-0.393760203051541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E2-42F5-BADC-1297F29AC769}"/>
                </c:ext>
              </c:extLst>
            </c:dLbl>
            <c:dLbl>
              <c:idx val="1"/>
              <c:layout>
                <c:manualLayout>
                  <c:x val="-6.1232870900296555E-17"/>
                  <c:y val="-0.225249920682991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E2-42F5-BADC-1297F29AC769}"/>
                </c:ext>
              </c:extLst>
            </c:dLbl>
            <c:dLbl>
              <c:idx val="2"/>
              <c:layout>
                <c:manualLayout>
                  <c:x val="-6.1232870900296555E-17"/>
                  <c:y val="-0.162675434801419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E2-42F5-BADC-1297F29AC769}"/>
                </c:ext>
              </c:extLst>
            </c:dLbl>
            <c:dLbl>
              <c:idx val="3"/>
              <c:layout>
                <c:manualLayout>
                  <c:x val="0"/>
                  <c:y val="-0.136731562400853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E2-42F5-BADC-1297F29AC769}"/>
                </c:ext>
              </c:extLst>
            </c:dLbl>
            <c:dLbl>
              <c:idx val="4"/>
              <c:layout>
                <c:manualLayout>
                  <c:x val="-1.2246574180059311E-16"/>
                  <c:y val="-0.100339188370684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E2-42F5-BADC-1297F29AC76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dESIGN!$A$130:$A$135</c:f>
              <c:strCache>
                <c:ptCount val="5"/>
                <c:pt idx="0">
                  <c:v>25 - 34</c:v>
                </c:pt>
                <c:pt idx="1">
                  <c:v>35 - 44</c:v>
                </c:pt>
                <c:pt idx="2">
                  <c:v>Under 25</c:v>
                </c:pt>
                <c:pt idx="3">
                  <c:v>45 - 54</c:v>
                </c:pt>
                <c:pt idx="4">
                  <c:v>Over 55</c:v>
                </c:pt>
              </c:strCache>
            </c:strRef>
          </c:cat>
          <c:val>
            <c:numRef>
              <c:f>dESIGN!$B$130:$B$135</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DE2-42F5-BADC-1297F29AC769}"/>
            </c:ext>
          </c:extLst>
        </c:ser>
        <c:dLbls>
          <c:dLblPos val="inEnd"/>
          <c:showLegendKey val="0"/>
          <c:showVal val="1"/>
          <c:showCatName val="0"/>
          <c:showSerName val="0"/>
          <c:showPercent val="0"/>
          <c:showBubbleSize val="0"/>
        </c:dLbls>
        <c:gapWidth val="100"/>
        <c:overlap val="100"/>
        <c:axId val="1889119552"/>
        <c:axId val="1889111872"/>
      </c:barChart>
      <c:catAx>
        <c:axId val="188911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89111872"/>
        <c:crosses val="autoZero"/>
        <c:auto val="1"/>
        <c:lblAlgn val="ctr"/>
        <c:lblOffset val="100"/>
        <c:noMultiLvlLbl val="0"/>
      </c:catAx>
      <c:valAx>
        <c:axId val="1889111872"/>
        <c:scaling>
          <c:orientation val="minMax"/>
        </c:scaling>
        <c:delete val="1"/>
        <c:axPos val="l"/>
        <c:numFmt formatCode="General" sourceLinked="1"/>
        <c:majorTickMark val="none"/>
        <c:minorTickMark val="none"/>
        <c:tickLblPos val="nextTo"/>
        <c:crossAx val="188911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58A5B489-74F1-43A4-9366-ED7D84855EB5}">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86E6A6AB-AEFB-4BDB-98AF-FCFE5AF7DECE}">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58A5B489-74F1-43A4-9366-ED7D84855EB5}">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86E6A6AB-AEFB-4BDB-98AF-FCFE5AF7DECE}">
          <cx:spPr>
            <a:gradFill>
              <a:gsLst>
                <a:gs pos="0">
                  <a:schemeClr val="accent2">
                    <a:lumMod val="60000"/>
                    <a:lumOff val="40000"/>
                  </a:schemeClr>
                </a:gs>
                <a:gs pos="100000">
                  <a:schemeClr val="accent2">
                    <a:lumMod val="75000"/>
                  </a:schemeClr>
                </a:gs>
              </a:gsLst>
              <a:lin ang="10800000" scaled="0"/>
            </a:gradFill>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0.xml"/><Relationship Id="rId26" Type="http://schemas.openxmlformats.org/officeDocument/2006/relationships/chart" Target="../charts/chart13.xml"/><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9.xml"/><Relationship Id="rId25"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microsoft.com/office/2014/relationships/chartEx" Target="../charts/chartEx3.xml"/><Relationship Id="rId5" Type="http://schemas.openxmlformats.org/officeDocument/2006/relationships/image" Target="../media/image5.png"/><Relationship Id="rId15" Type="http://schemas.openxmlformats.org/officeDocument/2006/relationships/chart" Target="../charts/chart7.xml"/><Relationship Id="rId23"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18.svg"/><Relationship Id="rId27" Type="http://schemas.microsoft.com/office/2014/relationships/chartEx" Target="../charts/chartEx4.xml"/></Relationships>
</file>

<file path=xl/drawings/_rels/drawing3.xml.rels><?xml version="1.0" encoding="UTF-8" standalone="yes"?>
<Relationships xmlns="http://schemas.openxmlformats.org/package/2006/relationships"><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10</xdr:col>
      <xdr:colOff>198120</xdr:colOff>
      <xdr:row>50</xdr:row>
      <xdr:rowOff>60961</xdr:rowOff>
    </xdr:from>
    <xdr:to>
      <xdr:col>11</xdr:col>
      <xdr:colOff>236220</xdr:colOff>
      <xdr:row>55</xdr:row>
      <xdr:rowOff>167641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67F57359-293E-27C1-BE04-9740233997F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365480" y="1010412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175260</xdr:colOff>
      <xdr:row>29</xdr:row>
      <xdr:rowOff>144780</xdr:rowOff>
    </xdr:from>
    <xdr:to>
      <xdr:col>9</xdr:col>
      <xdr:colOff>224790</xdr:colOff>
      <xdr:row>36</xdr:row>
      <xdr:rowOff>80010</xdr:rowOff>
    </xdr:to>
    <xdr:graphicFrame macro="">
      <xdr:nvGraphicFramePr>
        <xdr:cNvPr id="2" name="Chart 1">
          <a:extLst>
            <a:ext uri="{FF2B5EF4-FFF2-40B4-BE49-F238E27FC236}">
              <a16:creationId xmlns:a16="http://schemas.microsoft.com/office/drawing/2014/main" id="{5B06AFC2-FF0D-C2A9-FE2E-C82A5075A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617220</xdr:colOff>
      <xdr:row>34</xdr:row>
      <xdr:rowOff>83820</xdr:rowOff>
    </xdr:from>
    <xdr:to>
      <xdr:col>4</xdr:col>
      <xdr:colOff>220980</xdr:colOff>
      <xdr:row>39</xdr:row>
      <xdr:rowOff>171450</xdr:rowOff>
    </xdr:to>
    <xdr:graphicFrame macro="">
      <xdr:nvGraphicFramePr>
        <xdr:cNvPr id="3" name="Chart 2">
          <a:extLst>
            <a:ext uri="{FF2B5EF4-FFF2-40B4-BE49-F238E27FC236}">
              <a16:creationId xmlns:a16="http://schemas.microsoft.com/office/drawing/2014/main" id="{165594C3-BC4E-5865-151F-056D040A3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388620</xdr:colOff>
      <xdr:row>34</xdr:row>
      <xdr:rowOff>114300</xdr:rowOff>
    </xdr:from>
    <xdr:to>
      <xdr:col>13</xdr:col>
      <xdr:colOff>426720</xdr:colOff>
      <xdr:row>48</xdr:row>
      <xdr:rowOff>20955</xdr:rowOff>
    </xdr:to>
    <mc:AlternateContent xmlns:mc="http://schemas.openxmlformats.org/markup-compatibility/2006">
      <mc:Choice xmlns:a14="http://schemas.microsoft.com/office/drawing/2010/main" Requires="a14">
        <xdr:graphicFrame macro="">
          <xdr:nvGraphicFramePr>
            <xdr:cNvPr id="5" name="Education Field">
              <a:extLst>
                <a:ext uri="{FF2B5EF4-FFF2-40B4-BE49-F238E27FC236}">
                  <a16:creationId xmlns:a16="http://schemas.microsoft.com/office/drawing/2014/main" id="{BF921222-AB2B-B308-0803-D89283F637E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7137380" y="69723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137160</xdr:colOff>
      <xdr:row>55</xdr:row>
      <xdr:rowOff>53340</xdr:rowOff>
    </xdr:from>
    <xdr:to>
      <xdr:col>10</xdr:col>
      <xdr:colOff>11430</xdr:colOff>
      <xdr:row>64</xdr:row>
      <xdr:rowOff>19050</xdr:rowOff>
    </xdr:to>
    <xdr:graphicFrame macro="">
      <xdr:nvGraphicFramePr>
        <xdr:cNvPr id="6" name="Chart 5">
          <a:extLst>
            <a:ext uri="{FF2B5EF4-FFF2-40B4-BE49-F238E27FC236}">
              <a16:creationId xmlns:a16="http://schemas.microsoft.com/office/drawing/2014/main" id="{CF1AB2BF-BACF-F690-157C-83DDFA6D8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148590</xdr:colOff>
      <xdr:row>69</xdr:row>
      <xdr:rowOff>7620</xdr:rowOff>
    </xdr:from>
    <xdr:to>
      <xdr:col>6</xdr:col>
      <xdr:colOff>419100</xdr:colOff>
      <xdr:row>79</xdr:row>
      <xdr:rowOff>167640</xdr:rowOff>
    </xdr:to>
    <xdr:graphicFrame macro="">
      <xdr:nvGraphicFramePr>
        <xdr:cNvPr id="7" name="Chart 6">
          <a:extLst>
            <a:ext uri="{FF2B5EF4-FFF2-40B4-BE49-F238E27FC236}">
              <a16:creationId xmlns:a16="http://schemas.microsoft.com/office/drawing/2014/main" id="{8DB30FE7-AED3-5BE6-B803-732AF45AC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224790</xdr:colOff>
      <xdr:row>98</xdr:row>
      <xdr:rowOff>30480</xdr:rowOff>
    </xdr:from>
    <xdr:to>
      <xdr:col>4</xdr:col>
      <xdr:colOff>419100</xdr:colOff>
      <xdr:row>108</xdr:row>
      <xdr:rowOff>60960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F519C742-9798-521A-CB83-356F736BF6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06190" y="19705320"/>
              <a:ext cx="3775710" cy="20116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255270</xdr:colOff>
      <xdr:row>110</xdr:row>
      <xdr:rowOff>129540</xdr:rowOff>
    </xdr:from>
    <xdr:to>
      <xdr:col>4</xdr:col>
      <xdr:colOff>175260</xdr:colOff>
      <xdr:row>119</xdr:row>
      <xdr:rowOff>68580</xdr:rowOff>
    </xdr:to>
    <xdr:graphicFrame macro="">
      <xdr:nvGraphicFramePr>
        <xdr:cNvPr id="10" name="Chart 9">
          <a:extLst>
            <a:ext uri="{FF2B5EF4-FFF2-40B4-BE49-F238E27FC236}">
              <a16:creationId xmlns:a16="http://schemas.microsoft.com/office/drawing/2014/main" id="{0E7C209E-9019-DC42-E938-B699EE705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369570</xdr:colOff>
      <xdr:row>125</xdr:row>
      <xdr:rowOff>83820</xdr:rowOff>
    </xdr:from>
    <xdr:to>
      <xdr:col>4</xdr:col>
      <xdr:colOff>350520</xdr:colOff>
      <xdr:row>135</xdr:row>
      <xdr:rowOff>3810</xdr:rowOff>
    </xdr:to>
    <xdr:graphicFrame macro="">
      <xdr:nvGraphicFramePr>
        <xdr:cNvPr id="11" name="Chart 10">
          <a:extLst>
            <a:ext uri="{FF2B5EF4-FFF2-40B4-BE49-F238E27FC236}">
              <a16:creationId xmlns:a16="http://schemas.microsoft.com/office/drawing/2014/main" id="{B38150B3-7CFE-88BF-F2D1-AED024D27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247650</xdr:colOff>
      <xdr:row>140</xdr:row>
      <xdr:rowOff>30480</xdr:rowOff>
    </xdr:from>
    <xdr:to>
      <xdr:col>8</xdr:col>
      <xdr:colOff>22860</xdr:colOff>
      <xdr:row>150</xdr:row>
      <xdr:rowOff>34290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FA47463D-398C-DFBB-3F46-A6CAE9F4CD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305550" y="28125420"/>
              <a:ext cx="3303270" cy="20231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1143000</xdr:colOff>
      <xdr:row>153</xdr:row>
      <xdr:rowOff>144780</xdr:rowOff>
    </xdr:from>
    <xdr:to>
      <xdr:col>3</xdr:col>
      <xdr:colOff>220980</xdr:colOff>
      <xdr:row>167</xdr:row>
      <xdr:rowOff>66675</xdr:rowOff>
    </xdr:to>
    <mc:AlternateContent xmlns:mc="http://schemas.openxmlformats.org/markup-compatibility/2006">
      <mc:Choice xmlns:a14="http://schemas.microsoft.com/office/drawing/2010/main" Requires="a14">
        <xdr:graphicFrame macro="">
          <xdr:nvGraphicFramePr>
            <xdr:cNvPr id="13" name="Department">
              <a:extLst>
                <a:ext uri="{FF2B5EF4-FFF2-40B4-BE49-F238E27FC236}">
                  <a16:creationId xmlns:a16="http://schemas.microsoft.com/office/drawing/2014/main" id="{7A9C760A-BBF7-2AF0-3940-B30AAAD1ABC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072640" y="308686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441960</xdr:colOff>
      <xdr:row>153</xdr:row>
      <xdr:rowOff>137160</xdr:rowOff>
    </xdr:from>
    <xdr:to>
      <xdr:col>4</xdr:col>
      <xdr:colOff>495300</xdr:colOff>
      <xdr:row>167</xdr:row>
      <xdr:rowOff>59055</xdr:rowOff>
    </xdr:to>
    <mc:AlternateContent xmlns:mc="http://schemas.openxmlformats.org/markup-compatibility/2006">
      <mc:Choice xmlns:a14="http://schemas.microsoft.com/office/drawing/2010/main" Requires="a14">
        <xdr:graphicFrame macro="">
          <xdr:nvGraphicFramePr>
            <xdr:cNvPr id="14" name="Education Field 1">
              <a:extLst>
                <a:ext uri="{FF2B5EF4-FFF2-40B4-BE49-F238E27FC236}">
                  <a16:creationId xmlns:a16="http://schemas.microsoft.com/office/drawing/2014/main" id="{211CF6D4-C35E-8089-1308-10267F376AA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4122420" y="308610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1</xdr:row>
      <xdr:rowOff>15240</xdr:rowOff>
    </xdr:from>
    <xdr:to>
      <xdr:col>21</xdr:col>
      <xdr:colOff>15240</xdr:colOff>
      <xdr:row>33</xdr:row>
      <xdr:rowOff>0</xdr:rowOff>
    </xdr:to>
    <xdr:sp macro="" textlink="">
      <xdr:nvSpPr>
        <xdr:cNvPr id="2" name="Rectangle: Rounded Corners 1">
          <a:extLst>
            <a:ext uri="{FF2B5EF4-FFF2-40B4-BE49-F238E27FC236}">
              <a16:creationId xmlns:a16="http://schemas.microsoft.com/office/drawing/2014/main" id="{6E911AE7-EA96-C0F6-A80F-77F580F6B2BD}"/>
            </a:ext>
          </a:extLst>
        </xdr:cNvPr>
        <xdr:cNvSpPr/>
      </xdr:nvSpPr>
      <xdr:spPr>
        <a:xfrm>
          <a:off x="45720" y="213360"/>
          <a:ext cx="14051280" cy="6324600"/>
        </a:xfrm>
        <a:prstGeom prst="roundRect">
          <a:avLst>
            <a:gd name="adj" fmla="val 3294"/>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1</xdr:row>
      <xdr:rowOff>68580</xdr:rowOff>
    </xdr:from>
    <xdr:to>
      <xdr:col>12</xdr:col>
      <xdr:colOff>640080</xdr:colOff>
      <xdr:row>4</xdr:row>
      <xdr:rowOff>190500</xdr:rowOff>
    </xdr:to>
    <xdr:sp macro="" textlink="">
      <xdr:nvSpPr>
        <xdr:cNvPr id="3" name="Rectangle: Rounded Corners 2">
          <a:extLst>
            <a:ext uri="{FF2B5EF4-FFF2-40B4-BE49-F238E27FC236}">
              <a16:creationId xmlns:a16="http://schemas.microsoft.com/office/drawing/2014/main" id="{FEDE7D15-A171-4B4A-4A39-173ED29BB6FB}"/>
            </a:ext>
          </a:extLst>
        </xdr:cNvPr>
        <xdr:cNvSpPr/>
      </xdr:nvSpPr>
      <xdr:spPr>
        <a:xfrm>
          <a:off x="83820" y="266700"/>
          <a:ext cx="8602980" cy="7162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22860</xdr:colOff>
      <xdr:row>1</xdr:row>
      <xdr:rowOff>76200</xdr:rowOff>
    </xdr:from>
    <xdr:to>
      <xdr:col>20</xdr:col>
      <xdr:colOff>640080</xdr:colOff>
      <xdr:row>4</xdr:row>
      <xdr:rowOff>190500</xdr:rowOff>
    </xdr:to>
    <xdr:sp macro="" textlink="">
      <xdr:nvSpPr>
        <xdr:cNvPr id="4" name="Rectangle: Rounded Corners 3">
          <a:extLst>
            <a:ext uri="{FF2B5EF4-FFF2-40B4-BE49-F238E27FC236}">
              <a16:creationId xmlns:a16="http://schemas.microsoft.com/office/drawing/2014/main" id="{394A8412-49B7-7C5F-BD49-2A4A8801DFF5}"/>
            </a:ext>
          </a:extLst>
        </xdr:cNvPr>
        <xdr:cNvSpPr/>
      </xdr:nvSpPr>
      <xdr:spPr>
        <a:xfrm>
          <a:off x="8740140" y="274320"/>
          <a:ext cx="5311140" cy="7086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91440</xdr:colOff>
      <xdr:row>5</xdr:row>
      <xdr:rowOff>30480</xdr:rowOff>
    </xdr:from>
    <xdr:to>
      <xdr:col>4</xdr:col>
      <xdr:colOff>145200</xdr:colOff>
      <xdr:row>10</xdr:row>
      <xdr:rowOff>99060</xdr:rowOff>
    </xdr:to>
    <xdr:sp macro="" textlink="">
      <xdr:nvSpPr>
        <xdr:cNvPr id="5" name="Rectangle: Rounded Corners 4">
          <a:extLst>
            <a:ext uri="{FF2B5EF4-FFF2-40B4-BE49-F238E27FC236}">
              <a16:creationId xmlns:a16="http://schemas.microsoft.com/office/drawing/2014/main" id="{84EBDA88-A4D7-893B-331D-E736D3A09DDE}"/>
            </a:ext>
          </a:extLst>
        </xdr:cNvPr>
        <xdr:cNvSpPr/>
      </xdr:nvSpPr>
      <xdr:spPr>
        <a:xfrm>
          <a:off x="91440" y="1021080"/>
          <a:ext cx="2736000" cy="10591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207645</xdr:colOff>
      <xdr:row>5</xdr:row>
      <xdr:rowOff>43815</xdr:rowOff>
    </xdr:from>
    <xdr:to>
      <xdr:col>8</xdr:col>
      <xdr:colOff>261405</xdr:colOff>
      <xdr:row>10</xdr:row>
      <xdr:rowOff>112395</xdr:rowOff>
    </xdr:to>
    <xdr:sp macro="" textlink="">
      <xdr:nvSpPr>
        <xdr:cNvPr id="10" name="Rectangle: Rounded Corners 9">
          <a:extLst>
            <a:ext uri="{FF2B5EF4-FFF2-40B4-BE49-F238E27FC236}">
              <a16:creationId xmlns:a16="http://schemas.microsoft.com/office/drawing/2014/main" id="{62AC3375-C2BF-8343-4AC1-1720E9924A0C}"/>
            </a:ext>
          </a:extLst>
        </xdr:cNvPr>
        <xdr:cNvSpPr/>
      </xdr:nvSpPr>
      <xdr:spPr>
        <a:xfrm>
          <a:off x="2889885" y="1034415"/>
          <a:ext cx="2736000" cy="10591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323850</xdr:colOff>
      <xdr:row>5</xdr:row>
      <xdr:rowOff>57150</xdr:rowOff>
    </xdr:from>
    <xdr:to>
      <xdr:col>12</xdr:col>
      <xdr:colOff>377610</xdr:colOff>
      <xdr:row>10</xdr:row>
      <xdr:rowOff>125730</xdr:rowOff>
    </xdr:to>
    <xdr:sp macro="" textlink="">
      <xdr:nvSpPr>
        <xdr:cNvPr id="11" name="Rectangle: Rounded Corners 10">
          <a:extLst>
            <a:ext uri="{FF2B5EF4-FFF2-40B4-BE49-F238E27FC236}">
              <a16:creationId xmlns:a16="http://schemas.microsoft.com/office/drawing/2014/main" id="{59C16E31-1D6D-8AB6-170E-2CF57D494FC3}"/>
            </a:ext>
          </a:extLst>
        </xdr:cNvPr>
        <xdr:cNvSpPr/>
      </xdr:nvSpPr>
      <xdr:spPr>
        <a:xfrm>
          <a:off x="5688330" y="1047750"/>
          <a:ext cx="2736000" cy="10591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440055</xdr:colOff>
      <xdr:row>5</xdr:row>
      <xdr:rowOff>70485</xdr:rowOff>
    </xdr:from>
    <xdr:to>
      <xdr:col>16</xdr:col>
      <xdr:colOff>493815</xdr:colOff>
      <xdr:row>10</xdr:row>
      <xdr:rowOff>139065</xdr:rowOff>
    </xdr:to>
    <xdr:sp macro="" textlink="">
      <xdr:nvSpPr>
        <xdr:cNvPr id="12" name="Rectangle: Rounded Corners 11">
          <a:extLst>
            <a:ext uri="{FF2B5EF4-FFF2-40B4-BE49-F238E27FC236}">
              <a16:creationId xmlns:a16="http://schemas.microsoft.com/office/drawing/2014/main" id="{BCA384AA-5858-E60F-9E71-830A9EB533F7}"/>
            </a:ext>
          </a:extLst>
        </xdr:cNvPr>
        <xdr:cNvSpPr/>
      </xdr:nvSpPr>
      <xdr:spPr>
        <a:xfrm>
          <a:off x="8486775" y="1061085"/>
          <a:ext cx="2736000" cy="10591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556260</xdr:colOff>
      <xdr:row>5</xdr:row>
      <xdr:rowOff>83820</xdr:rowOff>
    </xdr:from>
    <xdr:to>
      <xdr:col>20</xdr:col>
      <xdr:colOff>610020</xdr:colOff>
      <xdr:row>10</xdr:row>
      <xdr:rowOff>152400</xdr:rowOff>
    </xdr:to>
    <xdr:sp macro="" textlink="">
      <xdr:nvSpPr>
        <xdr:cNvPr id="13" name="Rectangle: Rounded Corners 12">
          <a:extLst>
            <a:ext uri="{FF2B5EF4-FFF2-40B4-BE49-F238E27FC236}">
              <a16:creationId xmlns:a16="http://schemas.microsoft.com/office/drawing/2014/main" id="{C48EB248-072A-18BC-4FDF-95F6E2F70142}"/>
            </a:ext>
          </a:extLst>
        </xdr:cNvPr>
        <xdr:cNvSpPr/>
      </xdr:nvSpPr>
      <xdr:spPr>
        <a:xfrm>
          <a:off x="11285220" y="1074420"/>
          <a:ext cx="2736000" cy="105918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106680</xdr:colOff>
      <xdr:row>10</xdr:row>
      <xdr:rowOff>144780</xdr:rowOff>
    </xdr:from>
    <xdr:to>
      <xdr:col>6</xdr:col>
      <xdr:colOff>289560</xdr:colOff>
      <xdr:row>21</xdr:row>
      <xdr:rowOff>125460</xdr:rowOff>
    </xdr:to>
    <xdr:sp macro="" textlink="">
      <xdr:nvSpPr>
        <xdr:cNvPr id="14" name="Rectangle: Rounded Corners 13">
          <a:extLst>
            <a:ext uri="{FF2B5EF4-FFF2-40B4-BE49-F238E27FC236}">
              <a16:creationId xmlns:a16="http://schemas.microsoft.com/office/drawing/2014/main" id="{21B8F68A-044D-AAB1-C93A-D92262E35B92}"/>
            </a:ext>
          </a:extLst>
        </xdr:cNvPr>
        <xdr:cNvSpPr/>
      </xdr:nvSpPr>
      <xdr:spPr>
        <a:xfrm>
          <a:off x="106680" y="2125980"/>
          <a:ext cx="4206240" cy="21600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91440</xdr:colOff>
      <xdr:row>21</xdr:row>
      <xdr:rowOff>190500</xdr:rowOff>
    </xdr:from>
    <xdr:to>
      <xdr:col>6</xdr:col>
      <xdr:colOff>251460</xdr:colOff>
      <xdr:row>32</xdr:row>
      <xdr:rowOff>171180</xdr:rowOff>
    </xdr:to>
    <xdr:sp macro="" textlink="">
      <xdr:nvSpPr>
        <xdr:cNvPr id="16" name="Rectangle: Rounded Corners 15">
          <a:extLst>
            <a:ext uri="{FF2B5EF4-FFF2-40B4-BE49-F238E27FC236}">
              <a16:creationId xmlns:a16="http://schemas.microsoft.com/office/drawing/2014/main" id="{62508918-5D59-938B-46E8-AF0F1D5E614B}"/>
            </a:ext>
          </a:extLst>
        </xdr:cNvPr>
        <xdr:cNvSpPr/>
      </xdr:nvSpPr>
      <xdr:spPr>
        <a:xfrm>
          <a:off x="91440" y="4351020"/>
          <a:ext cx="4183380" cy="21600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358140</xdr:colOff>
      <xdr:row>10</xdr:row>
      <xdr:rowOff>160020</xdr:rowOff>
    </xdr:from>
    <xdr:to>
      <xdr:col>13</xdr:col>
      <xdr:colOff>426720</xdr:colOff>
      <xdr:row>21</xdr:row>
      <xdr:rowOff>140700</xdr:rowOff>
    </xdr:to>
    <xdr:sp macro="" textlink="">
      <xdr:nvSpPr>
        <xdr:cNvPr id="17" name="Rectangle: Rounded Corners 16">
          <a:extLst>
            <a:ext uri="{FF2B5EF4-FFF2-40B4-BE49-F238E27FC236}">
              <a16:creationId xmlns:a16="http://schemas.microsoft.com/office/drawing/2014/main" id="{ADC8AECC-2750-22AB-9F08-76267ACF25DD}"/>
            </a:ext>
          </a:extLst>
        </xdr:cNvPr>
        <xdr:cNvSpPr/>
      </xdr:nvSpPr>
      <xdr:spPr>
        <a:xfrm>
          <a:off x="4381500" y="2141220"/>
          <a:ext cx="4762500" cy="21600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495300</xdr:colOff>
      <xdr:row>10</xdr:row>
      <xdr:rowOff>175260</xdr:rowOff>
    </xdr:from>
    <xdr:to>
      <xdr:col>20</xdr:col>
      <xdr:colOff>661380</xdr:colOff>
      <xdr:row>21</xdr:row>
      <xdr:rowOff>155940</xdr:rowOff>
    </xdr:to>
    <xdr:sp macro="" textlink="">
      <xdr:nvSpPr>
        <xdr:cNvPr id="18" name="Rectangle: Rounded Corners 17">
          <a:extLst>
            <a:ext uri="{FF2B5EF4-FFF2-40B4-BE49-F238E27FC236}">
              <a16:creationId xmlns:a16="http://schemas.microsoft.com/office/drawing/2014/main" id="{09C5C752-05B4-9681-F009-2C99629CB24E}"/>
            </a:ext>
          </a:extLst>
        </xdr:cNvPr>
        <xdr:cNvSpPr/>
      </xdr:nvSpPr>
      <xdr:spPr>
        <a:xfrm>
          <a:off x="9212580" y="2156460"/>
          <a:ext cx="4860000" cy="21600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327660</xdr:colOff>
      <xdr:row>21</xdr:row>
      <xdr:rowOff>182880</xdr:rowOff>
    </xdr:from>
    <xdr:to>
      <xdr:col>12</xdr:col>
      <xdr:colOff>487680</xdr:colOff>
      <xdr:row>32</xdr:row>
      <xdr:rowOff>163560</xdr:rowOff>
    </xdr:to>
    <xdr:sp macro="" textlink="">
      <xdr:nvSpPr>
        <xdr:cNvPr id="19" name="Rectangle: Rounded Corners 18">
          <a:extLst>
            <a:ext uri="{FF2B5EF4-FFF2-40B4-BE49-F238E27FC236}">
              <a16:creationId xmlns:a16="http://schemas.microsoft.com/office/drawing/2014/main" id="{E8A6A118-2929-BC1B-77E7-5BB9061CFB41}"/>
            </a:ext>
          </a:extLst>
        </xdr:cNvPr>
        <xdr:cNvSpPr/>
      </xdr:nvSpPr>
      <xdr:spPr>
        <a:xfrm>
          <a:off x="4351020" y="4343400"/>
          <a:ext cx="4183380" cy="21600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563880</xdr:colOff>
      <xdr:row>21</xdr:row>
      <xdr:rowOff>182880</xdr:rowOff>
    </xdr:from>
    <xdr:to>
      <xdr:col>16</xdr:col>
      <xdr:colOff>581640</xdr:colOff>
      <xdr:row>32</xdr:row>
      <xdr:rowOff>163560</xdr:rowOff>
    </xdr:to>
    <xdr:sp macro="" textlink="">
      <xdr:nvSpPr>
        <xdr:cNvPr id="20" name="Rectangle: Rounded Corners 19">
          <a:extLst>
            <a:ext uri="{FF2B5EF4-FFF2-40B4-BE49-F238E27FC236}">
              <a16:creationId xmlns:a16="http://schemas.microsoft.com/office/drawing/2014/main" id="{AF658ECC-44DA-962D-7850-FE9E8C3E45C7}"/>
            </a:ext>
          </a:extLst>
        </xdr:cNvPr>
        <xdr:cNvSpPr/>
      </xdr:nvSpPr>
      <xdr:spPr>
        <a:xfrm>
          <a:off x="8610600" y="4343400"/>
          <a:ext cx="2700000" cy="21600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632460</xdr:colOff>
      <xdr:row>21</xdr:row>
      <xdr:rowOff>167640</xdr:rowOff>
    </xdr:from>
    <xdr:to>
      <xdr:col>20</xdr:col>
      <xdr:colOff>650220</xdr:colOff>
      <xdr:row>32</xdr:row>
      <xdr:rowOff>148320</xdr:rowOff>
    </xdr:to>
    <xdr:sp macro="" textlink="">
      <xdr:nvSpPr>
        <xdr:cNvPr id="21" name="Rectangle: Rounded Corners 20">
          <a:extLst>
            <a:ext uri="{FF2B5EF4-FFF2-40B4-BE49-F238E27FC236}">
              <a16:creationId xmlns:a16="http://schemas.microsoft.com/office/drawing/2014/main" id="{DC7AC74C-2634-56AF-CC02-E351E808CA5F}"/>
            </a:ext>
          </a:extLst>
        </xdr:cNvPr>
        <xdr:cNvSpPr/>
      </xdr:nvSpPr>
      <xdr:spPr>
        <a:xfrm>
          <a:off x="11361420" y="4328160"/>
          <a:ext cx="2700000" cy="21600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182880</xdr:rowOff>
    </xdr:from>
    <xdr:to>
      <xdr:col>3</xdr:col>
      <xdr:colOff>274320</xdr:colOff>
      <xdr:row>7</xdr:row>
      <xdr:rowOff>60960</xdr:rowOff>
    </xdr:to>
    <xdr:sp macro="" textlink="">
      <xdr:nvSpPr>
        <xdr:cNvPr id="22" name="TextBox 21">
          <a:extLst>
            <a:ext uri="{FF2B5EF4-FFF2-40B4-BE49-F238E27FC236}">
              <a16:creationId xmlns:a16="http://schemas.microsoft.com/office/drawing/2014/main" id="{C9963E29-0265-7547-A4AA-37C93980912D}"/>
            </a:ext>
          </a:extLst>
        </xdr:cNvPr>
        <xdr:cNvSpPr txBox="1"/>
      </xdr:nvSpPr>
      <xdr:spPr>
        <a:xfrm>
          <a:off x="0" y="975360"/>
          <a:ext cx="22860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Total Employees</a:t>
          </a:r>
        </a:p>
      </xdr:txBody>
    </xdr:sp>
    <xdr:clientData/>
  </xdr:twoCellAnchor>
  <xdr:twoCellAnchor>
    <xdr:from>
      <xdr:col>1</xdr:col>
      <xdr:colOff>53340</xdr:colOff>
      <xdr:row>7</xdr:row>
      <xdr:rowOff>30480</xdr:rowOff>
    </xdr:from>
    <xdr:to>
      <xdr:col>2</xdr:col>
      <xdr:colOff>213360</xdr:colOff>
      <xdr:row>9</xdr:row>
      <xdr:rowOff>68580</xdr:rowOff>
    </xdr:to>
    <xdr:sp macro="" textlink="dESIGN!D3">
      <xdr:nvSpPr>
        <xdr:cNvPr id="23" name="TextBox 22">
          <a:extLst>
            <a:ext uri="{FF2B5EF4-FFF2-40B4-BE49-F238E27FC236}">
              <a16:creationId xmlns:a16="http://schemas.microsoft.com/office/drawing/2014/main" id="{BBCBC6D0-9C7C-7A39-4B69-C846F6149E8C}"/>
            </a:ext>
          </a:extLst>
        </xdr:cNvPr>
        <xdr:cNvSpPr txBox="1"/>
      </xdr:nvSpPr>
      <xdr:spPr>
        <a:xfrm>
          <a:off x="723900" y="1417320"/>
          <a:ext cx="8305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1FC94E-BDF1-46FE-94C8-2BDFB8829B39}" type="TxLink">
            <a:rPr lang="en-US" sz="2400" b="1" i="0" u="none" strike="noStrike">
              <a:solidFill>
                <a:srgbClr val="00B0F0"/>
              </a:solidFill>
              <a:latin typeface="Calibri"/>
              <a:ea typeface="Calibri"/>
              <a:cs typeface="Calibri"/>
            </a:rPr>
            <a:t>1470</a:t>
          </a:fld>
          <a:endParaRPr lang="en-US" sz="2400" b="1">
            <a:solidFill>
              <a:srgbClr val="00B0F0"/>
            </a:solidFill>
          </a:endParaRPr>
        </a:p>
      </xdr:txBody>
    </xdr:sp>
    <xdr:clientData/>
  </xdr:twoCellAnchor>
  <xdr:twoCellAnchor editAs="oneCell">
    <xdr:from>
      <xdr:col>3</xdr:col>
      <xdr:colOff>167641</xdr:colOff>
      <xdr:row>5</xdr:row>
      <xdr:rowOff>53340</xdr:rowOff>
    </xdr:from>
    <xdr:to>
      <xdr:col>4</xdr:col>
      <xdr:colOff>45721</xdr:colOff>
      <xdr:row>8</xdr:row>
      <xdr:rowOff>30480</xdr:rowOff>
    </xdr:to>
    <xdr:pic>
      <xdr:nvPicPr>
        <xdr:cNvPr id="27" name="Graphic 26" descr="Group of men outline">
          <a:extLst>
            <a:ext uri="{FF2B5EF4-FFF2-40B4-BE49-F238E27FC236}">
              <a16:creationId xmlns:a16="http://schemas.microsoft.com/office/drawing/2014/main" id="{E4A8E8E4-13B4-034F-9A55-EB7325A827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79321" y="1043940"/>
          <a:ext cx="548640" cy="571500"/>
        </a:xfrm>
        <a:prstGeom prst="rect">
          <a:avLst/>
        </a:prstGeom>
      </xdr:spPr>
    </xdr:pic>
    <xdr:clientData/>
  </xdr:twoCellAnchor>
  <xdr:twoCellAnchor>
    <xdr:from>
      <xdr:col>4</xdr:col>
      <xdr:colOff>106680</xdr:colOff>
      <xdr:row>5</xdr:row>
      <xdr:rowOff>7620</xdr:rowOff>
    </xdr:from>
    <xdr:to>
      <xdr:col>6</xdr:col>
      <xdr:colOff>297180</xdr:colOff>
      <xdr:row>7</xdr:row>
      <xdr:rowOff>15240</xdr:rowOff>
    </xdr:to>
    <xdr:sp macro="" textlink="">
      <xdr:nvSpPr>
        <xdr:cNvPr id="28" name="TextBox 27">
          <a:extLst>
            <a:ext uri="{FF2B5EF4-FFF2-40B4-BE49-F238E27FC236}">
              <a16:creationId xmlns:a16="http://schemas.microsoft.com/office/drawing/2014/main" id="{73568005-90AE-418B-8DE0-E825A7B2C06B}"/>
            </a:ext>
          </a:extLst>
        </xdr:cNvPr>
        <xdr:cNvSpPr txBox="1"/>
      </xdr:nvSpPr>
      <xdr:spPr>
        <a:xfrm>
          <a:off x="2788920" y="998220"/>
          <a:ext cx="15316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Attrition</a:t>
          </a:r>
        </a:p>
      </xdr:txBody>
    </xdr:sp>
    <xdr:clientData/>
  </xdr:twoCellAnchor>
  <xdr:twoCellAnchor>
    <xdr:from>
      <xdr:col>5</xdr:col>
      <xdr:colOff>449580</xdr:colOff>
      <xdr:row>7</xdr:row>
      <xdr:rowOff>22860</xdr:rowOff>
    </xdr:from>
    <xdr:to>
      <xdr:col>6</xdr:col>
      <xdr:colOff>525780</xdr:colOff>
      <xdr:row>9</xdr:row>
      <xdr:rowOff>60960</xdr:rowOff>
    </xdr:to>
    <xdr:sp macro="" textlink="dESIGN!D9">
      <xdr:nvSpPr>
        <xdr:cNvPr id="29" name="TextBox 28">
          <a:extLst>
            <a:ext uri="{FF2B5EF4-FFF2-40B4-BE49-F238E27FC236}">
              <a16:creationId xmlns:a16="http://schemas.microsoft.com/office/drawing/2014/main" id="{5E2FEB6E-10B6-4BCD-A795-FB4C7C8280DC}"/>
            </a:ext>
          </a:extLst>
        </xdr:cNvPr>
        <xdr:cNvSpPr txBox="1"/>
      </xdr:nvSpPr>
      <xdr:spPr>
        <a:xfrm>
          <a:off x="3802380" y="1409700"/>
          <a:ext cx="7467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52363A-6DC1-4506-9928-9A97F8089B89}" type="TxLink">
            <a:rPr lang="en-US" sz="2400" b="1" i="0" u="none" strike="noStrike">
              <a:solidFill>
                <a:srgbClr val="00B0F0"/>
              </a:solidFill>
              <a:latin typeface="Calibri"/>
              <a:ea typeface="Calibri"/>
              <a:cs typeface="Calibri"/>
            </a:rPr>
            <a:pPr marL="0" indent="0"/>
            <a:t>237</a:t>
          </a:fld>
          <a:endParaRPr lang="en-US" sz="2400" b="1" i="0" u="none" strike="noStrike">
            <a:solidFill>
              <a:srgbClr val="00B0F0"/>
            </a:solidFill>
            <a:latin typeface="Calibri"/>
            <a:ea typeface="Calibri"/>
            <a:cs typeface="Calibri"/>
          </a:endParaRPr>
        </a:p>
      </xdr:txBody>
    </xdr:sp>
    <xdr:clientData/>
  </xdr:twoCellAnchor>
  <xdr:twoCellAnchor>
    <xdr:from>
      <xdr:col>8</xdr:col>
      <xdr:colOff>350520</xdr:colOff>
      <xdr:row>5</xdr:row>
      <xdr:rowOff>38100</xdr:rowOff>
    </xdr:from>
    <xdr:to>
      <xdr:col>10</xdr:col>
      <xdr:colOff>541020</xdr:colOff>
      <xdr:row>7</xdr:row>
      <xdr:rowOff>45720</xdr:rowOff>
    </xdr:to>
    <xdr:sp macro="" textlink="">
      <xdr:nvSpPr>
        <xdr:cNvPr id="30" name="TextBox 29">
          <a:extLst>
            <a:ext uri="{FF2B5EF4-FFF2-40B4-BE49-F238E27FC236}">
              <a16:creationId xmlns:a16="http://schemas.microsoft.com/office/drawing/2014/main" id="{C637C63E-A002-4409-830F-C8E7A5D61FB5}"/>
            </a:ext>
          </a:extLst>
        </xdr:cNvPr>
        <xdr:cNvSpPr txBox="1"/>
      </xdr:nvSpPr>
      <xdr:spPr>
        <a:xfrm>
          <a:off x="5715000" y="1028700"/>
          <a:ext cx="15316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Average</a:t>
          </a:r>
          <a:r>
            <a:rPr lang="en-US" sz="1600" baseline="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 Age</a:t>
          </a:r>
          <a:endPar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endParaRPr>
        </a:p>
      </xdr:txBody>
    </xdr:sp>
    <xdr:clientData/>
  </xdr:twoCellAnchor>
  <xdr:twoCellAnchor>
    <xdr:from>
      <xdr:col>10</xdr:col>
      <xdr:colOff>30480</xdr:colOff>
      <xdr:row>7</xdr:row>
      <xdr:rowOff>83820</xdr:rowOff>
    </xdr:from>
    <xdr:to>
      <xdr:col>10</xdr:col>
      <xdr:colOff>617220</xdr:colOff>
      <xdr:row>9</xdr:row>
      <xdr:rowOff>121920</xdr:rowOff>
    </xdr:to>
    <xdr:sp macro="" textlink="dESIGN!D15">
      <xdr:nvSpPr>
        <xdr:cNvPr id="31" name="TextBox 30">
          <a:extLst>
            <a:ext uri="{FF2B5EF4-FFF2-40B4-BE49-F238E27FC236}">
              <a16:creationId xmlns:a16="http://schemas.microsoft.com/office/drawing/2014/main" id="{3C4342D6-3969-4EA9-AB90-55D381EA269C}"/>
            </a:ext>
          </a:extLst>
        </xdr:cNvPr>
        <xdr:cNvSpPr txBox="1"/>
      </xdr:nvSpPr>
      <xdr:spPr>
        <a:xfrm>
          <a:off x="6736080" y="1470660"/>
          <a:ext cx="5867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E2EA34-F946-4440-BC5E-ADEC8A96EB8B}" type="TxLink">
            <a:rPr lang="en-US" sz="2400" b="1" i="0" u="none" strike="noStrike">
              <a:solidFill>
                <a:srgbClr val="00B0F0"/>
              </a:solidFill>
              <a:latin typeface="Calibri"/>
              <a:ea typeface="Calibri"/>
              <a:cs typeface="Calibri"/>
            </a:rPr>
            <a:pPr marL="0" indent="0"/>
            <a:t>37</a:t>
          </a:fld>
          <a:endParaRPr lang="en-US" sz="2400" b="1" i="0" u="none" strike="noStrike">
            <a:solidFill>
              <a:srgbClr val="00B0F0"/>
            </a:solidFill>
            <a:latin typeface="Calibri"/>
            <a:ea typeface="Calibri"/>
            <a:cs typeface="Calibri"/>
          </a:endParaRPr>
        </a:p>
      </xdr:txBody>
    </xdr:sp>
    <xdr:clientData/>
  </xdr:twoCellAnchor>
  <xdr:twoCellAnchor editAs="oneCell">
    <xdr:from>
      <xdr:col>11</xdr:col>
      <xdr:colOff>304800</xdr:colOff>
      <xdr:row>5</xdr:row>
      <xdr:rowOff>15240</xdr:rowOff>
    </xdr:from>
    <xdr:to>
      <xdr:col>12</xdr:col>
      <xdr:colOff>312420</xdr:colOff>
      <xdr:row>8</xdr:row>
      <xdr:rowOff>99060</xdr:rowOff>
    </xdr:to>
    <xdr:pic>
      <xdr:nvPicPr>
        <xdr:cNvPr id="34" name="Graphic 33" descr="Clock with solid fill">
          <a:extLst>
            <a:ext uri="{FF2B5EF4-FFF2-40B4-BE49-F238E27FC236}">
              <a16:creationId xmlns:a16="http://schemas.microsoft.com/office/drawing/2014/main" id="{F5DDF76A-A6D7-0734-2172-B99F3D7783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80960" y="1005840"/>
          <a:ext cx="678180" cy="678180"/>
        </a:xfrm>
        <a:prstGeom prst="rect">
          <a:avLst/>
        </a:prstGeom>
      </xdr:spPr>
    </xdr:pic>
    <xdr:clientData/>
  </xdr:twoCellAnchor>
  <xdr:twoCellAnchor>
    <xdr:from>
      <xdr:col>12</xdr:col>
      <xdr:colOff>365760</xdr:colOff>
      <xdr:row>5</xdr:row>
      <xdr:rowOff>30480</xdr:rowOff>
    </xdr:from>
    <xdr:to>
      <xdr:col>15</xdr:col>
      <xdr:colOff>548640</xdr:colOff>
      <xdr:row>7</xdr:row>
      <xdr:rowOff>38100</xdr:rowOff>
    </xdr:to>
    <xdr:sp macro="" textlink="">
      <xdr:nvSpPr>
        <xdr:cNvPr id="35" name="TextBox 34">
          <a:extLst>
            <a:ext uri="{FF2B5EF4-FFF2-40B4-BE49-F238E27FC236}">
              <a16:creationId xmlns:a16="http://schemas.microsoft.com/office/drawing/2014/main" id="{1FCE7303-751B-4AB9-A397-32DE7B125161}"/>
            </a:ext>
          </a:extLst>
        </xdr:cNvPr>
        <xdr:cNvSpPr txBox="1"/>
      </xdr:nvSpPr>
      <xdr:spPr>
        <a:xfrm>
          <a:off x="8412480" y="1021080"/>
          <a:ext cx="21945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Active Employees</a:t>
          </a:r>
        </a:p>
      </xdr:txBody>
    </xdr:sp>
    <xdr:clientData/>
  </xdr:twoCellAnchor>
  <xdr:twoCellAnchor>
    <xdr:from>
      <xdr:col>13</xdr:col>
      <xdr:colOff>647700</xdr:colOff>
      <xdr:row>7</xdr:row>
      <xdr:rowOff>76200</xdr:rowOff>
    </xdr:from>
    <xdr:to>
      <xdr:col>15</xdr:col>
      <xdr:colOff>167640</xdr:colOff>
      <xdr:row>9</xdr:row>
      <xdr:rowOff>114300</xdr:rowOff>
    </xdr:to>
    <xdr:sp macro="" textlink="dESIGN!D20">
      <xdr:nvSpPr>
        <xdr:cNvPr id="36" name="TextBox 35">
          <a:extLst>
            <a:ext uri="{FF2B5EF4-FFF2-40B4-BE49-F238E27FC236}">
              <a16:creationId xmlns:a16="http://schemas.microsoft.com/office/drawing/2014/main" id="{D75B668C-F509-4E3F-B9EE-9D48EA235E44}"/>
            </a:ext>
          </a:extLst>
        </xdr:cNvPr>
        <xdr:cNvSpPr txBox="1"/>
      </xdr:nvSpPr>
      <xdr:spPr>
        <a:xfrm>
          <a:off x="9364980" y="1463040"/>
          <a:ext cx="8610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1BF2F9-02EF-4FA9-BAC8-15019D07CE09}" type="TxLink">
            <a:rPr lang="en-US" sz="2400" b="1" i="0" u="none" strike="noStrike">
              <a:solidFill>
                <a:srgbClr val="00B0F0"/>
              </a:solidFill>
              <a:latin typeface="Calibri"/>
              <a:ea typeface="Calibri"/>
              <a:cs typeface="Calibri"/>
            </a:rPr>
            <a:pPr marL="0" indent="0"/>
            <a:t>1233</a:t>
          </a:fld>
          <a:endParaRPr lang="en-US" sz="2400" b="1" i="0" u="none" strike="noStrike">
            <a:solidFill>
              <a:srgbClr val="00B0F0"/>
            </a:solidFill>
            <a:latin typeface="Calibri"/>
            <a:ea typeface="Calibri"/>
            <a:cs typeface="Calibri"/>
          </a:endParaRPr>
        </a:p>
      </xdr:txBody>
    </xdr:sp>
    <xdr:clientData/>
  </xdr:twoCellAnchor>
  <xdr:twoCellAnchor editAs="oneCell">
    <xdr:from>
      <xdr:col>15</xdr:col>
      <xdr:colOff>525780</xdr:colOff>
      <xdr:row>5</xdr:row>
      <xdr:rowOff>15240</xdr:rowOff>
    </xdr:from>
    <xdr:to>
      <xdr:col>16</xdr:col>
      <xdr:colOff>449580</xdr:colOff>
      <xdr:row>8</xdr:row>
      <xdr:rowOff>15240</xdr:rowOff>
    </xdr:to>
    <xdr:pic>
      <xdr:nvPicPr>
        <xdr:cNvPr id="38" name="Graphic 37" descr="Employee badge with solid fill">
          <a:extLst>
            <a:ext uri="{FF2B5EF4-FFF2-40B4-BE49-F238E27FC236}">
              <a16:creationId xmlns:a16="http://schemas.microsoft.com/office/drawing/2014/main" id="{8096239A-E951-4592-1235-2876963110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84180" y="1005840"/>
          <a:ext cx="594360" cy="594360"/>
        </a:xfrm>
        <a:prstGeom prst="rect">
          <a:avLst/>
        </a:prstGeom>
      </xdr:spPr>
    </xdr:pic>
    <xdr:clientData/>
  </xdr:twoCellAnchor>
  <xdr:twoCellAnchor>
    <xdr:from>
      <xdr:col>16</xdr:col>
      <xdr:colOff>541020</xdr:colOff>
      <xdr:row>5</xdr:row>
      <xdr:rowOff>53340</xdr:rowOff>
    </xdr:from>
    <xdr:to>
      <xdr:col>19</xdr:col>
      <xdr:colOff>396240</xdr:colOff>
      <xdr:row>7</xdr:row>
      <xdr:rowOff>60960</xdr:rowOff>
    </xdr:to>
    <xdr:sp macro="" textlink="">
      <xdr:nvSpPr>
        <xdr:cNvPr id="39" name="TextBox 38">
          <a:extLst>
            <a:ext uri="{FF2B5EF4-FFF2-40B4-BE49-F238E27FC236}">
              <a16:creationId xmlns:a16="http://schemas.microsoft.com/office/drawing/2014/main" id="{C7328777-E35F-48A3-9EAA-05B0FA292E63}"/>
            </a:ext>
          </a:extLst>
        </xdr:cNvPr>
        <xdr:cNvSpPr txBox="1"/>
      </xdr:nvSpPr>
      <xdr:spPr>
        <a:xfrm>
          <a:off x="11269980" y="1043940"/>
          <a:ext cx="1866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Attrition Rate</a:t>
          </a:r>
        </a:p>
      </xdr:txBody>
    </xdr:sp>
    <xdr:clientData/>
  </xdr:twoCellAnchor>
  <xdr:twoCellAnchor>
    <xdr:from>
      <xdr:col>18</xdr:col>
      <xdr:colOff>91440</xdr:colOff>
      <xdr:row>7</xdr:row>
      <xdr:rowOff>76200</xdr:rowOff>
    </xdr:from>
    <xdr:to>
      <xdr:col>19</xdr:col>
      <xdr:colOff>175260</xdr:colOff>
      <xdr:row>9</xdr:row>
      <xdr:rowOff>114300</xdr:rowOff>
    </xdr:to>
    <xdr:sp macro="" textlink="dESIGN!D23">
      <xdr:nvSpPr>
        <xdr:cNvPr id="40" name="TextBox 39">
          <a:extLst>
            <a:ext uri="{FF2B5EF4-FFF2-40B4-BE49-F238E27FC236}">
              <a16:creationId xmlns:a16="http://schemas.microsoft.com/office/drawing/2014/main" id="{30A841DD-3C67-4501-AA3D-D6720EE15FE5}"/>
            </a:ext>
          </a:extLst>
        </xdr:cNvPr>
        <xdr:cNvSpPr txBox="1"/>
      </xdr:nvSpPr>
      <xdr:spPr>
        <a:xfrm>
          <a:off x="12161520" y="1463040"/>
          <a:ext cx="7543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0FDB56-2D85-4C50-91DC-87E26682ED9D}" type="TxLink">
            <a:rPr lang="en-US" sz="2400" b="1" i="0" u="none" strike="noStrike">
              <a:solidFill>
                <a:srgbClr val="00B0F0"/>
              </a:solidFill>
              <a:latin typeface="Calibri"/>
              <a:ea typeface="Calibri"/>
              <a:cs typeface="Calibri"/>
            </a:rPr>
            <a:pPr marL="0" indent="0"/>
            <a:t>16%</a:t>
          </a:fld>
          <a:endParaRPr lang="en-US" sz="2400" b="1" i="0" u="none" strike="noStrike">
            <a:solidFill>
              <a:srgbClr val="00B0F0"/>
            </a:solidFill>
            <a:latin typeface="Calibri"/>
            <a:ea typeface="Calibri"/>
            <a:cs typeface="Calibri"/>
          </a:endParaRPr>
        </a:p>
      </xdr:txBody>
    </xdr:sp>
    <xdr:clientData/>
  </xdr:twoCellAnchor>
  <xdr:twoCellAnchor editAs="oneCell">
    <xdr:from>
      <xdr:col>19</xdr:col>
      <xdr:colOff>640080</xdr:colOff>
      <xdr:row>5</xdr:row>
      <xdr:rowOff>68580</xdr:rowOff>
    </xdr:from>
    <xdr:to>
      <xdr:col>20</xdr:col>
      <xdr:colOff>518160</xdr:colOff>
      <xdr:row>8</xdr:row>
      <xdr:rowOff>22860</xdr:rowOff>
    </xdr:to>
    <xdr:pic>
      <xdr:nvPicPr>
        <xdr:cNvPr id="48" name="Graphic 47" descr="Bar graph with upward trend with solid fill">
          <a:extLst>
            <a:ext uri="{FF2B5EF4-FFF2-40B4-BE49-F238E27FC236}">
              <a16:creationId xmlns:a16="http://schemas.microsoft.com/office/drawing/2014/main" id="{282FE190-2D41-D0EE-7455-949E097E225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380720" y="1059180"/>
          <a:ext cx="548640" cy="548640"/>
        </a:xfrm>
        <a:prstGeom prst="rect">
          <a:avLst/>
        </a:prstGeom>
      </xdr:spPr>
    </xdr:pic>
    <xdr:clientData/>
  </xdr:twoCellAnchor>
  <xdr:twoCellAnchor editAs="oneCell">
    <xdr:from>
      <xdr:col>7</xdr:col>
      <xdr:colOff>281940</xdr:colOff>
      <xdr:row>5</xdr:row>
      <xdr:rowOff>22860</xdr:rowOff>
    </xdr:from>
    <xdr:to>
      <xdr:col>8</xdr:col>
      <xdr:colOff>152400</xdr:colOff>
      <xdr:row>7</xdr:row>
      <xdr:rowOff>167640</xdr:rowOff>
    </xdr:to>
    <xdr:pic>
      <xdr:nvPicPr>
        <xdr:cNvPr id="50" name="Graphic 49" descr="Business Growth with solid fill">
          <a:extLst>
            <a:ext uri="{FF2B5EF4-FFF2-40B4-BE49-F238E27FC236}">
              <a16:creationId xmlns:a16="http://schemas.microsoft.com/office/drawing/2014/main" id="{D918F61D-1FDA-E437-AB4A-38C4A8C60C3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975860" y="1013460"/>
          <a:ext cx="541020" cy="541020"/>
        </a:xfrm>
        <a:prstGeom prst="rect">
          <a:avLst/>
        </a:prstGeom>
      </xdr:spPr>
    </xdr:pic>
    <xdr:clientData/>
  </xdr:twoCellAnchor>
  <xdr:twoCellAnchor>
    <xdr:from>
      <xdr:col>2</xdr:col>
      <xdr:colOff>601980</xdr:colOff>
      <xdr:row>1</xdr:row>
      <xdr:rowOff>76200</xdr:rowOff>
    </xdr:from>
    <xdr:to>
      <xdr:col>10</xdr:col>
      <xdr:colOff>312420</xdr:colOff>
      <xdr:row>5</xdr:row>
      <xdr:rowOff>30480</xdr:rowOff>
    </xdr:to>
    <xdr:sp macro="" textlink="">
      <xdr:nvSpPr>
        <xdr:cNvPr id="51" name="TextBox 50">
          <a:extLst>
            <a:ext uri="{FF2B5EF4-FFF2-40B4-BE49-F238E27FC236}">
              <a16:creationId xmlns:a16="http://schemas.microsoft.com/office/drawing/2014/main" id="{BDD55E9C-B8DF-EE72-87FC-082D3DD72089}"/>
            </a:ext>
          </a:extLst>
        </xdr:cNvPr>
        <xdr:cNvSpPr txBox="1"/>
      </xdr:nvSpPr>
      <xdr:spPr>
        <a:xfrm>
          <a:off x="1943100" y="274320"/>
          <a:ext cx="5074920"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HR Analystics DashBoard</a:t>
          </a:r>
        </a:p>
      </xdr:txBody>
    </xdr:sp>
    <xdr:clientData/>
  </xdr:twoCellAnchor>
  <xdr:twoCellAnchor editAs="oneCell">
    <xdr:from>
      <xdr:col>0</xdr:col>
      <xdr:colOff>586740</xdr:colOff>
      <xdr:row>1</xdr:row>
      <xdr:rowOff>7620</xdr:rowOff>
    </xdr:from>
    <xdr:to>
      <xdr:col>2</xdr:col>
      <xdr:colOff>83820</xdr:colOff>
      <xdr:row>5</xdr:row>
      <xdr:rowOff>53340</xdr:rowOff>
    </xdr:to>
    <xdr:pic>
      <xdr:nvPicPr>
        <xdr:cNvPr id="53" name="Graphic 52" descr="Address Book with solid fill">
          <a:extLst>
            <a:ext uri="{FF2B5EF4-FFF2-40B4-BE49-F238E27FC236}">
              <a16:creationId xmlns:a16="http://schemas.microsoft.com/office/drawing/2014/main" id="{1D12B955-4D7D-741E-84F2-0A65D0FEF6D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86740" y="205740"/>
          <a:ext cx="838200" cy="838200"/>
        </a:xfrm>
        <a:prstGeom prst="rect">
          <a:avLst/>
        </a:prstGeom>
      </xdr:spPr>
    </xdr:pic>
    <xdr:clientData/>
  </xdr:twoCellAnchor>
  <xdr:twoCellAnchor editAs="oneCell">
    <xdr:from>
      <xdr:col>13</xdr:col>
      <xdr:colOff>320040</xdr:colOff>
      <xdr:row>1</xdr:row>
      <xdr:rowOff>22860</xdr:rowOff>
    </xdr:from>
    <xdr:to>
      <xdr:col>14</xdr:col>
      <xdr:colOff>480060</xdr:colOff>
      <xdr:row>5</xdr:row>
      <xdr:rowOff>60960</xdr:rowOff>
    </xdr:to>
    <xdr:pic>
      <xdr:nvPicPr>
        <xdr:cNvPr id="55" name="Graphic 54" descr="Bar graph with upward trend outline">
          <a:extLst>
            <a:ext uri="{FF2B5EF4-FFF2-40B4-BE49-F238E27FC236}">
              <a16:creationId xmlns:a16="http://schemas.microsoft.com/office/drawing/2014/main" id="{87C5032B-47CC-94DC-5B4C-9D8E43AA672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37320" y="220980"/>
          <a:ext cx="830580" cy="830580"/>
        </a:xfrm>
        <a:prstGeom prst="rect">
          <a:avLst/>
        </a:prstGeom>
      </xdr:spPr>
    </xdr:pic>
    <xdr:clientData/>
  </xdr:twoCellAnchor>
  <xdr:twoCellAnchor>
    <xdr:from>
      <xdr:col>14</xdr:col>
      <xdr:colOff>510540</xdr:colOff>
      <xdr:row>1</xdr:row>
      <xdr:rowOff>15240</xdr:rowOff>
    </xdr:from>
    <xdr:to>
      <xdr:col>16</xdr:col>
      <xdr:colOff>320040</xdr:colOff>
      <xdr:row>5</xdr:row>
      <xdr:rowOff>60960</xdr:rowOff>
    </xdr:to>
    <xdr:sp macro="" textlink="">
      <xdr:nvSpPr>
        <xdr:cNvPr id="56" name="TextBox 55">
          <a:extLst>
            <a:ext uri="{FF2B5EF4-FFF2-40B4-BE49-F238E27FC236}">
              <a16:creationId xmlns:a16="http://schemas.microsoft.com/office/drawing/2014/main" id="{43C15AB5-015A-18C9-AC23-1BC8FDA73DF7}"/>
            </a:ext>
          </a:extLst>
        </xdr:cNvPr>
        <xdr:cNvSpPr txBox="1"/>
      </xdr:nvSpPr>
      <xdr:spPr>
        <a:xfrm>
          <a:off x="9898380" y="213360"/>
          <a:ext cx="115062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Job</a:t>
          </a:r>
          <a:br>
            <a:rPr lang="en-US" sz="1400" b="1"/>
          </a:br>
          <a:r>
            <a:rPr lang="en-US" sz="1400" b="1"/>
            <a:t>Satisfaction</a:t>
          </a:r>
        </a:p>
        <a:p>
          <a:pPr algn="ctr"/>
          <a:r>
            <a:rPr lang="en-US" sz="1400" b="1"/>
            <a:t>Rating</a:t>
          </a:r>
        </a:p>
      </xdr:txBody>
    </xdr:sp>
    <xdr:clientData/>
  </xdr:twoCellAnchor>
  <xdr:twoCellAnchor>
    <xdr:from>
      <xdr:col>16</xdr:col>
      <xdr:colOff>220980</xdr:colOff>
      <xdr:row>1</xdr:row>
      <xdr:rowOff>30480</xdr:rowOff>
    </xdr:from>
    <xdr:to>
      <xdr:col>18</xdr:col>
      <xdr:colOff>72390</xdr:colOff>
      <xdr:row>5</xdr:row>
      <xdr:rowOff>64770</xdr:rowOff>
    </xdr:to>
    <xdr:graphicFrame macro="">
      <xdr:nvGraphicFramePr>
        <xdr:cNvPr id="57" name="Chart 56">
          <a:extLst>
            <a:ext uri="{FF2B5EF4-FFF2-40B4-BE49-F238E27FC236}">
              <a16:creationId xmlns:a16="http://schemas.microsoft.com/office/drawing/2014/main" id="{12C602EE-92A3-4381-8484-1EA8D74F6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586740</xdr:colOff>
      <xdr:row>2</xdr:row>
      <xdr:rowOff>99060</xdr:rowOff>
    </xdr:from>
    <xdr:to>
      <xdr:col>17</xdr:col>
      <xdr:colOff>373380</xdr:colOff>
      <xdr:row>3</xdr:row>
      <xdr:rowOff>160020</xdr:rowOff>
    </xdr:to>
    <xdr:sp macro="" textlink="dESIGN!D31">
      <xdr:nvSpPr>
        <xdr:cNvPr id="58" name="TextBox 57">
          <a:extLst>
            <a:ext uri="{FF2B5EF4-FFF2-40B4-BE49-F238E27FC236}">
              <a16:creationId xmlns:a16="http://schemas.microsoft.com/office/drawing/2014/main" id="{AEF2B837-B7B2-5D13-C3A0-1E286622BB18}"/>
            </a:ext>
          </a:extLst>
        </xdr:cNvPr>
        <xdr:cNvSpPr txBox="1"/>
      </xdr:nvSpPr>
      <xdr:spPr>
        <a:xfrm>
          <a:off x="11315700" y="495300"/>
          <a:ext cx="457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D2F6AC-7BEF-4333-B01B-AE0B278DDB0D}" type="TxLink">
            <a:rPr lang="en-US" sz="1200" b="1" i="0" u="none" strike="noStrike">
              <a:solidFill>
                <a:srgbClr val="000000"/>
              </a:solidFill>
              <a:latin typeface="Calibri"/>
              <a:ea typeface="Calibri"/>
              <a:cs typeface="Calibri"/>
            </a:rPr>
            <a:t>2.6</a:t>
          </a:fld>
          <a:endParaRPr lang="en-US" sz="1100" b="1">
            <a:solidFill>
              <a:schemeClr val="tx1"/>
            </a:solidFill>
          </a:endParaRPr>
        </a:p>
      </xdr:txBody>
    </xdr:sp>
    <xdr:clientData/>
  </xdr:twoCellAnchor>
  <xdr:twoCellAnchor>
    <xdr:from>
      <xdr:col>17</xdr:col>
      <xdr:colOff>457200</xdr:colOff>
      <xdr:row>1</xdr:row>
      <xdr:rowOff>30480</xdr:rowOff>
    </xdr:from>
    <xdr:to>
      <xdr:col>20</xdr:col>
      <xdr:colOff>605520</xdr:colOff>
      <xdr:row>5</xdr:row>
      <xdr:rowOff>80010</xdr:rowOff>
    </xdr:to>
    <xdr:graphicFrame macro="">
      <xdr:nvGraphicFramePr>
        <xdr:cNvPr id="60" name="Chart 59">
          <a:extLst>
            <a:ext uri="{FF2B5EF4-FFF2-40B4-BE49-F238E27FC236}">
              <a16:creationId xmlns:a16="http://schemas.microsoft.com/office/drawing/2014/main" id="{5B3D1B15-04BB-491C-9C4C-3C57266DF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541020</xdr:colOff>
      <xdr:row>1</xdr:row>
      <xdr:rowOff>129540</xdr:rowOff>
    </xdr:from>
    <xdr:to>
      <xdr:col>20</xdr:col>
      <xdr:colOff>518160</xdr:colOff>
      <xdr:row>4</xdr:row>
      <xdr:rowOff>153093</xdr:rowOff>
    </xdr:to>
    <xdr:sp macro="" textlink="">
      <xdr:nvSpPr>
        <xdr:cNvPr id="61" name="Freeform: Shape 60">
          <a:extLst>
            <a:ext uri="{FF2B5EF4-FFF2-40B4-BE49-F238E27FC236}">
              <a16:creationId xmlns:a16="http://schemas.microsoft.com/office/drawing/2014/main" id="{6079AE30-1EF2-8CAE-0BB8-708E24520684}"/>
            </a:ext>
          </a:extLst>
        </xdr:cNvPr>
        <xdr:cNvSpPr/>
      </xdr:nvSpPr>
      <xdr:spPr>
        <a:xfrm>
          <a:off x="11940540" y="327660"/>
          <a:ext cx="1988820" cy="617913"/>
        </a:xfrm>
        <a:custGeom>
          <a:avLst/>
          <a:gdLst>
            <a:gd name="connsiteX0" fmla="*/ 1844384 w 2182091"/>
            <a:gd name="connsiteY0" fmla="*/ 93518 h 623455"/>
            <a:gd name="connsiteX1" fmla="*/ 1786741 w 2182091"/>
            <a:gd name="connsiteY1" fmla="*/ 248309 h 623455"/>
            <a:gd name="connsiteX2" fmla="*/ 1600199 w 2182091"/>
            <a:gd name="connsiteY2" fmla="*/ 248308 h 623455"/>
            <a:gd name="connsiteX3" fmla="*/ 1751115 w 2182091"/>
            <a:gd name="connsiteY3" fmla="*/ 343973 h 623455"/>
            <a:gd name="connsiteX4" fmla="*/ 1693469 w 2182091"/>
            <a:gd name="connsiteY4" fmla="*/ 498763 h 623455"/>
            <a:gd name="connsiteX5" fmla="*/ 1844384 w 2182091"/>
            <a:gd name="connsiteY5" fmla="*/ 403096 h 623455"/>
            <a:gd name="connsiteX6" fmla="*/ 1995299 w 2182091"/>
            <a:gd name="connsiteY6" fmla="*/ 498763 h 623455"/>
            <a:gd name="connsiteX7" fmla="*/ 1937653 w 2182091"/>
            <a:gd name="connsiteY7" fmla="*/ 343973 h 623455"/>
            <a:gd name="connsiteX8" fmla="*/ 2088569 w 2182091"/>
            <a:gd name="connsiteY8" fmla="*/ 248308 h 623455"/>
            <a:gd name="connsiteX9" fmla="*/ 1902027 w 2182091"/>
            <a:gd name="connsiteY9" fmla="*/ 248309 h 623455"/>
            <a:gd name="connsiteX10" fmla="*/ 867640 w 2182091"/>
            <a:gd name="connsiteY10" fmla="*/ 93518 h 623455"/>
            <a:gd name="connsiteX11" fmla="*/ 809997 w 2182091"/>
            <a:gd name="connsiteY11" fmla="*/ 248309 h 623455"/>
            <a:gd name="connsiteX12" fmla="*/ 623455 w 2182091"/>
            <a:gd name="connsiteY12" fmla="*/ 248308 h 623455"/>
            <a:gd name="connsiteX13" fmla="*/ 774371 w 2182091"/>
            <a:gd name="connsiteY13" fmla="*/ 343973 h 623455"/>
            <a:gd name="connsiteX14" fmla="*/ 716725 w 2182091"/>
            <a:gd name="connsiteY14" fmla="*/ 498763 h 623455"/>
            <a:gd name="connsiteX15" fmla="*/ 867640 w 2182091"/>
            <a:gd name="connsiteY15" fmla="*/ 403096 h 623455"/>
            <a:gd name="connsiteX16" fmla="*/ 1018555 w 2182091"/>
            <a:gd name="connsiteY16" fmla="*/ 498763 h 623455"/>
            <a:gd name="connsiteX17" fmla="*/ 960909 w 2182091"/>
            <a:gd name="connsiteY17" fmla="*/ 343973 h 623455"/>
            <a:gd name="connsiteX18" fmla="*/ 1105187 w 2182091"/>
            <a:gd name="connsiteY18" fmla="*/ 252516 h 623455"/>
            <a:gd name="connsiteX19" fmla="*/ 1249465 w 2182091"/>
            <a:gd name="connsiteY19" fmla="*/ 343973 h 623455"/>
            <a:gd name="connsiteX20" fmla="*/ 1191819 w 2182091"/>
            <a:gd name="connsiteY20" fmla="*/ 498763 h 623455"/>
            <a:gd name="connsiteX21" fmla="*/ 1342734 w 2182091"/>
            <a:gd name="connsiteY21" fmla="*/ 403096 h 623455"/>
            <a:gd name="connsiteX22" fmla="*/ 1493649 w 2182091"/>
            <a:gd name="connsiteY22" fmla="*/ 498763 h 623455"/>
            <a:gd name="connsiteX23" fmla="*/ 1436003 w 2182091"/>
            <a:gd name="connsiteY23" fmla="*/ 343973 h 623455"/>
            <a:gd name="connsiteX24" fmla="*/ 1586919 w 2182091"/>
            <a:gd name="connsiteY24" fmla="*/ 248308 h 623455"/>
            <a:gd name="connsiteX25" fmla="*/ 1400377 w 2182091"/>
            <a:gd name="connsiteY25" fmla="*/ 248309 h 623455"/>
            <a:gd name="connsiteX26" fmla="*/ 1342734 w 2182091"/>
            <a:gd name="connsiteY26" fmla="*/ 93518 h 623455"/>
            <a:gd name="connsiteX27" fmla="*/ 1285091 w 2182091"/>
            <a:gd name="connsiteY27" fmla="*/ 248309 h 623455"/>
            <a:gd name="connsiteX28" fmla="*/ 1111825 w 2182091"/>
            <a:gd name="connsiteY28" fmla="*/ 248308 h 623455"/>
            <a:gd name="connsiteX29" fmla="*/ 1105187 w 2182091"/>
            <a:gd name="connsiteY29" fmla="*/ 248308 h 623455"/>
            <a:gd name="connsiteX30" fmla="*/ 1098549 w 2182091"/>
            <a:gd name="connsiteY30" fmla="*/ 248308 h 623455"/>
            <a:gd name="connsiteX31" fmla="*/ 925283 w 2182091"/>
            <a:gd name="connsiteY31" fmla="*/ 248309 h 623455"/>
            <a:gd name="connsiteX32" fmla="*/ 379268 w 2182091"/>
            <a:gd name="connsiteY32" fmla="*/ 93518 h 623455"/>
            <a:gd name="connsiteX33" fmla="*/ 321625 w 2182091"/>
            <a:gd name="connsiteY33" fmla="*/ 248309 h 623455"/>
            <a:gd name="connsiteX34" fmla="*/ 135083 w 2182091"/>
            <a:gd name="connsiteY34" fmla="*/ 248308 h 623455"/>
            <a:gd name="connsiteX35" fmla="*/ 285999 w 2182091"/>
            <a:gd name="connsiteY35" fmla="*/ 343973 h 623455"/>
            <a:gd name="connsiteX36" fmla="*/ 228353 w 2182091"/>
            <a:gd name="connsiteY36" fmla="*/ 498763 h 623455"/>
            <a:gd name="connsiteX37" fmla="*/ 379268 w 2182091"/>
            <a:gd name="connsiteY37" fmla="*/ 403096 h 623455"/>
            <a:gd name="connsiteX38" fmla="*/ 530183 w 2182091"/>
            <a:gd name="connsiteY38" fmla="*/ 498763 h 623455"/>
            <a:gd name="connsiteX39" fmla="*/ 472537 w 2182091"/>
            <a:gd name="connsiteY39" fmla="*/ 343973 h 623455"/>
            <a:gd name="connsiteX40" fmla="*/ 623453 w 2182091"/>
            <a:gd name="connsiteY40" fmla="*/ 248308 h 623455"/>
            <a:gd name="connsiteX41" fmla="*/ 436911 w 2182091"/>
            <a:gd name="connsiteY41" fmla="*/ 248309 h 623455"/>
            <a:gd name="connsiteX42" fmla="*/ 103911 w 2182091"/>
            <a:gd name="connsiteY42" fmla="*/ 0 h 623455"/>
            <a:gd name="connsiteX43" fmla="*/ 2078180 w 2182091"/>
            <a:gd name="connsiteY43" fmla="*/ 0 h 623455"/>
            <a:gd name="connsiteX44" fmla="*/ 2182091 w 2182091"/>
            <a:gd name="connsiteY44" fmla="*/ 103911 h 623455"/>
            <a:gd name="connsiteX45" fmla="*/ 2182091 w 2182091"/>
            <a:gd name="connsiteY45" fmla="*/ 519544 h 623455"/>
            <a:gd name="connsiteX46" fmla="*/ 2078180 w 2182091"/>
            <a:gd name="connsiteY46" fmla="*/ 623455 h 623455"/>
            <a:gd name="connsiteX47" fmla="*/ 103911 w 2182091"/>
            <a:gd name="connsiteY47" fmla="*/ 623455 h 623455"/>
            <a:gd name="connsiteX48" fmla="*/ 0 w 2182091"/>
            <a:gd name="connsiteY48" fmla="*/ 519544 h 623455"/>
            <a:gd name="connsiteX49" fmla="*/ 0 w 2182091"/>
            <a:gd name="connsiteY49" fmla="*/ 103911 h 623455"/>
            <a:gd name="connsiteX50" fmla="*/ 103911 w 2182091"/>
            <a:gd name="connsiteY50" fmla="*/ 0 h 6234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Lst>
          <a:rect l="l" t="t" r="r" b="b"/>
          <a:pathLst>
            <a:path w="2182091" h="623455">
              <a:moveTo>
                <a:pt x="1844384" y="93518"/>
              </a:moveTo>
              <a:lnTo>
                <a:pt x="1786741" y="248309"/>
              </a:lnTo>
              <a:lnTo>
                <a:pt x="1600199" y="248308"/>
              </a:lnTo>
              <a:lnTo>
                <a:pt x="1751115" y="343973"/>
              </a:lnTo>
              <a:lnTo>
                <a:pt x="1693469" y="498763"/>
              </a:lnTo>
              <a:lnTo>
                <a:pt x="1844384" y="403096"/>
              </a:lnTo>
              <a:lnTo>
                <a:pt x="1995299" y="498763"/>
              </a:lnTo>
              <a:lnTo>
                <a:pt x="1937653" y="343973"/>
              </a:lnTo>
              <a:lnTo>
                <a:pt x="2088569" y="248308"/>
              </a:lnTo>
              <a:lnTo>
                <a:pt x="1902027" y="248309"/>
              </a:lnTo>
              <a:close/>
              <a:moveTo>
                <a:pt x="867640" y="93518"/>
              </a:moveTo>
              <a:lnTo>
                <a:pt x="809997" y="248309"/>
              </a:lnTo>
              <a:lnTo>
                <a:pt x="623455" y="248308"/>
              </a:lnTo>
              <a:lnTo>
                <a:pt x="774371" y="343973"/>
              </a:lnTo>
              <a:lnTo>
                <a:pt x="716725" y="498763"/>
              </a:lnTo>
              <a:lnTo>
                <a:pt x="867640" y="403096"/>
              </a:lnTo>
              <a:lnTo>
                <a:pt x="1018555" y="498763"/>
              </a:lnTo>
              <a:lnTo>
                <a:pt x="960909" y="343973"/>
              </a:lnTo>
              <a:lnTo>
                <a:pt x="1105187" y="252516"/>
              </a:lnTo>
              <a:lnTo>
                <a:pt x="1249465" y="343973"/>
              </a:lnTo>
              <a:lnTo>
                <a:pt x="1191819" y="498763"/>
              </a:lnTo>
              <a:lnTo>
                <a:pt x="1342734" y="403096"/>
              </a:lnTo>
              <a:lnTo>
                <a:pt x="1493649" y="498763"/>
              </a:lnTo>
              <a:lnTo>
                <a:pt x="1436003" y="343973"/>
              </a:lnTo>
              <a:lnTo>
                <a:pt x="1586919" y="248308"/>
              </a:lnTo>
              <a:lnTo>
                <a:pt x="1400377" y="248309"/>
              </a:lnTo>
              <a:lnTo>
                <a:pt x="1342734" y="93518"/>
              </a:lnTo>
              <a:lnTo>
                <a:pt x="1285091" y="248309"/>
              </a:lnTo>
              <a:lnTo>
                <a:pt x="1111825" y="248308"/>
              </a:lnTo>
              <a:lnTo>
                <a:pt x="1105187" y="248308"/>
              </a:lnTo>
              <a:lnTo>
                <a:pt x="1098549" y="248308"/>
              </a:lnTo>
              <a:lnTo>
                <a:pt x="925283" y="248309"/>
              </a:lnTo>
              <a:close/>
              <a:moveTo>
                <a:pt x="379268" y="93518"/>
              </a:moveTo>
              <a:lnTo>
                <a:pt x="321625" y="248309"/>
              </a:lnTo>
              <a:lnTo>
                <a:pt x="135083" y="248308"/>
              </a:lnTo>
              <a:lnTo>
                <a:pt x="285999" y="343973"/>
              </a:lnTo>
              <a:lnTo>
                <a:pt x="228353" y="498763"/>
              </a:lnTo>
              <a:lnTo>
                <a:pt x="379268" y="403096"/>
              </a:lnTo>
              <a:lnTo>
                <a:pt x="530183" y="498763"/>
              </a:lnTo>
              <a:lnTo>
                <a:pt x="472537" y="343973"/>
              </a:lnTo>
              <a:lnTo>
                <a:pt x="623453" y="248308"/>
              </a:lnTo>
              <a:lnTo>
                <a:pt x="436911" y="248309"/>
              </a:lnTo>
              <a:close/>
              <a:moveTo>
                <a:pt x="103911" y="0"/>
              </a:moveTo>
              <a:lnTo>
                <a:pt x="2078180" y="0"/>
              </a:lnTo>
              <a:cubicBezTo>
                <a:pt x="2135568" y="0"/>
                <a:pt x="2182091" y="46523"/>
                <a:pt x="2182091" y="103911"/>
              </a:cubicBezTo>
              <a:lnTo>
                <a:pt x="2182091" y="519544"/>
              </a:lnTo>
              <a:cubicBezTo>
                <a:pt x="2182091" y="576932"/>
                <a:pt x="2135568" y="623455"/>
                <a:pt x="2078180" y="623455"/>
              </a:cubicBezTo>
              <a:lnTo>
                <a:pt x="103911" y="623455"/>
              </a:lnTo>
              <a:cubicBezTo>
                <a:pt x="46523" y="623455"/>
                <a:pt x="0" y="576932"/>
                <a:pt x="0" y="519544"/>
              </a:cubicBezTo>
              <a:lnTo>
                <a:pt x="0" y="103911"/>
              </a:lnTo>
              <a:cubicBezTo>
                <a:pt x="0" y="46523"/>
                <a:pt x="46523" y="0"/>
                <a:pt x="103911" y="0"/>
              </a:cubicBezTo>
              <a:close/>
            </a:path>
          </a:pathLst>
        </a:cu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106680</xdr:colOff>
      <xdr:row>14</xdr:row>
      <xdr:rowOff>3810</xdr:rowOff>
    </xdr:from>
    <xdr:to>
      <xdr:col>6</xdr:col>
      <xdr:colOff>297180</xdr:colOff>
      <xdr:row>21</xdr:row>
      <xdr:rowOff>137160</xdr:rowOff>
    </xdr:to>
    <xdr:grpSp>
      <xdr:nvGrpSpPr>
        <xdr:cNvPr id="75" name="Group 74">
          <a:extLst>
            <a:ext uri="{FF2B5EF4-FFF2-40B4-BE49-F238E27FC236}">
              <a16:creationId xmlns:a16="http://schemas.microsoft.com/office/drawing/2014/main" id="{AF8F9962-14C8-5615-58C1-E4F86056C363}"/>
            </a:ext>
          </a:extLst>
        </xdr:cNvPr>
        <xdr:cNvGrpSpPr/>
      </xdr:nvGrpSpPr>
      <xdr:grpSpPr>
        <a:xfrm>
          <a:off x="106680" y="2777490"/>
          <a:ext cx="4213860" cy="1520190"/>
          <a:chOff x="106680" y="2777490"/>
          <a:chExt cx="4213860" cy="1520190"/>
        </a:xfrm>
      </xdr:grpSpPr>
      <xdr:graphicFrame macro="">
        <xdr:nvGraphicFramePr>
          <xdr:cNvPr id="62" name="Chart 61">
            <a:extLst>
              <a:ext uri="{FF2B5EF4-FFF2-40B4-BE49-F238E27FC236}">
                <a16:creationId xmlns:a16="http://schemas.microsoft.com/office/drawing/2014/main" id="{7E05F02D-395E-44BC-BA48-A5A800CA25BC}"/>
              </a:ext>
            </a:extLst>
          </xdr:cNvPr>
          <xdr:cNvGraphicFramePr>
            <a:graphicFrameLocks/>
          </xdr:cNvGraphicFramePr>
        </xdr:nvGraphicFramePr>
        <xdr:xfrm>
          <a:off x="106680" y="2777490"/>
          <a:ext cx="1607820" cy="152019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63" name="Chart 62">
            <a:extLst>
              <a:ext uri="{FF2B5EF4-FFF2-40B4-BE49-F238E27FC236}">
                <a16:creationId xmlns:a16="http://schemas.microsoft.com/office/drawing/2014/main" id="{C5F1D0DE-A0A4-E8A8-E909-D7F7B796838D}"/>
              </a:ext>
            </a:extLst>
          </xdr:cNvPr>
          <xdr:cNvGraphicFramePr>
            <a:graphicFrameLocks/>
          </xdr:cNvGraphicFramePr>
        </xdr:nvGraphicFramePr>
        <xdr:xfrm>
          <a:off x="2712720" y="2777490"/>
          <a:ext cx="1607820" cy="1520190"/>
        </xdr:xfrm>
        <a:graphic>
          <a:graphicData uri="http://schemas.openxmlformats.org/drawingml/2006/chart">
            <c:chart xmlns:c="http://schemas.openxmlformats.org/drawingml/2006/chart" xmlns:r="http://schemas.openxmlformats.org/officeDocument/2006/relationships" r:id="rId18"/>
          </a:graphicData>
        </a:graphic>
      </xdr:graphicFrame>
      <xdr:pic>
        <xdr:nvPicPr>
          <xdr:cNvPr id="65" name="Graphic 64" descr="Male profile with solid fill">
            <a:extLst>
              <a:ext uri="{FF2B5EF4-FFF2-40B4-BE49-F238E27FC236}">
                <a16:creationId xmlns:a16="http://schemas.microsoft.com/office/drawing/2014/main" id="{00DBB98A-E941-FD8D-62FF-AA87CE50EAF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86000" y="3142050"/>
            <a:ext cx="647700" cy="647700"/>
          </a:xfrm>
          <a:prstGeom prst="rect">
            <a:avLst/>
          </a:prstGeom>
        </xdr:spPr>
      </xdr:pic>
      <xdr:pic>
        <xdr:nvPicPr>
          <xdr:cNvPr id="67" name="Graphic 66" descr="Female Profile with solid fill">
            <a:extLst>
              <a:ext uri="{FF2B5EF4-FFF2-40B4-BE49-F238E27FC236}">
                <a16:creationId xmlns:a16="http://schemas.microsoft.com/office/drawing/2014/main" id="{CB0BC198-007A-0B47-372C-6269175B760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574940" y="3156090"/>
            <a:ext cx="619620" cy="619620"/>
          </a:xfrm>
          <a:prstGeom prst="rect">
            <a:avLst/>
          </a:prstGeom>
        </xdr:spPr>
      </xdr:pic>
      <xdr:sp macro="" textlink="dESIGN!$D$59">
        <xdr:nvSpPr>
          <xdr:cNvPr id="68" name="TextBox 67">
            <a:extLst>
              <a:ext uri="{FF2B5EF4-FFF2-40B4-BE49-F238E27FC236}">
                <a16:creationId xmlns:a16="http://schemas.microsoft.com/office/drawing/2014/main" id="{1DAF914C-5AB4-4E54-A3A6-4485E4C739A9}"/>
              </a:ext>
            </a:extLst>
          </xdr:cNvPr>
          <xdr:cNvSpPr txBox="1"/>
        </xdr:nvSpPr>
        <xdr:spPr>
          <a:xfrm>
            <a:off x="632460" y="3322320"/>
            <a:ext cx="6781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DC7019-C280-4249-889F-261CD33CEFF7}" type="TxLink">
              <a:rPr lang="en-US" sz="2000" b="1" i="0" u="none" strike="noStrike">
                <a:solidFill>
                  <a:srgbClr val="000000"/>
                </a:solidFill>
                <a:latin typeface="Calibri"/>
                <a:ea typeface="Calibri"/>
                <a:cs typeface="Calibri"/>
              </a:rPr>
              <a:t>588</a:t>
            </a:fld>
            <a:endParaRPr lang="en-US" sz="2000" b="1">
              <a:solidFill>
                <a:schemeClr val="tx1"/>
              </a:solidFill>
            </a:endParaRPr>
          </a:p>
        </xdr:txBody>
      </xdr:sp>
      <xdr:sp macro="" textlink="dESIGN!$E$59">
        <xdr:nvSpPr>
          <xdr:cNvPr id="69" name="TextBox 68">
            <a:extLst>
              <a:ext uri="{FF2B5EF4-FFF2-40B4-BE49-F238E27FC236}">
                <a16:creationId xmlns:a16="http://schemas.microsoft.com/office/drawing/2014/main" id="{6AA6955F-9C6A-471D-8520-34905F95A9EA}"/>
              </a:ext>
            </a:extLst>
          </xdr:cNvPr>
          <xdr:cNvSpPr txBox="1"/>
        </xdr:nvSpPr>
        <xdr:spPr>
          <a:xfrm>
            <a:off x="3230880" y="3322320"/>
            <a:ext cx="6781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096438-C314-42FE-9CD0-D19462120CB7}" type="TxLink">
              <a:rPr lang="en-US" sz="2000" b="1" i="0" u="none" strike="noStrike">
                <a:solidFill>
                  <a:srgbClr val="000000"/>
                </a:solidFill>
                <a:latin typeface="Calibri"/>
                <a:ea typeface="Calibri"/>
                <a:cs typeface="Calibri"/>
              </a:rPr>
              <a:pPr marL="0" indent="0"/>
              <a:t>882</a:t>
            </a:fld>
            <a:endParaRPr lang="en-US" sz="2000" b="1" i="0" u="none" strike="noStrike">
              <a:solidFill>
                <a:srgbClr val="000000"/>
              </a:solidFill>
              <a:latin typeface="Calibri"/>
              <a:ea typeface="Calibri"/>
              <a:cs typeface="Calibri"/>
            </a:endParaRPr>
          </a:p>
        </xdr:txBody>
      </xdr:sp>
    </xdr:grpSp>
    <xdr:clientData/>
  </xdr:twoCellAnchor>
  <xdr:twoCellAnchor>
    <xdr:from>
      <xdr:col>0</xdr:col>
      <xdr:colOff>541020</xdr:colOff>
      <xdr:row>9</xdr:row>
      <xdr:rowOff>182880</xdr:rowOff>
    </xdr:from>
    <xdr:to>
      <xdr:col>5</xdr:col>
      <xdr:colOff>396240</xdr:colOff>
      <xdr:row>12</xdr:row>
      <xdr:rowOff>99060</xdr:rowOff>
    </xdr:to>
    <xdr:sp macro="" textlink="">
      <xdr:nvSpPr>
        <xdr:cNvPr id="73" name="TextBox 72">
          <a:extLst>
            <a:ext uri="{FF2B5EF4-FFF2-40B4-BE49-F238E27FC236}">
              <a16:creationId xmlns:a16="http://schemas.microsoft.com/office/drawing/2014/main" id="{B4B5C766-F7CB-48DF-9BF8-067A7F60613B}"/>
            </a:ext>
          </a:extLst>
        </xdr:cNvPr>
        <xdr:cNvSpPr txBox="1"/>
      </xdr:nvSpPr>
      <xdr:spPr>
        <a:xfrm>
          <a:off x="541020" y="1965960"/>
          <a:ext cx="320802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Total Employee by Gender</a:t>
          </a:r>
        </a:p>
      </xdr:txBody>
    </xdr:sp>
    <xdr:clientData/>
  </xdr:twoCellAnchor>
  <xdr:twoCellAnchor editAs="oneCell">
    <xdr:from>
      <xdr:col>1</xdr:col>
      <xdr:colOff>571500</xdr:colOff>
      <xdr:row>11</xdr:row>
      <xdr:rowOff>144780</xdr:rowOff>
    </xdr:from>
    <xdr:to>
      <xdr:col>4</xdr:col>
      <xdr:colOff>525780</xdr:colOff>
      <xdr:row>15</xdr:row>
      <xdr:rowOff>30480</xdr:rowOff>
    </xdr:to>
    <mc:AlternateContent xmlns:mc="http://schemas.openxmlformats.org/markup-compatibility/2006">
      <mc:Choice xmlns:a14="http://schemas.microsoft.com/office/drawing/2010/main" Requires="a14">
        <xdr:graphicFrame macro="">
          <xdr:nvGraphicFramePr>
            <xdr:cNvPr id="76" name="Gender 1">
              <a:extLst>
                <a:ext uri="{FF2B5EF4-FFF2-40B4-BE49-F238E27FC236}">
                  <a16:creationId xmlns:a16="http://schemas.microsoft.com/office/drawing/2014/main" id="{B868D749-2A8D-4036-AAE6-E1B0EB7CEBD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42060" y="2324100"/>
              <a:ext cx="1965960" cy="678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548640</xdr:colOff>
      <xdr:row>11</xdr:row>
      <xdr:rowOff>152400</xdr:rowOff>
    </xdr:from>
    <xdr:to>
      <xdr:col>13</xdr:col>
      <xdr:colOff>350520</xdr:colOff>
      <xdr:row>22</xdr:row>
      <xdr:rowOff>38100</xdr:rowOff>
    </xdr:to>
    <xdr:graphicFrame macro="">
      <xdr:nvGraphicFramePr>
        <xdr:cNvPr id="77" name="Chart 76">
          <a:extLst>
            <a:ext uri="{FF2B5EF4-FFF2-40B4-BE49-F238E27FC236}">
              <a16:creationId xmlns:a16="http://schemas.microsoft.com/office/drawing/2014/main" id="{7F78E08D-2497-431B-BF0F-4A30143B8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30480</xdr:colOff>
      <xdr:row>10</xdr:row>
      <xdr:rowOff>45720</xdr:rowOff>
    </xdr:from>
    <xdr:to>
      <xdr:col>12</xdr:col>
      <xdr:colOff>167640</xdr:colOff>
      <xdr:row>12</xdr:row>
      <xdr:rowOff>106680</xdr:rowOff>
    </xdr:to>
    <xdr:sp macro="" textlink="">
      <xdr:nvSpPr>
        <xdr:cNvPr id="78" name="TextBox 77">
          <a:extLst>
            <a:ext uri="{FF2B5EF4-FFF2-40B4-BE49-F238E27FC236}">
              <a16:creationId xmlns:a16="http://schemas.microsoft.com/office/drawing/2014/main" id="{A8DFB265-88AB-443C-BFE6-373EE3CDACD4}"/>
            </a:ext>
          </a:extLst>
        </xdr:cNvPr>
        <xdr:cNvSpPr txBox="1"/>
      </xdr:nvSpPr>
      <xdr:spPr>
        <a:xfrm>
          <a:off x="5394960" y="2026920"/>
          <a:ext cx="2819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Education by Attrition</a:t>
          </a:r>
        </a:p>
      </xdr:txBody>
    </xdr:sp>
    <xdr:clientData/>
  </xdr:twoCellAnchor>
  <xdr:twoCellAnchor>
    <xdr:from>
      <xdr:col>14</xdr:col>
      <xdr:colOff>45720</xdr:colOff>
      <xdr:row>12</xdr:row>
      <xdr:rowOff>76200</xdr:rowOff>
    </xdr:from>
    <xdr:to>
      <xdr:col>20</xdr:col>
      <xdr:colOff>472440</xdr:colOff>
      <xdr:row>21</xdr:row>
      <xdr:rowOff>175260</xdr:rowOff>
    </xdr:to>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F4BD50AD-16AF-409B-9C3F-E5CC77F6CD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9433560" y="2453640"/>
              <a:ext cx="4450080" cy="18821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358140</xdr:colOff>
      <xdr:row>10</xdr:row>
      <xdr:rowOff>68580</xdr:rowOff>
    </xdr:from>
    <xdr:to>
      <xdr:col>19</xdr:col>
      <xdr:colOff>495300</xdr:colOff>
      <xdr:row>12</xdr:row>
      <xdr:rowOff>129540</xdr:rowOff>
    </xdr:to>
    <xdr:sp macro="" textlink="">
      <xdr:nvSpPr>
        <xdr:cNvPr id="80" name="TextBox 79">
          <a:extLst>
            <a:ext uri="{FF2B5EF4-FFF2-40B4-BE49-F238E27FC236}">
              <a16:creationId xmlns:a16="http://schemas.microsoft.com/office/drawing/2014/main" id="{213673C1-DA16-43E8-A296-45BF7A20571F}"/>
            </a:ext>
          </a:extLst>
        </xdr:cNvPr>
        <xdr:cNvSpPr txBox="1"/>
      </xdr:nvSpPr>
      <xdr:spPr>
        <a:xfrm>
          <a:off x="10416540" y="2049780"/>
          <a:ext cx="2819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Job role by Attrition</a:t>
          </a:r>
        </a:p>
      </xdr:txBody>
    </xdr:sp>
    <xdr:clientData/>
  </xdr:twoCellAnchor>
  <xdr:twoCellAnchor>
    <xdr:from>
      <xdr:col>0</xdr:col>
      <xdr:colOff>464820</xdr:colOff>
      <xdr:row>23</xdr:row>
      <xdr:rowOff>144780</xdr:rowOff>
    </xdr:from>
    <xdr:to>
      <xdr:col>6</xdr:col>
      <xdr:colOff>76200</xdr:colOff>
      <xdr:row>33</xdr:row>
      <xdr:rowOff>152400</xdr:rowOff>
    </xdr:to>
    <xdr:graphicFrame macro="">
      <xdr:nvGraphicFramePr>
        <xdr:cNvPr id="81" name="Chart 80">
          <a:extLst>
            <a:ext uri="{FF2B5EF4-FFF2-40B4-BE49-F238E27FC236}">
              <a16:creationId xmlns:a16="http://schemas.microsoft.com/office/drawing/2014/main" id="{79664592-1AD9-4F44-987A-D46F2D1E5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144780</xdr:colOff>
      <xdr:row>21</xdr:row>
      <xdr:rowOff>114300</xdr:rowOff>
    </xdr:from>
    <xdr:to>
      <xdr:col>5</xdr:col>
      <xdr:colOff>266700</xdr:colOff>
      <xdr:row>23</xdr:row>
      <xdr:rowOff>76200</xdr:rowOff>
    </xdr:to>
    <xdr:sp macro="" textlink="">
      <xdr:nvSpPr>
        <xdr:cNvPr id="82" name="TextBox 81">
          <a:extLst>
            <a:ext uri="{FF2B5EF4-FFF2-40B4-BE49-F238E27FC236}">
              <a16:creationId xmlns:a16="http://schemas.microsoft.com/office/drawing/2014/main" id="{E7C11A15-0FF7-49FD-B3AA-62E6670B3284}"/>
            </a:ext>
          </a:extLst>
        </xdr:cNvPr>
        <xdr:cNvSpPr txBox="1"/>
      </xdr:nvSpPr>
      <xdr:spPr>
        <a:xfrm>
          <a:off x="815340" y="4274820"/>
          <a:ext cx="28041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Departament by attrition</a:t>
          </a:r>
        </a:p>
      </xdr:txBody>
    </xdr:sp>
    <xdr:clientData/>
  </xdr:twoCellAnchor>
  <xdr:twoCellAnchor>
    <xdr:from>
      <xdr:col>6</xdr:col>
      <xdr:colOff>548640</xdr:colOff>
      <xdr:row>23</xdr:row>
      <xdr:rowOff>137160</xdr:rowOff>
    </xdr:from>
    <xdr:to>
      <xdr:col>12</xdr:col>
      <xdr:colOff>327660</xdr:colOff>
      <xdr:row>32</xdr:row>
      <xdr:rowOff>87630</xdr:rowOff>
    </xdr:to>
    <xdr:graphicFrame macro="">
      <xdr:nvGraphicFramePr>
        <xdr:cNvPr id="83" name="Chart 82">
          <a:extLst>
            <a:ext uri="{FF2B5EF4-FFF2-40B4-BE49-F238E27FC236}">
              <a16:creationId xmlns:a16="http://schemas.microsoft.com/office/drawing/2014/main" id="{CBA88FF5-66E7-44AE-8B72-5DB20D796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7</xdr:col>
      <xdr:colOff>472440</xdr:colOff>
      <xdr:row>21</xdr:row>
      <xdr:rowOff>175260</xdr:rowOff>
    </xdr:from>
    <xdr:to>
      <xdr:col>11</xdr:col>
      <xdr:colOff>594360</xdr:colOff>
      <xdr:row>23</xdr:row>
      <xdr:rowOff>137160</xdr:rowOff>
    </xdr:to>
    <xdr:sp macro="" textlink="">
      <xdr:nvSpPr>
        <xdr:cNvPr id="84" name="TextBox 83">
          <a:extLst>
            <a:ext uri="{FF2B5EF4-FFF2-40B4-BE49-F238E27FC236}">
              <a16:creationId xmlns:a16="http://schemas.microsoft.com/office/drawing/2014/main" id="{EE826E9F-741B-4A0B-BCB1-EC550585653A}"/>
            </a:ext>
          </a:extLst>
        </xdr:cNvPr>
        <xdr:cNvSpPr txBox="1"/>
      </xdr:nvSpPr>
      <xdr:spPr>
        <a:xfrm>
          <a:off x="5166360" y="4335780"/>
          <a:ext cx="28041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Age segment by attrition</a:t>
          </a:r>
        </a:p>
      </xdr:txBody>
    </xdr:sp>
    <xdr:clientData/>
  </xdr:twoCellAnchor>
  <xdr:twoCellAnchor>
    <xdr:from>
      <xdr:col>12</xdr:col>
      <xdr:colOff>640080</xdr:colOff>
      <xdr:row>24</xdr:row>
      <xdr:rowOff>30480</xdr:rowOff>
    </xdr:from>
    <xdr:to>
      <xdr:col>16</xdr:col>
      <xdr:colOff>556260</xdr:colOff>
      <xdr:row>32</xdr:row>
      <xdr:rowOff>95250</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EC986D3B-DFE3-4F93-8333-A1AFA309CF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8686800" y="4785360"/>
              <a:ext cx="2598420" cy="16497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533400</xdr:colOff>
      <xdr:row>21</xdr:row>
      <xdr:rowOff>175260</xdr:rowOff>
    </xdr:from>
    <xdr:to>
      <xdr:col>16</xdr:col>
      <xdr:colOff>655320</xdr:colOff>
      <xdr:row>23</xdr:row>
      <xdr:rowOff>137160</xdr:rowOff>
    </xdr:to>
    <xdr:sp macro="" textlink="">
      <xdr:nvSpPr>
        <xdr:cNvPr id="86" name="TextBox 85">
          <a:extLst>
            <a:ext uri="{FF2B5EF4-FFF2-40B4-BE49-F238E27FC236}">
              <a16:creationId xmlns:a16="http://schemas.microsoft.com/office/drawing/2014/main" id="{9B8615A5-4190-454B-8459-10C5F28C9663}"/>
            </a:ext>
          </a:extLst>
        </xdr:cNvPr>
        <xdr:cNvSpPr txBox="1"/>
      </xdr:nvSpPr>
      <xdr:spPr>
        <a:xfrm>
          <a:off x="8580120" y="4335780"/>
          <a:ext cx="28041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Marital</a:t>
          </a:r>
          <a:r>
            <a:rPr lang="en-US" sz="1200" baseline="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rPr>
            <a:t> status by attrition</a:t>
          </a:r>
          <a:endParaRPr lang="en-US" sz="1200">
            <a:solidFill>
              <a:schemeClr val="tx1"/>
            </a:solidFill>
            <a:latin typeface="Cascadia Code SemiBold" panose="020B0609020000020004" pitchFamily="49" charset="0"/>
            <a:ea typeface="Cascadia Code SemiBold" panose="020B0609020000020004" pitchFamily="49" charset="0"/>
            <a:cs typeface="Cascadia Code SemiBold" panose="020B0609020000020004" pitchFamily="49" charset="0"/>
          </a:endParaRPr>
        </a:p>
      </xdr:txBody>
    </xdr:sp>
    <xdr:clientData/>
  </xdr:twoCellAnchor>
  <xdr:twoCellAnchor editAs="oneCell">
    <xdr:from>
      <xdr:col>19</xdr:col>
      <xdr:colOff>365760</xdr:colOff>
      <xdr:row>23</xdr:row>
      <xdr:rowOff>30480</xdr:rowOff>
    </xdr:from>
    <xdr:to>
      <xdr:col>20</xdr:col>
      <xdr:colOff>586740</xdr:colOff>
      <xdr:row>31</xdr:row>
      <xdr:rowOff>175259</xdr:rowOff>
    </xdr:to>
    <mc:AlternateContent xmlns:mc="http://schemas.openxmlformats.org/markup-compatibility/2006">
      <mc:Choice xmlns:a14="http://schemas.microsoft.com/office/drawing/2010/main" Requires="a14">
        <xdr:graphicFrame macro="">
          <xdr:nvGraphicFramePr>
            <xdr:cNvPr id="87" name="Department 1">
              <a:extLst>
                <a:ext uri="{FF2B5EF4-FFF2-40B4-BE49-F238E27FC236}">
                  <a16:creationId xmlns:a16="http://schemas.microsoft.com/office/drawing/2014/main" id="{BCF5B721-F112-4EC5-B6FA-00507B3F46F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106400" y="4587240"/>
              <a:ext cx="89154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xdr:colOff>
      <xdr:row>23</xdr:row>
      <xdr:rowOff>22861</xdr:rowOff>
    </xdr:from>
    <xdr:to>
      <xdr:col>19</xdr:col>
      <xdr:colOff>381000</xdr:colOff>
      <xdr:row>32</xdr:row>
      <xdr:rowOff>15240</xdr:rowOff>
    </xdr:to>
    <mc:AlternateContent xmlns:mc="http://schemas.openxmlformats.org/markup-compatibility/2006">
      <mc:Choice xmlns:a14="http://schemas.microsoft.com/office/drawing/2010/main" Requires="a14">
        <xdr:graphicFrame macro="">
          <xdr:nvGraphicFramePr>
            <xdr:cNvPr id="88" name="Education Field 2">
              <a:extLst>
                <a:ext uri="{FF2B5EF4-FFF2-40B4-BE49-F238E27FC236}">
                  <a16:creationId xmlns:a16="http://schemas.microsoft.com/office/drawing/2014/main" id="{68DADE06-6FFE-4C94-9912-D7020E818EB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1452860" y="4579621"/>
              <a:ext cx="1668780" cy="1775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205740</xdr:colOff>
      <xdr:row>21</xdr:row>
      <xdr:rowOff>190500</xdr:rowOff>
    </xdr:from>
    <xdr:to>
      <xdr:col>20</xdr:col>
      <xdr:colOff>441960</xdr:colOff>
      <xdr:row>23</xdr:row>
      <xdr:rowOff>53340</xdr:rowOff>
    </xdr:to>
    <xdr:sp macro="" textlink="">
      <xdr:nvSpPr>
        <xdr:cNvPr id="89" name="TextBox 88">
          <a:extLst>
            <a:ext uri="{FF2B5EF4-FFF2-40B4-BE49-F238E27FC236}">
              <a16:creationId xmlns:a16="http://schemas.microsoft.com/office/drawing/2014/main" id="{45345965-C124-EC7A-2410-3A1318C07449}"/>
            </a:ext>
          </a:extLst>
        </xdr:cNvPr>
        <xdr:cNvSpPr txBox="1"/>
      </xdr:nvSpPr>
      <xdr:spPr>
        <a:xfrm>
          <a:off x="11605260" y="4351020"/>
          <a:ext cx="22479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Education &amp; Departament filter</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639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cioru ." refreshedDate="45986.897544328705" createdVersion="8" refreshedVersion="8" minRefreshableVersion="3" recordCount="1470" xr:uid="{BF8D20AF-52BF-45AD-91EF-DA5A2BD349F6}">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31158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n v="41"/>
    <n v="1"/>
    <n v="1"/>
    <n v="1"/>
    <n v="0"/>
    <n v="1102"/>
    <n v="1"/>
    <x v="0"/>
    <n v="1"/>
    <n v="2"/>
    <n v="94"/>
    <n v="3"/>
    <n v="2"/>
    <n v="4"/>
    <n v="5993"/>
    <n v="19479"/>
    <n v="8"/>
    <n v="11"/>
    <n v="3"/>
    <n v="1"/>
    <n v="80"/>
    <n v="0"/>
    <n v="8"/>
    <n v="1"/>
    <n v="6"/>
    <n v="4"/>
    <n v="0"/>
    <n v="5"/>
  </r>
  <r>
    <x v="1"/>
    <s v="Travel_Frequently"/>
    <x v="1"/>
    <s v="Current Employees"/>
    <x v="1"/>
    <x v="0"/>
    <x v="1"/>
    <n v="2"/>
    <x v="1"/>
    <x v="1"/>
    <x v="1"/>
    <s v="No"/>
    <s v="Y"/>
    <n v="3"/>
    <n v="-2"/>
    <n v="0"/>
    <n v="49"/>
    <n v="0"/>
    <m/>
    <n v="0"/>
    <n v="1"/>
    <n v="279"/>
    <n v="8"/>
    <x v="1"/>
    <n v="1"/>
    <n v="3"/>
    <n v="61"/>
    <n v="2"/>
    <n v="2"/>
    <n v="2"/>
    <n v="5130"/>
    <n v="24907"/>
    <n v="1"/>
    <n v="23"/>
    <n v="4"/>
    <n v="4"/>
    <n v="80"/>
    <n v="1"/>
    <n v="10"/>
    <n v="3"/>
    <n v="10"/>
    <n v="7"/>
    <n v="1"/>
    <n v="7"/>
  </r>
  <r>
    <x v="0"/>
    <s v="Travel_Rarely"/>
    <x v="0"/>
    <s v="Ex-Employees"/>
    <x v="1"/>
    <x v="1"/>
    <x v="2"/>
    <n v="4"/>
    <x v="1"/>
    <x v="2"/>
    <x v="0"/>
    <s v="Yes"/>
    <s v="Y"/>
    <n v="3"/>
    <n v="-2"/>
    <n v="0"/>
    <n v="37"/>
    <n v="1"/>
    <n v="1"/>
    <n v="1"/>
    <n v="0"/>
    <n v="1373"/>
    <n v="2"/>
    <x v="0"/>
    <n v="1"/>
    <n v="4"/>
    <n v="92"/>
    <n v="2"/>
    <n v="1"/>
    <n v="3"/>
    <n v="2090"/>
    <n v="2396"/>
    <n v="6"/>
    <n v="15"/>
    <n v="3"/>
    <n v="2"/>
    <n v="80"/>
    <n v="0"/>
    <n v="7"/>
    <n v="3"/>
    <n v="0"/>
    <n v="0"/>
    <n v="0"/>
    <n v="0"/>
  </r>
  <r>
    <x v="1"/>
    <s v="Travel_Frequently"/>
    <x v="2"/>
    <s v="Current Employees"/>
    <x v="1"/>
    <x v="0"/>
    <x v="3"/>
    <n v="5"/>
    <x v="0"/>
    <x v="1"/>
    <x v="1"/>
    <s v="Yes"/>
    <s v="Y"/>
    <n v="3"/>
    <n v="-2"/>
    <n v="0"/>
    <n v="33"/>
    <n v="0"/>
    <m/>
    <n v="0"/>
    <n v="1"/>
    <n v="1392"/>
    <n v="3"/>
    <x v="2"/>
    <n v="1"/>
    <n v="4"/>
    <n v="56"/>
    <n v="3"/>
    <n v="1"/>
    <n v="3"/>
    <n v="2909"/>
    <n v="23159"/>
    <n v="1"/>
    <n v="11"/>
    <n v="3"/>
    <n v="3"/>
    <n v="80"/>
    <n v="0"/>
    <n v="8"/>
    <n v="3"/>
    <n v="8"/>
    <n v="7"/>
    <n v="3"/>
    <n v="0"/>
  </r>
  <r>
    <x v="1"/>
    <s v="Travel_Rarely"/>
    <x v="2"/>
    <s v="Current Employees"/>
    <x v="1"/>
    <x v="2"/>
    <x v="4"/>
    <n v="7"/>
    <x v="1"/>
    <x v="2"/>
    <x v="1"/>
    <s v="No"/>
    <s v="Y"/>
    <n v="3"/>
    <n v="-2"/>
    <n v="0"/>
    <n v="27"/>
    <n v="0"/>
    <m/>
    <n v="0"/>
    <n v="1"/>
    <n v="591"/>
    <n v="2"/>
    <x v="1"/>
    <n v="1"/>
    <n v="1"/>
    <n v="40"/>
    <n v="3"/>
    <n v="1"/>
    <n v="2"/>
    <n v="3468"/>
    <n v="16632"/>
    <n v="9"/>
    <n v="12"/>
    <n v="3"/>
    <n v="4"/>
    <n v="80"/>
    <n v="1"/>
    <n v="6"/>
    <n v="3"/>
    <n v="2"/>
    <n v="2"/>
    <n v="2"/>
    <n v="2"/>
  </r>
  <r>
    <x v="1"/>
    <s v="Travel_Frequently"/>
    <x v="2"/>
    <s v="Current Employees"/>
    <x v="1"/>
    <x v="0"/>
    <x v="5"/>
    <n v="8"/>
    <x v="1"/>
    <x v="2"/>
    <x v="0"/>
    <s v="No"/>
    <s v="Y"/>
    <n v="2"/>
    <n v="-2"/>
    <n v="0"/>
    <n v="32"/>
    <n v="0"/>
    <m/>
    <n v="0"/>
    <n v="1"/>
    <n v="1005"/>
    <n v="2"/>
    <x v="0"/>
    <n v="1"/>
    <n v="4"/>
    <n v="79"/>
    <n v="3"/>
    <n v="1"/>
    <n v="2"/>
    <n v="3068"/>
    <n v="11864"/>
    <n v="0"/>
    <n v="13"/>
    <n v="3"/>
    <n v="3"/>
    <n v="80"/>
    <n v="0"/>
    <n v="8"/>
    <n v="2"/>
    <n v="7"/>
    <n v="7"/>
    <n v="3"/>
    <n v="6"/>
  </r>
  <r>
    <x v="1"/>
    <s v="Travel_Rarely"/>
    <x v="3"/>
    <s v="Current Employees"/>
    <x v="1"/>
    <x v="2"/>
    <x v="6"/>
    <n v="10"/>
    <x v="0"/>
    <x v="2"/>
    <x v="1"/>
    <s v="Yes"/>
    <s v="Y"/>
    <n v="3"/>
    <n v="-2"/>
    <n v="0"/>
    <n v="59"/>
    <n v="0"/>
    <m/>
    <n v="0"/>
    <n v="1"/>
    <n v="1324"/>
    <n v="3"/>
    <x v="3"/>
    <n v="1"/>
    <n v="3"/>
    <n v="81"/>
    <n v="4"/>
    <n v="1"/>
    <n v="4"/>
    <n v="2670"/>
    <n v="9964"/>
    <n v="4"/>
    <n v="20"/>
    <n v="4"/>
    <n v="1"/>
    <n v="80"/>
    <n v="3"/>
    <n v="12"/>
    <n v="2"/>
    <n v="1"/>
    <n v="0"/>
    <n v="0"/>
    <n v="0"/>
  </r>
  <r>
    <x v="1"/>
    <s v="Travel_Rarely"/>
    <x v="2"/>
    <s v="Current Employees"/>
    <x v="1"/>
    <x v="0"/>
    <x v="7"/>
    <n v="11"/>
    <x v="1"/>
    <x v="2"/>
    <x v="2"/>
    <s v="No"/>
    <s v="Y"/>
    <n v="2"/>
    <n v="-2"/>
    <n v="0"/>
    <n v="30"/>
    <n v="0"/>
    <m/>
    <n v="0"/>
    <n v="1"/>
    <n v="1358"/>
    <n v="24"/>
    <x v="1"/>
    <n v="1"/>
    <n v="4"/>
    <n v="67"/>
    <n v="3"/>
    <n v="1"/>
    <n v="2"/>
    <n v="2693"/>
    <n v="13335"/>
    <n v="1"/>
    <n v="22"/>
    <n v="4"/>
    <n v="2"/>
    <n v="80"/>
    <n v="1"/>
    <n v="1"/>
    <n v="3"/>
    <n v="1"/>
    <n v="0"/>
    <n v="0"/>
    <n v="0"/>
  </r>
  <r>
    <x v="1"/>
    <s v="Travel_Frequently"/>
    <x v="0"/>
    <s v="Current Employees"/>
    <x v="1"/>
    <x v="0"/>
    <x v="8"/>
    <n v="12"/>
    <x v="1"/>
    <x v="3"/>
    <x v="0"/>
    <s v="No"/>
    <s v="Y"/>
    <n v="2"/>
    <n v="-2"/>
    <n v="0"/>
    <n v="38"/>
    <n v="0"/>
    <m/>
    <n v="0"/>
    <n v="1"/>
    <n v="216"/>
    <n v="23"/>
    <x v="3"/>
    <n v="1"/>
    <n v="4"/>
    <n v="44"/>
    <n v="2"/>
    <n v="3"/>
    <n v="2"/>
    <n v="9526"/>
    <n v="8787"/>
    <n v="0"/>
    <n v="21"/>
    <n v="4"/>
    <n v="2"/>
    <n v="80"/>
    <n v="0"/>
    <n v="10"/>
    <n v="3"/>
    <n v="9"/>
    <n v="7"/>
    <n v="1"/>
    <n v="8"/>
  </r>
  <r>
    <x v="1"/>
    <s v="Travel_Rarely"/>
    <x v="0"/>
    <s v="Current Employees"/>
    <x v="1"/>
    <x v="2"/>
    <x v="9"/>
    <n v="13"/>
    <x v="1"/>
    <x v="4"/>
    <x v="1"/>
    <s v="No"/>
    <s v="Y"/>
    <n v="3"/>
    <n v="-2"/>
    <n v="0"/>
    <n v="36"/>
    <n v="0"/>
    <m/>
    <n v="0"/>
    <n v="1"/>
    <n v="1299"/>
    <n v="27"/>
    <x v="3"/>
    <n v="1"/>
    <n v="3"/>
    <n v="94"/>
    <n v="3"/>
    <n v="2"/>
    <n v="3"/>
    <n v="5237"/>
    <n v="16577"/>
    <n v="6"/>
    <n v="13"/>
    <n v="3"/>
    <n v="2"/>
    <n v="80"/>
    <n v="2"/>
    <n v="17"/>
    <n v="2"/>
    <n v="7"/>
    <n v="7"/>
    <n v="7"/>
    <n v="7"/>
  </r>
  <r>
    <x v="1"/>
    <s v="Travel_Rarely"/>
    <x v="0"/>
    <s v="Current Employees"/>
    <x v="1"/>
    <x v="2"/>
    <x v="10"/>
    <n v="14"/>
    <x v="1"/>
    <x v="2"/>
    <x v="1"/>
    <s v="No"/>
    <s v="Y"/>
    <n v="5"/>
    <n v="-2"/>
    <n v="0"/>
    <n v="35"/>
    <n v="0"/>
    <m/>
    <n v="0"/>
    <n v="1"/>
    <n v="809"/>
    <n v="16"/>
    <x v="3"/>
    <n v="1"/>
    <n v="1"/>
    <n v="84"/>
    <n v="4"/>
    <n v="1"/>
    <n v="2"/>
    <n v="2426"/>
    <n v="16479"/>
    <n v="0"/>
    <n v="13"/>
    <n v="3"/>
    <n v="3"/>
    <n v="80"/>
    <n v="1"/>
    <n v="6"/>
    <n v="3"/>
    <n v="5"/>
    <n v="4"/>
    <n v="0"/>
    <n v="3"/>
  </r>
  <r>
    <x v="1"/>
    <s v="Travel_Rarely"/>
    <x v="2"/>
    <s v="Current Employees"/>
    <x v="1"/>
    <x v="0"/>
    <x v="11"/>
    <n v="15"/>
    <x v="0"/>
    <x v="2"/>
    <x v="0"/>
    <s v="Yes"/>
    <s v="Y"/>
    <n v="3"/>
    <n v="-2"/>
    <n v="0"/>
    <n v="29"/>
    <n v="0"/>
    <m/>
    <n v="0"/>
    <n v="1"/>
    <n v="153"/>
    <n v="15"/>
    <x v="0"/>
    <n v="1"/>
    <n v="4"/>
    <n v="49"/>
    <n v="2"/>
    <n v="2"/>
    <n v="2"/>
    <n v="4193"/>
    <n v="12682"/>
    <n v="0"/>
    <n v="12"/>
    <n v="3"/>
    <n v="4"/>
    <n v="80"/>
    <n v="0"/>
    <n v="10"/>
    <n v="3"/>
    <n v="9"/>
    <n v="5"/>
    <n v="0"/>
    <n v="8"/>
  </r>
  <r>
    <x v="1"/>
    <s v="Travel_Rarely"/>
    <x v="2"/>
    <s v="Current Employees"/>
    <x v="1"/>
    <x v="0"/>
    <x v="12"/>
    <n v="16"/>
    <x v="1"/>
    <x v="1"/>
    <x v="2"/>
    <s v="No"/>
    <s v="Y"/>
    <n v="1"/>
    <n v="-2"/>
    <n v="0"/>
    <n v="31"/>
    <n v="0"/>
    <m/>
    <n v="0"/>
    <n v="1"/>
    <n v="670"/>
    <n v="26"/>
    <x v="1"/>
    <n v="1"/>
    <n v="1"/>
    <n v="31"/>
    <n v="3"/>
    <n v="1"/>
    <n v="2"/>
    <n v="2911"/>
    <n v="15170"/>
    <n v="1"/>
    <n v="17"/>
    <n v="3"/>
    <n v="4"/>
    <n v="80"/>
    <n v="1"/>
    <n v="5"/>
    <n v="2"/>
    <n v="5"/>
    <n v="2"/>
    <n v="4"/>
    <n v="3"/>
  </r>
  <r>
    <x v="1"/>
    <s v="Travel_Rarely"/>
    <x v="2"/>
    <s v="Current Employees"/>
    <x v="1"/>
    <x v="2"/>
    <x v="13"/>
    <n v="18"/>
    <x v="1"/>
    <x v="2"/>
    <x v="2"/>
    <s v="No"/>
    <s v="Y"/>
    <n v="2"/>
    <n v="-2"/>
    <n v="0"/>
    <n v="34"/>
    <n v="0"/>
    <m/>
    <n v="0"/>
    <n v="1"/>
    <n v="1346"/>
    <n v="19"/>
    <x v="0"/>
    <n v="1"/>
    <n v="2"/>
    <n v="93"/>
    <n v="3"/>
    <n v="1"/>
    <n v="4"/>
    <n v="2661"/>
    <n v="8758"/>
    <n v="0"/>
    <n v="11"/>
    <n v="3"/>
    <n v="3"/>
    <n v="80"/>
    <n v="1"/>
    <n v="3"/>
    <n v="3"/>
    <n v="2"/>
    <n v="2"/>
    <n v="1"/>
    <n v="2"/>
  </r>
  <r>
    <x v="0"/>
    <s v="Travel_Rarely"/>
    <x v="2"/>
    <s v="Ex-Employees"/>
    <x v="1"/>
    <x v="0"/>
    <x v="14"/>
    <n v="19"/>
    <x v="1"/>
    <x v="2"/>
    <x v="0"/>
    <s v="Yes"/>
    <s v="Y"/>
    <n v="4"/>
    <n v="-2"/>
    <n v="0"/>
    <n v="28"/>
    <n v="1"/>
    <n v="1"/>
    <n v="1"/>
    <n v="0"/>
    <n v="103"/>
    <n v="24"/>
    <x v="3"/>
    <n v="1"/>
    <n v="3"/>
    <n v="50"/>
    <n v="2"/>
    <n v="1"/>
    <n v="2"/>
    <n v="2028"/>
    <n v="12947"/>
    <n v="5"/>
    <n v="14"/>
    <n v="3"/>
    <n v="2"/>
    <n v="80"/>
    <n v="0"/>
    <n v="6"/>
    <n v="3"/>
    <n v="4"/>
    <n v="2"/>
    <n v="0"/>
    <n v="3"/>
  </r>
  <r>
    <x v="1"/>
    <s v="Travel_Rarely"/>
    <x v="2"/>
    <s v="Current Employees"/>
    <x v="1"/>
    <x v="0"/>
    <x v="15"/>
    <n v="20"/>
    <x v="0"/>
    <x v="3"/>
    <x v="2"/>
    <s v="No"/>
    <s v="Y"/>
    <n v="1"/>
    <n v="-2"/>
    <n v="0"/>
    <n v="29"/>
    <n v="0"/>
    <m/>
    <n v="0"/>
    <n v="1"/>
    <n v="1389"/>
    <n v="21"/>
    <x v="2"/>
    <n v="1"/>
    <n v="2"/>
    <n v="51"/>
    <n v="4"/>
    <n v="3"/>
    <n v="2"/>
    <n v="9980"/>
    <n v="10195"/>
    <n v="1"/>
    <n v="11"/>
    <n v="3"/>
    <n v="3"/>
    <n v="80"/>
    <n v="1"/>
    <n v="10"/>
    <n v="3"/>
    <n v="10"/>
    <n v="9"/>
    <n v="8"/>
    <n v="8"/>
  </r>
  <r>
    <x v="1"/>
    <s v="Travel_Rarely"/>
    <x v="2"/>
    <s v="Current Employees"/>
    <x v="1"/>
    <x v="0"/>
    <x v="16"/>
    <n v="21"/>
    <x v="1"/>
    <x v="1"/>
    <x v="2"/>
    <s v="Yes"/>
    <s v="Y"/>
    <n v="5"/>
    <n v="-2"/>
    <n v="0"/>
    <n v="32"/>
    <n v="0"/>
    <m/>
    <n v="0"/>
    <n v="1"/>
    <n v="334"/>
    <n v="5"/>
    <x v="0"/>
    <n v="1"/>
    <n v="1"/>
    <n v="80"/>
    <n v="4"/>
    <n v="1"/>
    <n v="2"/>
    <n v="3298"/>
    <n v="15053"/>
    <n v="0"/>
    <n v="12"/>
    <n v="3"/>
    <n v="4"/>
    <n v="80"/>
    <n v="2"/>
    <n v="7"/>
    <n v="2"/>
    <n v="6"/>
    <n v="2"/>
    <n v="0"/>
    <n v="5"/>
  </r>
  <r>
    <x v="1"/>
    <s v="Non-Travel"/>
    <x v="4"/>
    <s v="Current Employees"/>
    <x v="1"/>
    <x v="2"/>
    <x v="17"/>
    <n v="22"/>
    <x v="1"/>
    <x v="2"/>
    <x v="2"/>
    <s v="Yes"/>
    <s v="Y"/>
    <n v="2"/>
    <n v="-2"/>
    <n v="0"/>
    <n v="22"/>
    <n v="0"/>
    <m/>
    <n v="0"/>
    <n v="1"/>
    <n v="1123"/>
    <n v="16"/>
    <x v="0"/>
    <n v="1"/>
    <n v="4"/>
    <n v="96"/>
    <n v="4"/>
    <n v="1"/>
    <n v="4"/>
    <n v="2935"/>
    <n v="7324"/>
    <n v="1"/>
    <n v="13"/>
    <n v="3"/>
    <n v="2"/>
    <n v="80"/>
    <n v="2"/>
    <n v="1"/>
    <n v="2"/>
    <n v="1"/>
    <n v="0"/>
    <n v="0"/>
    <n v="0"/>
  </r>
  <r>
    <x v="1"/>
    <s v="Travel_Rarely"/>
    <x v="1"/>
    <s v="Current Employees"/>
    <x v="0"/>
    <x v="0"/>
    <x v="18"/>
    <n v="23"/>
    <x v="0"/>
    <x v="5"/>
    <x v="1"/>
    <s v="No"/>
    <s v="Y"/>
    <n v="3"/>
    <n v="-2"/>
    <n v="0"/>
    <n v="53"/>
    <n v="0"/>
    <m/>
    <n v="0"/>
    <n v="1"/>
    <n v="1219"/>
    <n v="2"/>
    <x v="2"/>
    <n v="1"/>
    <n v="1"/>
    <n v="78"/>
    <n v="2"/>
    <n v="4"/>
    <n v="2"/>
    <n v="15427"/>
    <n v="22021"/>
    <n v="2"/>
    <n v="16"/>
    <n v="3"/>
    <n v="3"/>
    <n v="80"/>
    <n v="0"/>
    <n v="31"/>
    <n v="3"/>
    <n v="25"/>
    <n v="8"/>
    <n v="3"/>
    <n v="7"/>
  </r>
  <r>
    <x v="1"/>
    <s v="Travel_Rarely"/>
    <x v="0"/>
    <s v="Current Employees"/>
    <x v="1"/>
    <x v="0"/>
    <x v="19"/>
    <n v="24"/>
    <x v="1"/>
    <x v="1"/>
    <x v="0"/>
    <s v="Yes"/>
    <s v="Y"/>
    <n v="3"/>
    <n v="-2"/>
    <n v="0"/>
    <n v="38"/>
    <n v="0"/>
    <m/>
    <n v="0"/>
    <n v="1"/>
    <n v="371"/>
    <n v="2"/>
    <x v="3"/>
    <n v="1"/>
    <n v="4"/>
    <n v="45"/>
    <n v="3"/>
    <n v="1"/>
    <n v="2"/>
    <n v="3944"/>
    <n v="4306"/>
    <n v="5"/>
    <n v="11"/>
    <n v="3"/>
    <n v="3"/>
    <n v="80"/>
    <n v="0"/>
    <n v="6"/>
    <n v="3"/>
    <n v="3"/>
    <n v="2"/>
    <n v="1"/>
    <n v="2"/>
  </r>
  <r>
    <x v="1"/>
    <s v="Non-Travel"/>
    <x v="4"/>
    <s v="Current Employees"/>
    <x v="1"/>
    <x v="1"/>
    <x v="20"/>
    <n v="26"/>
    <x v="0"/>
    <x v="3"/>
    <x v="2"/>
    <s v="No"/>
    <s v="Y"/>
    <n v="5"/>
    <n v="-2"/>
    <n v="0"/>
    <n v="24"/>
    <n v="0"/>
    <m/>
    <n v="0"/>
    <n v="1"/>
    <n v="673"/>
    <n v="11"/>
    <x v="0"/>
    <n v="1"/>
    <n v="1"/>
    <n v="96"/>
    <n v="4"/>
    <n v="2"/>
    <n v="3"/>
    <n v="4011"/>
    <n v="8232"/>
    <n v="0"/>
    <n v="18"/>
    <n v="3"/>
    <n v="4"/>
    <n v="80"/>
    <n v="1"/>
    <n v="5"/>
    <n v="2"/>
    <n v="4"/>
    <n v="2"/>
    <n v="1"/>
    <n v="3"/>
  </r>
  <r>
    <x v="0"/>
    <s v="Travel_Rarely"/>
    <x v="0"/>
    <s v="Ex-Employees"/>
    <x v="0"/>
    <x v="0"/>
    <x v="21"/>
    <n v="27"/>
    <x v="1"/>
    <x v="6"/>
    <x v="0"/>
    <s v="No"/>
    <s v="Y"/>
    <n v="4"/>
    <n v="-2"/>
    <n v="0"/>
    <n v="36"/>
    <n v="1"/>
    <n v="1"/>
    <n v="1"/>
    <n v="0"/>
    <n v="1218"/>
    <n v="9"/>
    <x v="2"/>
    <n v="1"/>
    <n v="3"/>
    <n v="82"/>
    <n v="2"/>
    <n v="1"/>
    <n v="2"/>
    <n v="3407"/>
    <n v="6986"/>
    <n v="7"/>
    <n v="23"/>
    <n v="4"/>
    <n v="2"/>
    <n v="80"/>
    <n v="0"/>
    <n v="10"/>
    <n v="3"/>
    <n v="5"/>
    <n v="3"/>
    <n v="0"/>
    <n v="3"/>
  </r>
  <r>
    <x v="1"/>
    <s v="Travel_Rarely"/>
    <x v="2"/>
    <s v="Current Employees"/>
    <x v="1"/>
    <x v="0"/>
    <x v="22"/>
    <n v="28"/>
    <x v="0"/>
    <x v="7"/>
    <x v="0"/>
    <s v="No"/>
    <s v="Y"/>
    <n v="4"/>
    <n v="-2"/>
    <n v="0"/>
    <n v="34"/>
    <n v="0"/>
    <m/>
    <n v="0"/>
    <n v="1"/>
    <n v="419"/>
    <n v="7"/>
    <x v="2"/>
    <n v="1"/>
    <n v="1"/>
    <n v="53"/>
    <n v="3"/>
    <n v="3"/>
    <n v="2"/>
    <n v="11994"/>
    <n v="21293"/>
    <n v="0"/>
    <n v="11"/>
    <n v="3"/>
    <n v="3"/>
    <n v="80"/>
    <n v="0"/>
    <n v="13"/>
    <n v="3"/>
    <n v="12"/>
    <n v="6"/>
    <n v="2"/>
    <n v="11"/>
  </r>
  <r>
    <x v="1"/>
    <s v="Travel_Rarely"/>
    <x v="4"/>
    <s v="Current Employees"/>
    <x v="1"/>
    <x v="0"/>
    <x v="23"/>
    <n v="30"/>
    <x v="1"/>
    <x v="1"/>
    <x v="0"/>
    <s v="No"/>
    <s v="Y"/>
    <n v="6"/>
    <n v="-2"/>
    <n v="0"/>
    <n v="21"/>
    <n v="0"/>
    <m/>
    <n v="0"/>
    <n v="1"/>
    <n v="391"/>
    <n v="15"/>
    <x v="0"/>
    <n v="1"/>
    <n v="3"/>
    <n v="96"/>
    <n v="3"/>
    <n v="1"/>
    <n v="2"/>
    <n v="1232"/>
    <n v="19281"/>
    <n v="1"/>
    <n v="14"/>
    <n v="3"/>
    <n v="4"/>
    <n v="80"/>
    <n v="0"/>
    <n v="0"/>
    <n v="3"/>
    <n v="0"/>
    <n v="0"/>
    <n v="0"/>
    <n v="0"/>
  </r>
  <r>
    <x v="0"/>
    <s v="Travel_Rarely"/>
    <x v="2"/>
    <s v="Ex-Employees"/>
    <x v="1"/>
    <x v="2"/>
    <x v="24"/>
    <n v="31"/>
    <x v="1"/>
    <x v="1"/>
    <x v="0"/>
    <s v="No"/>
    <s v="Y"/>
    <n v="2"/>
    <n v="-2"/>
    <n v="0"/>
    <n v="34"/>
    <n v="1"/>
    <n v="1"/>
    <n v="1"/>
    <n v="0"/>
    <n v="699"/>
    <n v="6"/>
    <x v="1"/>
    <n v="1"/>
    <n v="2"/>
    <n v="83"/>
    <n v="3"/>
    <n v="1"/>
    <n v="4"/>
    <n v="2960"/>
    <n v="17102"/>
    <n v="2"/>
    <n v="11"/>
    <n v="3"/>
    <n v="3"/>
    <n v="80"/>
    <n v="0"/>
    <n v="8"/>
    <n v="3"/>
    <n v="4"/>
    <n v="2"/>
    <n v="1"/>
    <n v="3"/>
  </r>
  <r>
    <x v="1"/>
    <s v="Travel_Rarely"/>
    <x v="1"/>
    <s v="Current Employees"/>
    <x v="1"/>
    <x v="1"/>
    <x v="25"/>
    <n v="32"/>
    <x v="0"/>
    <x v="5"/>
    <x v="2"/>
    <s v="No"/>
    <s v="Y"/>
    <n v="3"/>
    <n v="-2"/>
    <n v="0"/>
    <n v="53"/>
    <n v="0"/>
    <m/>
    <n v="0"/>
    <n v="1"/>
    <n v="1282"/>
    <n v="5"/>
    <x v="3"/>
    <n v="1"/>
    <n v="3"/>
    <n v="58"/>
    <n v="3"/>
    <n v="5"/>
    <n v="3"/>
    <n v="19094"/>
    <n v="10735"/>
    <n v="4"/>
    <n v="11"/>
    <n v="3"/>
    <n v="4"/>
    <n v="80"/>
    <n v="1"/>
    <n v="26"/>
    <n v="2"/>
    <n v="14"/>
    <n v="13"/>
    <n v="4"/>
    <n v="8"/>
  </r>
  <r>
    <x v="0"/>
    <s v="Travel_Frequently"/>
    <x v="2"/>
    <s v="Ex-Employees"/>
    <x v="1"/>
    <x v="0"/>
    <x v="26"/>
    <n v="33"/>
    <x v="0"/>
    <x v="1"/>
    <x v="0"/>
    <s v="Yes"/>
    <s v="Y"/>
    <n v="5"/>
    <n v="-2"/>
    <n v="0"/>
    <n v="32"/>
    <n v="1"/>
    <n v="1"/>
    <n v="1"/>
    <n v="0"/>
    <n v="1125"/>
    <n v="16"/>
    <x v="1"/>
    <n v="1"/>
    <n v="2"/>
    <n v="72"/>
    <n v="1"/>
    <n v="1"/>
    <n v="2"/>
    <n v="3919"/>
    <n v="4681"/>
    <n v="1"/>
    <n v="22"/>
    <n v="4"/>
    <n v="2"/>
    <n v="80"/>
    <n v="0"/>
    <n v="10"/>
    <n v="3"/>
    <n v="10"/>
    <n v="2"/>
    <n v="6"/>
    <n v="7"/>
  </r>
  <r>
    <x v="1"/>
    <s v="Travel_Rarely"/>
    <x v="0"/>
    <s v="Current Employees"/>
    <x v="0"/>
    <x v="3"/>
    <x v="27"/>
    <n v="35"/>
    <x v="1"/>
    <x v="0"/>
    <x v="1"/>
    <s v="No"/>
    <s v="Y"/>
    <n v="2"/>
    <n v="-2"/>
    <n v="0"/>
    <n v="42"/>
    <n v="0"/>
    <m/>
    <n v="0"/>
    <n v="1"/>
    <n v="691"/>
    <n v="8"/>
    <x v="2"/>
    <n v="1"/>
    <n v="3"/>
    <n v="48"/>
    <n v="3"/>
    <n v="2"/>
    <n v="3"/>
    <n v="6825"/>
    <n v="21173"/>
    <n v="0"/>
    <n v="11"/>
    <n v="3"/>
    <n v="4"/>
    <n v="80"/>
    <n v="1"/>
    <n v="10"/>
    <n v="3"/>
    <n v="9"/>
    <n v="7"/>
    <n v="4"/>
    <n v="2"/>
  </r>
  <r>
    <x v="1"/>
    <s v="Travel_Rarely"/>
    <x v="0"/>
    <s v="Current Employees"/>
    <x v="1"/>
    <x v="2"/>
    <x v="28"/>
    <n v="36"/>
    <x v="0"/>
    <x v="4"/>
    <x v="1"/>
    <s v="No"/>
    <s v="Y"/>
    <n v="4"/>
    <n v="-2"/>
    <n v="0"/>
    <n v="44"/>
    <n v="0"/>
    <m/>
    <n v="0"/>
    <n v="1"/>
    <n v="477"/>
    <n v="7"/>
    <x v="2"/>
    <n v="1"/>
    <n v="1"/>
    <n v="42"/>
    <n v="2"/>
    <n v="3"/>
    <n v="4"/>
    <n v="10248"/>
    <n v="2094"/>
    <n v="3"/>
    <n v="14"/>
    <n v="3"/>
    <n v="4"/>
    <n v="80"/>
    <n v="1"/>
    <n v="24"/>
    <n v="3"/>
    <n v="22"/>
    <n v="6"/>
    <n v="5"/>
    <n v="17"/>
  </r>
  <r>
    <x v="1"/>
    <s v="Travel_Rarely"/>
    <x v="1"/>
    <s v="Current Employees"/>
    <x v="0"/>
    <x v="3"/>
    <x v="29"/>
    <n v="38"/>
    <x v="0"/>
    <x v="5"/>
    <x v="0"/>
    <s v="No"/>
    <s v="Y"/>
    <n v="2"/>
    <n v="-2"/>
    <n v="0"/>
    <n v="46"/>
    <n v="0"/>
    <m/>
    <n v="0"/>
    <n v="1"/>
    <n v="705"/>
    <n v="2"/>
    <x v="2"/>
    <n v="1"/>
    <n v="2"/>
    <n v="83"/>
    <n v="3"/>
    <n v="5"/>
    <n v="4"/>
    <n v="18947"/>
    <n v="22822"/>
    <n v="3"/>
    <n v="12"/>
    <n v="3"/>
    <n v="4"/>
    <n v="80"/>
    <n v="0"/>
    <n v="22"/>
    <n v="2"/>
    <n v="2"/>
    <n v="2"/>
    <n v="2"/>
    <n v="1"/>
  </r>
  <r>
    <x v="1"/>
    <s v="Travel_Rarely"/>
    <x v="2"/>
    <s v="Current Employees"/>
    <x v="1"/>
    <x v="2"/>
    <x v="30"/>
    <n v="39"/>
    <x v="1"/>
    <x v="2"/>
    <x v="0"/>
    <s v="No"/>
    <s v="Y"/>
    <n v="3"/>
    <n v="-2"/>
    <n v="0"/>
    <n v="33"/>
    <n v="0"/>
    <m/>
    <n v="0"/>
    <n v="1"/>
    <n v="924"/>
    <n v="2"/>
    <x v="3"/>
    <n v="1"/>
    <n v="3"/>
    <n v="78"/>
    <n v="3"/>
    <n v="1"/>
    <n v="4"/>
    <n v="2496"/>
    <n v="6670"/>
    <n v="4"/>
    <n v="11"/>
    <n v="3"/>
    <n v="4"/>
    <n v="80"/>
    <n v="0"/>
    <n v="7"/>
    <n v="3"/>
    <n v="1"/>
    <n v="1"/>
    <n v="0"/>
    <n v="0"/>
  </r>
  <r>
    <x v="1"/>
    <s v="Travel_Rarely"/>
    <x v="0"/>
    <s v="Current Employees"/>
    <x v="1"/>
    <x v="1"/>
    <x v="31"/>
    <n v="40"/>
    <x v="1"/>
    <x v="4"/>
    <x v="1"/>
    <s v="Yes"/>
    <s v="Y"/>
    <n v="5"/>
    <n v="-2"/>
    <n v="0"/>
    <n v="44"/>
    <n v="0"/>
    <m/>
    <n v="0"/>
    <n v="1"/>
    <n v="1459"/>
    <n v="10"/>
    <x v="2"/>
    <n v="1"/>
    <n v="4"/>
    <n v="41"/>
    <n v="3"/>
    <n v="2"/>
    <n v="4"/>
    <n v="6465"/>
    <n v="19121"/>
    <n v="2"/>
    <n v="13"/>
    <n v="3"/>
    <n v="4"/>
    <n v="80"/>
    <n v="0"/>
    <n v="9"/>
    <n v="4"/>
    <n v="4"/>
    <n v="2"/>
    <n v="1"/>
    <n v="3"/>
  </r>
  <r>
    <x v="1"/>
    <s v="Travel_Rarely"/>
    <x v="2"/>
    <s v="Current Employees"/>
    <x v="1"/>
    <x v="2"/>
    <x v="32"/>
    <n v="41"/>
    <x v="1"/>
    <x v="2"/>
    <x v="0"/>
    <s v="No"/>
    <s v="Y"/>
    <n v="5"/>
    <n v="-2"/>
    <n v="0"/>
    <n v="30"/>
    <n v="0"/>
    <m/>
    <n v="0"/>
    <n v="1"/>
    <n v="125"/>
    <n v="9"/>
    <x v="0"/>
    <n v="1"/>
    <n v="4"/>
    <n v="83"/>
    <n v="2"/>
    <n v="1"/>
    <n v="3"/>
    <n v="2206"/>
    <n v="16117"/>
    <n v="1"/>
    <n v="13"/>
    <n v="3"/>
    <n v="1"/>
    <n v="80"/>
    <n v="0"/>
    <n v="10"/>
    <n v="3"/>
    <n v="10"/>
    <n v="0"/>
    <n v="1"/>
    <n v="8"/>
  </r>
  <r>
    <x v="0"/>
    <s v="Travel_Rarely"/>
    <x v="0"/>
    <s v="Ex-Employees"/>
    <x v="0"/>
    <x v="4"/>
    <x v="33"/>
    <n v="42"/>
    <x v="1"/>
    <x v="6"/>
    <x v="1"/>
    <s v="No"/>
    <s v="Y"/>
    <n v="6"/>
    <n v="-2"/>
    <n v="0"/>
    <n v="39"/>
    <n v="1"/>
    <n v="1"/>
    <n v="1"/>
    <n v="0"/>
    <n v="895"/>
    <n v="5"/>
    <x v="3"/>
    <n v="1"/>
    <n v="4"/>
    <n v="56"/>
    <n v="3"/>
    <n v="2"/>
    <n v="4"/>
    <n v="2086"/>
    <n v="3335"/>
    <n v="3"/>
    <n v="14"/>
    <n v="3"/>
    <n v="3"/>
    <n v="80"/>
    <n v="1"/>
    <n v="19"/>
    <n v="4"/>
    <n v="1"/>
    <n v="0"/>
    <n v="0"/>
    <n v="0"/>
  </r>
  <r>
    <x v="0"/>
    <s v="Travel_Rarely"/>
    <x v="4"/>
    <s v="Ex-Employees"/>
    <x v="1"/>
    <x v="2"/>
    <x v="34"/>
    <n v="45"/>
    <x v="1"/>
    <x v="1"/>
    <x v="1"/>
    <s v="Yes"/>
    <s v="Y"/>
    <n v="2"/>
    <n v="-2"/>
    <n v="0"/>
    <n v="24"/>
    <n v="1"/>
    <n v="1"/>
    <n v="1"/>
    <n v="0"/>
    <n v="813"/>
    <n v="1"/>
    <x v="3"/>
    <n v="1"/>
    <n v="2"/>
    <n v="61"/>
    <n v="3"/>
    <n v="1"/>
    <n v="4"/>
    <n v="2293"/>
    <n v="3020"/>
    <n v="2"/>
    <n v="16"/>
    <n v="3"/>
    <n v="1"/>
    <n v="80"/>
    <n v="1"/>
    <n v="6"/>
    <n v="2"/>
    <n v="2"/>
    <n v="0"/>
    <n v="2"/>
    <n v="0"/>
  </r>
  <r>
    <x v="1"/>
    <s v="Travel_Rarely"/>
    <x v="0"/>
    <s v="Current Employees"/>
    <x v="1"/>
    <x v="2"/>
    <x v="35"/>
    <n v="46"/>
    <x v="0"/>
    <x v="1"/>
    <x v="2"/>
    <s v="No"/>
    <s v="Y"/>
    <n v="3"/>
    <n v="-2"/>
    <n v="0"/>
    <n v="43"/>
    <n v="0"/>
    <m/>
    <n v="0"/>
    <n v="1"/>
    <n v="1273"/>
    <n v="2"/>
    <x v="0"/>
    <n v="1"/>
    <n v="4"/>
    <n v="72"/>
    <n v="4"/>
    <n v="1"/>
    <n v="3"/>
    <n v="2645"/>
    <n v="21923"/>
    <n v="1"/>
    <n v="12"/>
    <n v="3"/>
    <n v="4"/>
    <n v="80"/>
    <n v="2"/>
    <n v="6"/>
    <n v="2"/>
    <n v="5"/>
    <n v="3"/>
    <n v="1"/>
    <n v="4"/>
  </r>
  <r>
    <x v="0"/>
    <s v="Travel_Rarely"/>
    <x v="1"/>
    <s v="Ex-Employees"/>
    <x v="0"/>
    <x v="3"/>
    <x v="36"/>
    <n v="47"/>
    <x v="1"/>
    <x v="6"/>
    <x v="1"/>
    <s v="Yes"/>
    <s v="Y"/>
    <n v="2"/>
    <n v="-2"/>
    <n v="0"/>
    <n v="50"/>
    <n v="1"/>
    <n v="1"/>
    <n v="1"/>
    <n v="0"/>
    <n v="869"/>
    <n v="3"/>
    <x v="0"/>
    <n v="1"/>
    <n v="1"/>
    <n v="86"/>
    <n v="2"/>
    <n v="1"/>
    <n v="3"/>
    <n v="2683"/>
    <n v="3810"/>
    <n v="1"/>
    <n v="14"/>
    <n v="3"/>
    <n v="3"/>
    <n v="80"/>
    <n v="0"/>
    <n v="3"/>
    <n v="3"/>
    <n v="3"/>
    <n v="2"/>
    <n v="0"/>
    <n v="2"/>
  </r>
  <r>
    <x v="1"/>
    <s v="Travel_Rarely"/>
    <x v="0"/>
    <s v="Current Employees"/>
    <x v="0"/>
    <x v="3"/>
    <x v="37"/>
    <n v="49"/>
    <x v="0"/>
    <x v="6"/>
    <x v="1"/>
    <s v="No"/>
    <s v="Y"/>
    <n v="3"/>
    <n v="-2"/>
    <n v="0"/>
    <n v="35"/>
    <n v="0"/>
    <m/>
    <n v="0"/>
    <n v="1"/>
    <n v="890"/>
    <n v="2"/>
    <x v="3"/>
    <n v="1"/>
    <n v="4"/>
    <n v="97"/>
    <n v="3"/>
    <n v="1"/>
    <n v="4"/>
    <n v="2014"/>
    <n v="9687"/>
    <n v="1"/>
    <n v="13"/>
    <n v="3"/>
    <n v="1"/>
    <n v="80"/>
    <n v="0"/>
    <n v="2"/>
    <n v="3"/>
    <n v="2"/>
    <n v="2"/>
    <n v="2"/>
    <n v="2"/>
  </r>
  <r>
    <x v="1"/>
    <s v="Travel_Rarely"/>
    <x v="0"/>
    <s v="Current Employees"/>
    <x v="1"/>
    <x v="0"/>
    <x v="38"/>
    <n v="51"/>
    <x v="0"/>
    <x v="1"/>
    <x v="1"/>
    <s v="Yes"/>
    <s v="Y"/>
    <n v="3"/>
    <n v="-2"/>
    <n v="0"/>
    <n v="36"/>
    <n v="0"/>
    <m/>
    <n v="0"/>
    <n v="1"/>
    <n v="852"/>
    <n v="5"/>
    <x v="2"/>
    <n v="1"/>
    <n v="2"/>
    <n v="82"/>
    <n v="2"/>
    <n v="1"/>
    <n v="2"/>
    <n v="3419"/>
    <n v="13072"/>
    <n v="9"/>
    <n v="14"/>
    <n v="3"/>
    <n v="4"/>
    <n v="80"/>
    <n v="1"/>
    <n v="6"/>
    <n v="4"/>
    <n v="1"/>
    <n v="1"/>
    <n v="0"/>
    <n v="0"/>
  </r>
  <r>
    <x v="1"/>
    <s v="Travel_Frequently"/>
    <x v="2"/>
    <s v="Current Employees"/>
    <x v="0"/>
    <x v="0"/>
    <x v="39"/>
    <n v="52"/>
    <x v="0"/>
    <x v="0"/>
    <x v="1"/>
    <s v="No"/>
    <s v="Y"/>
    <n v="3"/>
    <n v="-2"/>
    <n v="0"/>
    <n v="33"/>
    <n v="0"/>
    <m/>
    <n v="0"/>
    <n v="1"/>
    <n v="1141"/>
    <n v="1"/>
    <x v="3"/>
    <n v="1"/>
    <n v="3"/>
    <n v="42"/>
    <n v="4"/>
    <n v="2"/>
    <n v="2"/>
    <n v="5376"/>
    <n v="3193"/>
    <n v="2"/>
    <n v="19"/>
    <n v="3"/>
    <n v="1"/>
    <n v="80"/>
    <n v="2"/>
    <n v="10"/>
    <n v="3"/>
    <n v="5"/>
    <n v="3"/>
    <n v="1"/>
    <n v="3"/>
  </r>
  <r>
    <x v="1"/>
    <s v="Travel_Rarely"/>
    <x v="0"/>
    <s v="Current Employees"/>
    <x v="1"/>
    <x v="1"/>
    <x v="40"/>
    <n v="53"/>
    <x v="1"/>
    <x v="2"/>
    <x v="2"/>
    <s v="No"/>
    <s v="Y"/>
    <n v="3"/>
    <n v="-2"/>
    <n v="0"/>
    <n v="35"/>
    <n v="0"/>
    <m/>
    <n v="0"/>
    <n v="1"/>
    <n v="464"/>
    <n v="4"/>
    <x v="0"/>
    <n v="1"/>
    <n v="3"/>
    <n v="75"/>
    <n v="3"/>
    <n v="1"/>
    <n v="4"/>
    <n v="1951"/>
    <n v="10910"/>
    <n v="1"/>
    <n v="12"/>
    <n v="3"/>
    <n v="3"/>
    <n v="80"/>
    <n v="1"/>
    <n v="1"/>
    <n v="3"/>
    <n v="1"/>
    <n v="0"/>
    <n v="0"/>
    <n v="0"/>
  </r>
  <r>
    <x v="1"/>
    <s v="Travel_Rarely"/>
    <x v="2"/>
    <s v="Current Employees"/>
    <x v="1"/>
    <x v="0"/>
    <x v="41"/>
    <n v="54"/>
    <x v="0"/>
    <x v="2"/>
    <x v="2"/>
    <s v="No"/>
    <s v="Y"/>
    <n v="6"/>
    <n v="-2"/>
    <n v="0"/>
    <n v="27"/>
    <n v="0"/>
    <m/>
    <n v="0"/>
    <n v="1"/>
    <n v="1240"/>
    <n v="2"/>
    <x v="2"/>
    <n v="1"/>
    <n v="4"/>
    <n v="33"/>
    <n v="3"/>
    <n v="1"/>
    <n v="2"/>
    <n v="2341"/>
    <n v="19715"/>
    <n v="1"/>
    <n v="13"/>
    <n v="3"/>
    <n v="4"/>
    <n v="80"/>
    <n v="1"/>
    <n v="1"/>
    <n v="3"/>
    <n v="1"/>
    <n v="0"/>
    <n v="0"/>
    <n v="0"/>
  </r>
  <r>
    <x v="0"/>
    <s v="Travel_Rarely"/>
    <x v="2"/>
    <s v="Ex-Employees"/>
    <x v="1"/>
    <x v="0"/>
    <x v="42"/>
    <n v="55"/>
    <x v="1"/>
    <x v="2"/>
    <x v="0"/>
    <s v="No"/>
    <s v="Y"/>
    <n v="2"/>
    <n v="-2"/>
    <n v="0"/>
    <n v="26"/>
    <n v="1"/>
    <n v="1"/>
    <n v="1"/>
    <n v="0"/>
    <n v="1357"/>
    <n v="25"/>
    <x v="3"/>
    <n v="1"/>
    <n v="1"/>
    <n v="48"/>
    <n v="1"/>
    <n v="1"/>
    <n v="2"/>
    <n v="2293"/>
    <n v="10558"/>
    <n v="1"/>
    <n v="12"/>
    <n v="3"/>
    <n v="3"/>
    <n v="80"/>
    <n v="0"/>
    <n v="1"/>
    <n v="2"/>
    <n v="1"/>
    <n v="0"/>
    <n v="0"/>
    <n v="1"/>
  </r>
  <r>
    <x v="1"/>
    <s v="Travel_Frequently"/>
    <x v="2"/>
    <s v="Current Employees"/>
    <x v="0"/>
    <x v="0"/>
    <x v="43"/>
    <n v="56"/>
    <x v="1"/>
    <x v="0"/>
    <x v="0"/>
    <s v="No"/>
    <s v="Y"/>
    <n v="0"/>
    <n v="-2"/>
    <n v="0"/>
    <n v="27"/>
    <n v="0"/>
    <m/>
    <n v="0"/>
    <n v="1"/>
    <n v="994"/>
    <n v="8"/>
    <x v="3"/>
    <n v="1"/>
    <n v="4"/>
    <n v="37"/>
    <n v="3"/>
    <n v="3"/>
    <n v="2"/>
    <n v="8726"/>
    <n v="2975"/>
    <n v="1"/>
    <n v="15"/>
    <n v="3"/>
    <n v="4"/>
    <n v="80"/>
    <n v="0"/>
    <n v="9"/>
    <n v="3"/>
    <n v="9"/>
    <n v="8"/>
    <n v="1"/>
    <n v="7"/>
  </r>
  <r>
    <x v="1"/>
    <s v="Travel_Frequently"/>
    <x v="2"/>
    <s v="Current Employees"/>
    <x v="1"/>
    <x v="2"/>
    <x v="44"/>
    <n v="57"/>
    <x v="0"/>
    <x v="2"/>
    <x v="0"/>
    <s v="No"/>
    <s v="Y"/>
    <n v="2"/>
    <n v="-2"/>
    <n v="0"/>
    <n v="30"/>
    <n v="0"/>
    <m/>
    <n v="0"/>
    <n v="1"/>
    <n v="721"/>
    <n v="1"/>
    <x v="0"/>
    <n v="1"/>
    <n v="3"/>
    <n v="58"/>
    <n v="3"/>
    <n v="2"/>
    <n v="4"/>
    <n v="4011"/>
    <n v="10781"/>
    <n v="1"/>
    <n v="23"/>
    <n v="4"/>
    <n v="4"/>
    <n v="80"/>
    <n v="0"/>
    <n v="12"/>
    <n v="3"/>
    <n v="12"/>
    <n v="8"/>
    <n v="3"/>
    <n v="7"/>
  </r>
  <r>
    <x v="0"/>
    <s v="Travel_Rarely"/>
    <x v="0"/>
    <s v="Ex-Employees"/>
    <x v="1"/>
    <x v="4"/>
    <x v="45"/>
    <n v="58"/>
    <x v="0"/>
    <x v="7"/>
    <x v="1"/>
    <s v="No"/>
    <s v="Y"/>
    <n v="0"/>
    <n v="-2"/>
    <n v="0"/>
    <n v="41"/>
    <n v="1"/>
    <n v="1"/>
    <n v="1"/>
    <n v="0"/>
    <n v="1360"/>
    <n v="12"/>
    <x v="3"/>
    <n v="1"/>
    <n v="2"/>
    <n v="49"/>
    <n v="3"/>
    <n v="5"/>
    <n v="3"/>
    <n v="19545"/>
    <n v="16280"/>
    <n v="1"/>
    <n v="12"/>
    <n v="3"/>
    <n v="4"/>
    <n v="80"/>
    <n v="0"/>
    <n v="23"/>
    <n v="3"/>
    <n v="22"/>
    <n v="15"/>
    <n v="15"/>
    <n v="8"/>
  </r>
  <r>
    <x v="1"/>
    <s v="Non-Travel"/>
    <x v="2"/>
    <s v="Current Employees"/>
    <x v="0"/>
    <x v="3"/>
    <x v="46"/>
    <n v="60"/>
    <x v="1"/>
    <x v="0"/>
    <x v="0"/>
    <s v="No"/>
    <s v="Y"/>
    <n v="2"/>
    <n v="-2"/>
    <n v="0"/>
    <n v="34"/>
    <n v="0"/>
    <m/>
    <n v="0"/>
    <n v="1"/>
    <n v="1065"/>
    <n v="23"/>
    <x v="2"/>
    <n v="1"/>
    <n v="2"/>
    <n v="72"/>
    <n v="3"/>
    <n v="2"/>
    <n v="3"/>
    <n v="4568"/>
    <n v="10034"/>
    <n v="0"/>
    <n v="20"/>
    <n v="4"/>
    <n v="3"/>
    <n v="80"/>
    <n v="0"/>
    <n v="10"/>
    <n v="3"/>
    <n v="9"/>
    <n v="5"/>
    <n v="8"/>
    <n v="7"/>
  </r>
  <r>
    <x v="1"/>
    <s v="Travel_Rarely"/>
    <x v="0"/>
    <s v="Current Employees"/>
    <x v="1"/>
    <x v="0"/>
    <x v="47"/>
    <n v="61"/>
    <x v="1"/>
    <x v="1"/>
    <x v="1"/>
    <s v="No"/>
    <s v="Y"/>
    <n v="1"/>
    <n v="-2"/>
    <n v="0"/>
    <n v="37"/>
    <n v="0"/>
    <m/>
    <n v="0"/>
    <n v="1"/>
    <n v="408"/>
    <n v="19"/>
    <x v="0"/>
    <n v="1"/>
    <n v="2"/>
    <n v="73"/>
    <n v="3"/>
    <n v="1"/>
    <n v="2"/>
    <n v="3022"/>
    <n v="10227"/>
    <n v="4"/>
    <n v="21"/>
    <n v="4"/>
    <n v="1"/>
    <n v="80"/>
    <n v="0"/>
    <n v="8"/>
    <n v="3"/>
    <n v="1"/>
    <n v="0"/>
    <n v="0"/>
    <n v="0"/>
  </r>
  <r>
    <x v="1"/>
    <s v="Travel_Frequently"/>
    <x v="1"/>
    <s v="Current Employees"/>
    <x v="0"/>
    <x v="3"/>
    <x v="48"/>
    <n v="62"/>
    <x v="1"/>
    <x v="0"/>
    <x v="0"/>
    <s v="Yes"/>
    <s v="Y"/>
    <n v="4"/>
    <n v="-2"/>
    <n v="0"/>
    <n v="46"/>
    <n v="0"/>
    <m/>
    <n v="0"/>
    <n v="1"/>
    <n v="1211"/>
    <n v="5"/>
    <x v="2"/>
    <n v="1"/>
    <n v="1"/>
    <n v="98"/>
    <n v="3"/>
    <n v="2"/>
    <n v="4"/>
    <n v="5772"/>
    <n v="20445"/>
    <n v="4"/>
    <n v="21"/>
    <n v="4"/>
    <n v="3"/>
    <n v="80"/>
    <n v="0"/>
    <n v="14"/>
    <n v="3"/>
    <n v="9"/>
    <n v="6"/>
    <n v="0"/>
    <n v="8"/>
  </r>
  <r>
    <x v="1"/>
    <s v="Travel_Rarely"/>
    <x v="0"/>
    <s v="Current Employees"/>
    <x v="1"/>
    <x v="0"/>
    <x v="49"/>
    <n v="63"/>
    <x v="1"/>
    <x v="2"/>
    <x v="1"/>
    <s v="No"/>
    <s v="Y"/>
    <n v="2"/>
    <n v="-2"/>
    <n v="0"/>
    <n v="35"/>
    <n v="0"/>
    <m/>
    <n v="0"/>
    <n v="1"/>
    <n v="1229"/>
    <n v="8"/>
    <x v="1"/>
    <n v="1"/>
    <n v="4"/>
    <n v="36"/>
    <n v="4"/>
    <n v="1"/>
    <n v="2"/>
    <n v="2269"/>
    <n v="4892"/>
    <n v="1"/>
    <n v="19"/>
    <n v="3"/>
    <n v="4"/>
    <n v="80"/>
    <n v="0"/>
    <n v="1"/>
    <n v="3"/>
    <n v="1"/>
    <n v="0"/>
    <n v="0"/>
    <n v="1"/>
  </r>
  <r>
    <x v="0"/>
    <s v="Travel_Rarely"/>
    <x v="1"/>
    <s v="Ex-Employees"/>
    <x v="1"/>
    <x v="0"/>
    <x v="50"/>
    <n v="64"/>
    <x v="1"/>
    <x v="2"/>
    <x v="0"/>
    <s v="Yes"/>
    <s v="Y"/>
    <n v="2"/>
    <n v="-2"/>
    <n v="0"/>
    <n v="48"/>
    <n v="1"/>
    <n v="1"/>
    <n v="1"/>
    <n v="0"/>
    <n v="626"/>
    <n v="1"/>
    <x v="0"/>
    <n v="1"/>
    <n v="1"/>
    <n v="98"/>
    <n v="2"/>
    <n v="3"/>
    <n v="2"/>
    <n v="5381"/>
    <n v="19294"/>
    <n v="9"/>
    <n v="13"/>
    <n v="3"/>
    <n v="4"/>
    <n v="80"/>
    <n v="0"/>
    <n v="23"/>
    <n v="3"/>
    <n v="1"/>
    <n v="0"/>
    <n v="0"/>
    <n v="0"/>
  </r>
  <r>
    <x v="0"/>
    <s v="Travel_Rarely"/>
    <x v="2"/>
    <s v="Ex-Employees"/>
    <x v="1"/>
    <x v="4"/>
    <x v="51"/>
    <n v="65"/>
    <x v="1"/>
    <x v="2"/>
    <x v="0"/>
    <s v="Yes"/>
    <s v="Y"/>
    <n v="3"/>
    <n v="-2"/>
    <n v="0"/>
    <n v="28"/>
    <n v="1"/>
    <n v="1"/>
    <n v="1"/>
    <n v="0"/>
    <n v="1434"/>
    <n v="5"/>
    <x v="2"/>
    <n v="1"/>
    <n v="3"/>
    <n v="50"/>
    <n v="3"/>
    <n v="1"/>
    <n v="3"/>
    <n v="3441"/>
    <n v="11179"/>
    <n v="1"/>
    <n v="13"/>
    <n v="3"/>
    <n v="3"/>
    <n v="80"/>
    <n v="0"/>
    <n v="2"/>
    <n v="2"/>
    <n v="2"/>
    <n v="2"/>
    <n v="2"/>
    <n v="2"/>
  </r>
  <r>
    <x v="1"/>
    <s v="Travel_Rarely"/>
    <x v="0"/>
    <s v="Current Employees"/>
    <x v="0"/>
    <x v="3"/>
    <x v="52"/>
    <n v="68"/>
    <x v="0"/>
    <x v="0"/>
    <x v="2"/>
    <s v="Yes"/>
    <s v="Y"/>
    <n v="2"/>
    <n v="-2"/>
    <n v="0"/>
    <n v="44"/>
    <n v="0"/>
    <m/>
    <n v="0"/>
    <n v="1"/>
    <n v="1488"/>
    <n v="1"/>
    <x v="4"/>
    <n v="1"/>
    <n v="2"/>
    <n v="75"/>
    <n v="3"/>
    <n v="2"/>
    <n v="4"/>
    <n v="5454"/>
    <n v="4009"/>
    <n v="5"/>
    <n v="21"/>
    <n v="4"/>
    <n v="3"/>
    <n v="80"/>
    <n v="1"/>
    <n v="9"/>
    <n v="2"/>
    <n v="4"/>
    <n v="3"/>
    <n v="1"/>
    <n v="3"/>
  </r>
  <r>
    <x v="1"/>
    <s v="Non-Travel"/>
    <x v="0"/>
    <s v="Current Employees"/>
    <x v="1"/>
    <x v="2"/>
    <x v="53"/>
    <n v="70"/>
    <x v="1"/>
    <x v="4"/>
    <x v="1"/>
    <s v="Yes"/>
    <s v="Y"/>
    <n v="3"/>
    <n v="-2"/>
    <n v="0"/>
    <n v="35"/>
    <n v="0"/>
    <m/>
    <n v="0"/>
    <n v="1"/>
    <n v="1097"/>
    <n v="11"/>
    <x v="0"/>
    <n v="1"/>
    <n v="3"/>
    <n v="79"/>
    <n v="2"/>
    <n v="3"/>
    <n v="4"/>
    <n v="9884"/>
    <n v="8302"/>
    <n v="2"/>
    <n v="13"/>
    <n v="3"/>
    <n v="3"/>
    <n v="80"/>
    <n v="1"/>
    <n v="10"/>
    <n v="3"/>
    <n v="4"/>
    <n v="0"/>
    <n v="2"/>
    <n v="3"/>
  </r>
  <r>
    <x v="1"/>
    <s v="Travel_Rarely"/>
    <x v="2"/>
    <s v="Current Employees"/>
    <x v="0"/>
    <x v="3"/>
    <x v="54"/>
    <n v="72"/>
    <x v="0"/>
    <x v="0"/>
    <x v="1"/>
    <s v="Yes"/>
    <s v="Y"/>
    <n v="2"/>
    <n v="-2"/>
    <n v="0"/>
    <n v="26"/>
    <n v="0"/>
    <m/>
    <n v="0"/>
    <n v="1"/>
    <n v="1443"/>
    <n v="23"/>
    <x v="3"/>
    <n v="1"/>
    <n v="3"/>
    <n v="47"/>
    <n v="2"/>
    <n v="2"/>
    <n v="4"/>
    <n v="4157"/>
    <n v="21436"/>
    <n v="7"/>
    <n v="19"/>
    <n v="3"/>
    <n v="3"/>
    <n v="80"/>
    <n v="1"/>
    <n v="5"/>
    <n v="2"/>
    <n v="2"/>
    <n v="2"/>
    <n v="0"/>
    <n v="0"/>
  </r>
  <r>
    <x v="1"/>
    <s v="Travel_Frequently"/>
    <x v="2"/>
    <s v="Current Employees"/>
    <x v="1"/>
    <x v="0"/>
    <x v="55"/>
    <n v="73"/>
    <x v="0"/>
    <x v="7"/>
    <x v="0"/>
    <s v="Yes"/>
    <s v="Y"/>
    <n v="1"/>
    <n v="-2"/>
    <n v="0"/>
    <n v="33"/>
    <n v="0"/>
    <m/>
    <n v="0"/>
    <n v="1"/>
    <n v="515"/>
    <n v="1"/>
    <x v="0"/>
    <n v="1"/>
    <n v="1"/>
    <n v="98"/>
    <n v="3"/>
    <n v="3"/>
    <n v="2"/>
    <n v="13458"/>
    <n v="15146"/>
    <n v="1"/>
    <n v="12"/>
    <n v="3"/>
    <n v="3"/>
    <n v="80"/>
    <n v="0"/>
    <n v="15"/>
    <n v="3"/>
    <n v="15"/>
    <n v="14"/>
    <n v="8"/>
    <n v="12"/>
  </r>
  <r>
    <x v="1"/>
    <s v="Travel_Frequently"/>
    <x v="0"/>
    <s v="Current Employees"/>
    <x v="0"/>
    <x v="0"/>
    <x v="56"/>
    <n v="74"/>
    <x v="1"/>
    <x v="0"/>
    <x v="1"/>
    <s v="No"/>
    <s v="Y"/>
    <n v="3"/>
    <n v="-2"/>
    <n v="0"/>
    <n v="35"/>
    <n v="0"/>
    <m/>
    <n v="0"/>
    <n v="1"/>
    <n v="853"/>
    <n v="18"/>
    <x v="4"/>
    <n v="1"/>
    <n v="2"/>
    <n v="71"/>
    <n v="3"/>
    <n v="3"/>
    <n v="2"/>
    <n v="9069"/>
    <n v="11031"/>
    <n v="1"/>
    <n v="22"/>
    <n v="4"/>
    <n v="4"/>
    <n v="80"/>
    <n v="1"/>
    <n v="9"/>
    <n v="2"/>
    <n v="9"/>
    <n v="8"/>
    <n v="1"/>
    <n v="8"/>
  </r>
  <r>
    <x v="1"/>
    <s v="Travel_Rarely"/>
    <x v="0"/>
    <s v="Current Employees"/>
    <x v="1"/>
    <x v="2"/>
    <x v="57"/>
    <n v="75"/>
    <x v="0"/>
    <x v="2"/>
    <x v="1"/>
    <s v="Yes"/>
    <s v="Y"/>
    <n v="3"/>
    <n v="-2"/>
    <n v="0"/>
    <n v="35"/>
    <n v="0"/>
    <m/>
    <n v="0"/>
    <n v="1"/>
    <n v="1142"/>
    <n v="23"/>
    <x v="2"/>
    <n v="1"/>
    <n v="3"/>
    <n v="30"/>
    <n v="3"/>
    <n v="1"/>
    <n v="4"/>
    <n v="4014"/>
    <n v="16002"/>
    <n v="3"/>
    <n v="15"/>
    <n v="3"/>
    <n v="3"/>
    <n v="80"/>
    <n v="1"/>
    <n v="4"/>
    <n v="3"/>
    <n v="2"/>
    <n v="2"/>
    <n v="2"/>
    <n v="2"/>
  </r>
  <r>
    <x v="1"/>
    <s v="Travel_Rarely"/>
    <x v="2"/>
    <s v="Current Employees"/>
    <x v="1"/>
    <x v="0"/>
    <x v="58"/>
    <n v="76"/>
    <x v="1"/>
    <x v="2"/>
    <x v="2"/>
    <s v="No"/>
    <s v="Y"/>
    <n v="3"/>
    <n v="-2"/>
    <n v="0"/>
    <n v="31"/>
    <n v="0"/>
    <m/>
    <n v="0"/>
    <n v="1"/>
    <n v="655"/>
    <n v="7"/>
    <x v="2"/>
    <n v="1"/>
    <n v="4"/>
    <n v="48"/>
    <n v="3"/>
    <n v="2"/>
    <n v="2"/>
    <n v="5915"/>
    <n v="9528"/>
    <n v="3"/>
    <n v="22"/>
    <n v="4"/>
    <n v="4"/>
    <n v="80"/>
    <n v="1"/>
    <n v="10"/>
    <n v="2"/>
    <n v="7"/>
    <n v="7"/>
    <n v="1"/>
    <n v="7"/>
  </r>
  <r>
    <x v="1"/>
    <s v="Travel_Rarely"/>
    <x v="0"/>
    <s v="Current Employees"/>
    <x v="1"/>
    <x v="0"/>
    <x v="59"/>
    <n v="77"/>
    <x v="1"/>
    <x v="3"/>
    <x v="2"/>
    <s v="No"/>
    <s v="Y"/>
    <n v="2"/>
    <n v="-2"/>
    <n v="0"/>
    <n v="37"/>
    <n v="0"/>
    <m/>
    <n v="0"/>
    <n v="1"/>
    <n v="1115"/>
    <n v="1"/>
    <x v="2"/>
    <n v="1"/>
    <n v="1"/>
    <n v="51"/>
    <n v="2"/>
    <n v="2"/>
    <n v="2"/>
    <n v="5993"/>
    <n v="2689"/>
    <n v="1"/>
    <n v="18"/>
    <n v="3"/>
    <n v="3"/>
    <n v="80"/>
    <n v="1"/>
    <n v="7"/>
    <n v="4"/>
    <n v="7"/>
    <n v="5"/>
    <n v="0"/>
    <n v="7"/>
  </r>
  <r>
    <x v="1"/>
    <s v="Travel_Rarely"/>
    <x v="2"/>
    <s v="Current Employees"/>
    <x v="1"/>
    <x v="2"/>
    <x v="60"/>
    <n v="78"/>
    <x v="1"/>
    <x v="3"/>
    <x v="1"/>
    <s v="Yes"/>
    <s v="Y"/>
    <n v="3"/>
    <n v="-2"/>
    <n v="0"/>
    <n v="32"/>
    <n v="0"/>
    <m/>
    <n v="0"/>
    <n v="1"/>
    <n v="427"/>
    <n v="1"/>
    <x v="3"/>
    <n v="1"/>
    <n v="1"/>
    <n v="33"/>
    <n v="3"/>
    <n v="2"/>
    <n v="4"/>
    <n v="6162"/>
    <n v="10877"/>
    <n v="1"/>
    <n v="22"/>
    <n v="4"/>
    <n v="2"/>
    <n v="80"/>
    <n v="1"/>
    <n v="9"/>
    <n v="3"/>
    <n v="9"/>
    <n v="8"/>
    <n v="7"/>
    <n v="8"/>
  </r>
  <r>
    <x v="1"/>
    <s v="Travel_Frequently"/>
    <x v="0"/>
    <s v="Current Employees"/>
    <x v="1"/>
    <x v="0"/>
    <x v="61"/>
    <n v="79"/>
    <x v="0"/>
    <x v="2"/>
    <x v="0"/>
    <s v="No"/>
    <s v="Y"/>
    <n v="2"/>
    <n v="-2"/>
    <n v="0"/>
    <n v="38"/>
    <n v="0"/>
    <m/>
    <n v="0"/>
    <n v="1"/>
    <n v="653"/>
    <n v="29"/>
    <x v="4"/>
    <n v="1"/>
    <n v="4"/>
    <n v="50"/>
    <n v="3"/>
    <n v="2"/>
    <n v="2"/>
    <n v="2406"/>
    <n v="5456"/>
    <n v="1"/>
    <n v="11"/>
    <n v="3"/>
    <n v="4"/>
    <n v="80"/>
    <n v="0"/>
    <n v="10"/>
    <n v="3"/>
    <n v="10"/>
    <n v="3"/>
    <n v="9"/>
    <n v="9"/>
  </r>
  <r>
    <x v="1"/>
    <s v="Travel_Rarely"/>
    <x v="1"/>
    <s v="Current Employees"/>
    <x v="1"/>
    <x v="2"/>
    <x v="62"/>
    <n v="80"/>
    <x v="0"/>
    <x v="7"/>
    <x v="2"/>
    <s v="Yes"/>
    <s v="Y"/>
    <n v="2"/>
    <n v="-2"/>
    <n v="0"/>
    <n v="50"/>
    <n v="0"/>
    <m/>
    <n v="0"/>
    <n v="1"/>
    <n v="989"/>
    <n v="7"/>
    <x v="0"/>
    <n v="1"/>
    <n v="2"/>
    <n v="43"/>
    <n v="2"/>
    <n v="5"/>
    <n v="3"/>
    <n v="18740"/>
    <n v="16701"/>
    <n v="5"/>
    <n v="12"/>
    <n v="3"/>
    <n v="4"/>
    <n v="80"/>
    <n v="1"/>
    <n v="29"/>
    <n v="2"/>
    <n v="27"/>
    <n v="3"/>
    <n v="13"/>
    <n v="8"/>
  </r>
  <r>
    <x v="1"/>
    <s v="Travel_Rarely"/>
    <x v="3"/>
    <s v="Current Employees"/>
    <x v="0"/>
    <x v="0"/>
    <x v="63"/>
    <n v="81"/>
    <x v="0"/>
    <x v="0"/>
    <x v="0"/>
    <s v="No"/>
    <s v="Y"/>
    <n v="3"/>
    <n v="-2"/>
    <n v="0"/>
    <n v="59"/>
    <n v="0"/>
    <m/>
    <n v="0"/>
    <n v="1"/>
    <n v="1435"/>
    <n v="25"/>
    <x v="3"/>
    <n v="1"/>
    <n v="1"/>
    <n v="99"/>
    <n v="3"/>
    <n v="3"/>
    <n v="2"/>
    <n v="7637"/>
    <n v="2354"/>
    <n v="7"/>
    <n v="11"/>
    <n v="3"/>
    <n v="4"/>
    <n v="80"/>
    <n v="0"/>
    <n v="28"/>
    <n v="2"/>
    <n v="21"/>
    <n v="16"/>
    <n v="7"/>
    <n v="9"/>
  </r>
  <r>
    <x v="1"/>
    <s v="Travel_Rarely"/>
    <x v="0"/>
    <s v="Current Employees"/>
    <x v="1"/>
    <x v="4"/>
    <x v="64"/>
    <n v="83"/>
    <x v="0"/>
    <x v="4"/>
    <x v="2"/>
    <s v="No"/>
    <s v="Y"/>
    <n v="2"/>
    <n v="-2"/>
    <n v="0"/>
    <n v="36"/>
    <n v="0"/>
    <m/>
    <n v="0"/>
    <n v="1"/>
    <n v="1223"/>
    <n v="8"/>
    <x v="3"/>
    <n v="1"/>
    <n v="3"/>
    <n v="59"/>
    <n v="3"/>
    <n v="3"/>
    <n v="3"/>
    <n v="10096"/>
    <n v="8202"/>
    <n v="1"/>
    <n v="13"/>
    <n v="3"/>
    <n v="2"/>
    <n v="80"/>
    <n v="3"/>
    <n v="17"/>
    <n v="3"/>
    <n v="17"/>
    <n v="14"/>
    <n v="12"/>
    <n v="8"/>
  </r>
  <r>
    <x v="1"/>
    <s v="Travel_Rarely"/>
    <x v="3"/>
    <s v="Current Employees"/>
    <x v="1"/>
    <x v="2"/>
    <x v="65"/>
    <n v="84"/>
    <x v="0"/>
    <x v="5"/>
    <x v="2"/>
    <s v="Yes"/>
    <s v="Y"/>
    <n v="2"/>
    <n v="-2"/>
    <n v="0"/>
    <n v="55"/>
    <n v="0"/>
    <m/>
    <n v="0"/>
    <n v="1"/>
    <n v="836"/>
    <n v="8"/>
    <x v="3"/>
    <n v="1"/>
    <n v="4"/>
    <n v="33"/>
    <n v="3"/>
    <n v="4"/>
    <n v="3"/>
    <n v="14756"/>
    <n v="19730"/>
    <n v="2"/>
    <n v="14"/>
    <n v="3"/>
    <n v="3"/>
    <n v="80"/>
    <n v="3"/>
    <n v="21"/>
    <n v="3"/>
    <n v="5"/>
    <n v="0"/>
    <n v="0"/>
    <n v="2"/>
  </r>
  <r>
    <x v="1"/>
    <s v="Travel_Frequently"/>
    <x v="0"/>
    <s v="Current Employees"/>
    <x v="1"/>
    <x v="0"/>
    <x v="66"/>
    <n v="85"/>
    <x v="1"/>
    <x v="3"/>
    <x v="0"/>
    <s v="No"/>
    <s v="Y"/>
    <n v="3"/>
    <n v="-2"/>
    <n v="0"/>
    <n v="36"/>
    <n v="0"/>
    <m/>
    <n v="0"/>
    <n v="1"/>
    <n v="1195"/>
    <n v="11"/>
    <x v="3"/>
    <n v="1"/>
    <n v="2"/>
    <n v="95"/>
    <n v="2"/>
    <n v="2"/>
    <n v="2"/>
    <n v="6499"/>
    <n v="22656"/>
    <n v="1"/>
    <n v="13"/>
    <n v="3"/>
    <n v="3"/>
    <n v="80"/>
    <n v="0"/>
    <n v="6"/>
    <n v="3"/>
    <n v="6"/>
    <n v="5"/>
    <n v="0"/>
    <n v="3"/>
  </r>
  <r>
    <x v="1"/>
    <s v="Travel_Rarely"/>
    <x v="1"/>
    <s v="Current Employees"/>
    <x v="1"/>
    <x v="0"/>
    <x v="67"/>
    <n v="86"/>
    <x v="1"/>
    <x v="1"/>
    <x v="2"/>
    <s v="No"/>
    <s v="Y"/>
    <n v="2"/>
    <n v="-2"/>
    <n v="0"/>
    <n v="45"/>
    <n v="0"/>
    <m/>
    <n v="0"/>
    <n v="1"/>
    <n v="1339"/>
    <n v="7"/>
    <x v="3"/>
    <n v="1"/>
    <n v="2"/>
    <n v="59"/>
    <n v="3"/>
    <n v="3"/>
    <n v="2"/>
    <n v="9724"/>
    <n v="18787"/>
    <n v="2"/>
    <n v="17"/>
    <n v="3"/>
    <n v="3"/>
    <n v="80"/>
    <n v="1"/>
    <n v="25"/>
    <n v="3"/>
    <n v="1"/>
    <n v="0"/>
    <n v="0"/>
    <n v="0"/>
  </r>
  <r>
    <x v="1"/>
    <s v="Travel_Frequently"/>
    <x v="0"/>
    <s v="Current Employees"/>
    <x v="1"/>
    <x v="2"/>
    <x v="68"/>
    <n v="88"/>
    <x v="1"/>
    <x v="1"/>
    <x v="1"/>
    <s v="No"/>
    <s v="Y"/>
    <n v="2"/>
    <n v="-2"/>
    <n v="0"/>
    <n v="35"/>
    <n v="0"/>
    <m/>
    <n v="0"/>
    <n v="1"/>
    <n v="664"/>
    <n v="1"/>
    <x v="3"/>
    <n v="1"/>
    <n v="2"/>
    <n v="79"/>
    <n v="3"/>
    <n v="1"/>
    <n v="4"/>
    <n v="2194"/>
    <n v="5868"/>
    <n v="4"/>
    <n v="13"/>
    <n v="3"/>
    <n v="4"/>
    <n v="80"/>
    <n v="1"/>
    <n v="5"/>
    <n v="2"/>
    <n v="3"/>
    <n v="2"/>
    <n v="1"/>
    <n v="2"/>
  </r>
  <r>
    <x v="0"/>
    <s v="Travel_Rarely"/>
    <x v="0"/>
    <s v="Ex-Employees"/>
    <x v="1"/>
    <x v="2"/>
    <x v="69"/>
    <n v="90"/>
    <x v="1"/>
    <x v="1"/>
    <x v="1"/>
    <s v="Yes"/>
    <s v="Y"/>
    <n v="0"/>
    <n v="-2"/>
    <n v="0"/>
    <n v="36"/>
    <n v="1"/>
    <n v="1"/>
    <n v="1"/>
    <n v="0"/>
    <n v="318"/>
    <n v="9"/>
    <x v="3"/>
    <n v="1"/>
    <n v="4"/>
    <n v="79"/>
    <n v="2"/>
    <n v="1"/>
    <n v="3"/>
    <n v="3388"/>
    <n v="21777"/>
    <n v="0"/>
    <n v="17"/>
    <n v="3"/>
    <n v="1"/>
    <n v="80"/>
    <n v="1"/>
    <n v="2"/>
    <n v="2"/>
    <n v="1"/>
    <n v="0"/>
    <n v="0"/>
    <n v="0"/>
  </r>
  <r>
    <x v="1"/>
    <s v="Travel_Frequently"/>
    <x v="3"/>
    <s v="Current Employees"/>
    <x v="0"/>
    <x v="0"/>
    <x v="70"/>
    <n v="91"/>
    <x v="0"/>
    <x v="0"/>
    <x v="0"/>
    <s v="No"/>
    <s v="Y"/>
    <n v="2"/>
    <n v="-2"/>
    <n v="0"/>
    <n v="59"/>
    <n v="0"/>
    <m/>
    <n v="0"/>
    <n v="1"/>
    <n v="1225"/>
    <n v="1"/>
    <x v="1"/>
    <n v="1"/>
    <n v="1"/>
    <n v="57"/>
    <n v="2"/>
    <n v="2"/>
    <n v="2"/>
    <n v="5473"/>
    <n v="24668"/>
    <n v="7"/>
    <n v="11"/>
    <n v="3"/>
    <n v="4"/>
    <n v="80"/>
    <n v="0"/>
    <n v="20"/>
    <n v="2"/>
    <n v="4"/>
    <n v="3"/>
    <n v="1"/>
    <n v="3"/>
  </r>
  <r>
    <x v="1"/>
    <s v="Travel_Rarely"/>
    <x v="2"/>
    <s v="Current Employees"/>
    <x v="1"/>
    <x v="0"/>
    <x v="71"/>
    <n v="94"/>
    <x v="1"/>
    <x v="1"/>
    <x v="1"/>
    <s v="No"/>
    <s v="Y"/>
    <n v="3"/>
    <n v="-2"/>
    <n v="0"/>
    <n v="29"/>
    <n v="0"/>
    <m/>
    <n v="0"/>
    <n v="1"/>
    <n v="1328"/>
    <n v="2"/>
    <x v="3"/>
    <n v="1"/>
    <n v="3"/>
    <n v="76"/>
    <n v="3"/>
    <n v="1"/>
    <n v="2"/>
    <n v="2703"/>
    <n v="4956"/>
    <n v="0"/>
    <n v="23"/>
    <n v="4"/>
    <n v="4"/>
    <n v="80"/>
    <n v="1"/>
    <n v="6"/>
    <n v="3"/>
    <n v="5"/>
    <n v="4"/>
    <n v="0"/>
    <n v="4"/>
  </r>
  <r>
    <x v="1"/>
    <s v="Travel_Rarely"/>
    <x v="2"/>
    <s v="Current Employees"/>
    <x v="1"/>
    <x v="2"/>
    <x v="72"/>
    <n v="95"/>
    <x v="1"/>
    <x v="1"/>
    <x v="0"/>
    <s v="No"/>
    <s v="Y"/>
    <n v="4"/>
    <n v="-2"/>
    <n v="0"/>
    <n v="31"/>
    <n v="0"/>
    <m/>
    <n v="0"/>
    <n v="1"/>
    <n v="1082"/>
    <n v="1"/>
    <x v="2"/>
    <n v="1"/>
    <n v="3"/>
    <n v="87"/>
    <n v="3"/>
    <n v="1"/>
    <n v="3"/>
    <n v="2501"/>
    <n v="18775"/>
    <n v="1"/>
    <n v="17"/>
    <n v="3"/>
    <n v="2"/>
    <n v="80"/>
    <n v="0"/>
    <n v="1"/>
    <n v="3"/>
    <n v="1"/>
    <n v="1"/>
    <n v="1"/>
    <n v="0"/>
  </r>
  <r>
    <x v="1"/>
    <s v="Travel_Rarely"/>
    <x v="2"/>
    <s v="Current Employees"/>
    <x v="1"/>
    <x v="0"/>
    <x v="73"/>
    <n v="96"/>
    <x v="1"/>
    <x v="1"/>
    <x v="1"/>
    <s v="No"/>
    <s v="Y"/>
    <n v="3"/>
    <n v="-2"/>
    <n v="0"/>
    <n v="32"/>
    <n v="0"/>
    <m/>
    <n v="0"/>
    <n v="1"/>
    <n v="548"/>
    <n v="1"/>
    <x v="3"/>
    <n v="1"/>
    <n v="2"/>
    <n v="66"/>
    <n v="3"/>
    <n v="2"/>
    <n v="2"/>
    <n v="6220"/>
    <n v="7346"/>
    <n v="1"/>
    <n v="17"/>
    <n v="3"/>
    <n v="2"/>
    <n v="80"/>
    <n v="2"/>
    <n v="10"/>
    <n v="3"/>
    <n v="10"/>
    <n v="4"/>
    <n v="0"/>
    <n v="9"/>
  </r>
  <r>
    <x v="1"/>
    <s v="Travel_Rarely"/>
    <x v="0"/>
    <s v="Current Employees"/>
    <x v="1"/>
    <x v="0"/>
    <x v="74"/>
    <n v="97"/>
    <x v="0"/>
    <x v="2"/>
    <x v="1"/>
    <s v="No"/>
    <s v="Y"/>
    <n v="3"/>
    <n v="-2"/>
    <n v="0"/>
    <n v="36"/>
    <n v="0"/>
    <m/>
    <n v="0"/>
    <n v="1"/>
    <n v="132"/>
    <n v="6"/>
    <x v="3"/>
    <n v="1"/>
    <n v="2"/>
    <n v="55"/>
    <n v="4"/>
    <n v="1"/>
    <n v="2"/>
    <n v="3038"/>
    <n v="22002"/>
    <n v="3"/>
    <n v="12"/>
    <n v="3"/>
    <n v="2"/>
    <n v="80"/>
    <n v="0"/>
    <n v="5"/>
    <n v="3"/>
    <n v="1"/>
    <n v="0"/>
    <n v="0"/>
    <n v="0"/>
  </r>
  <r>
    <x v="1"/>
    <s v="Travel_Rarely"/>
    <x v="2"/>
    <s v="Current Employees"/>
    <x v="1"/>
    <x v="0"/>
    <x v="75"/>
    <n v="98"/>
    <x v="0"/>
    <x v="3"/>
    <x v="0"/>
    <s v="No"/>
    <s v="Y"/>
    <n v="2"/>
    <n v="-2"/>
    <n v="0"/>
    <n v="31"/>
    <n v="0"/>
    <m/>
    <n v="0"/>
    <n v="1"/>
    <n v="746"/>
    <n v="8"/>
    <x v="2"/>
    <n v="1"/>
    <n v="3"/>
    <n v="61"/>
    <n v="3"/>
    <n v="2"/>
    <n v="2"/>
    <n v="4424"/>
    <n v="20682"/>
    <n v="1"/>
    <n v="23"/>
    <n v="4"/>
    <n v="4"/>
    <n v="80"/>
    <n v="0"/>
    <n v="11"/>
    <n v="3"/>
    <n v="11"/>
    <n v="7"/>
    <n v="1"/>
    <n v="8"/>
  </r>
  <r>
    <x v="1"/>
    <s v="Travel_Rarely"/>
    <x v="0"/>
    <s v="Current Employees"/>
    <x v="0"/>
    <x v="3"/>
    <x v="76"/>
    <n v="100"/>
    <x v="1"/>
    <x v="0"/>
    <x v="0"/>
    <s v="No"/>
    <s v="Y"/>
    <n v="2"/>
    <n v="-2"/>
    <n v="0"/>
    <n v="35"/>
    <n v="0"/>
    <m/>
    <n v="0"/>
    <n v="1"/>
    <n v="776"/>
    <n v="1"/>
    <x v="2"/>
    <n v="1"/>
    <n v="3"/>
    <n v="32"/>
    <n v="2"/>
    <n v="2"/>
    <n v="4"/>
    <n v="4312"/>
    <n v="23016"/>
    <n v="0"/>
    <n v="14"/>
    <n v="3"/>
    <n v="2"/>
    <n v="80"/>
    <n v="0"/>
    <n v="16"/>
    <n v="3"/>
    <n v="15"/>
    <n v="13"/>
    <n v="2"/>
    <n v="8"/>
  </r>
  <r>
    <x v="1"/>
    <s v="Travel_Rarely"/>
    <x v="1"/>
    <s v="Current Employees"/>
    <x v="1"/>
    <x v="1"/>
    <x v="77"/>
    <n v="101"/>
    <x v="1"/>
    <x v="7"/>
    <x v="1"/>
    <s v="Yes"/>
    <s v="Y"/>
    <n v="3"/>
    <n v="-2"/>
    <n v="0"/>
    <n v="45"/>
    <n v="0"/>
    <m/>
    <n v="0"/>
    <n v="1"/>
    <n v="193"/>
    <n v="6"/>
    <x v="2"/>
    <n v="1"/>
    <n v="4"/>
    <n v="52"/>
    <n v="3"/>
    <n v="3"/>
    <n v="4"/>
    <n v="13245"/>
    <n v="15067"/>
    <n v="4"/>
    <n v="14"/>
    <n v="3"/>
    <n v="2"/>
    <n v="80"/>
    <n v="0"/>
    <n v="17"/>
    <n v="4"/>
    <n v="0"/>
    <n v="0"/>
    <n v="0"/>
    <n v="0"/>
  </r>
  <r>
    <x v="1"/>
    <s v="Travel_Rarely"/>
    <x v="0"/>
    <s v="Current Employees"/>
    <x v="1"/>
    <x v="2"/>
    <x v="78"/>
    <n v="102"/>
    <x v="1"/>
    <x v="7"/>
    <x v="0"/>
    <s v="No"/>
    <s v="Y"/>
    <n v="3"/>
    <n v="-2"/>
    <n v="0"/>
    <n v="37"/>
    <n v="0"/>
    <m/>
    <n v="0"/>
    <n v="1"/>
    <n v="397"/>
    <n v="7"/>
    <x v="2"/>
    <n v="1"/>
    <n v="1"/>
    <n v="30"/>
    <n v="3"/>
    <n v="3"/>
    <n v="3"/>
    <n v="13664"/>
    <n v="25258"/>
    <n v="4"/>
    <n v="13"/>
    <n v="3"/>
    <n v="1"/>
    <n v="80"/>
    <n v="0"/>
    <n v="16"/>
    <n v="4"/>
    <n v="5"/>
    <n v="2"/>
    <n v="0"/>
    <n v="2"/>
  </r>
  <r>
    <x v="1"/>
    <s v="Travel_Rarely"/>
    <x v="1"/>
    <s v="Current Employees"/>
    <x v="2"/>
    <x v="2"/>
    <x v="79"/>
    <n v="103"/>
    <x v="1"/>
    <x v="8"/>
    <x v="2"/>
    <s v="Yes"/>
    <s v="Y"/>
    <n v="2"/>
    <n v="-2"/>
    <n v="0"/>
    <n v="46"/>
    <n v="0"/>
    <m/>
    <n v="0"/>
    <n v="1"/>
    <n v="945"/>
    <n v="5"/>
    <x v="0"/>
    <n v="1"/>
    <n v="2"/>
    <n v="80"/>
    <n v="3"/>
    <n v="2"/>
    <n v="3"/>
    <n v="5021"/>
    <n v="10425"/>
    <n v="8"/>
    <n v="22"/>
    <n v="4"/>
    <n v="4"/>
    <n v="80"/>
    <n v="1"/>
    <n v="16"/>
    <n v="3"/>
    <n v="4"/>
    <n v="2"/>
    <n v="0"/>
    <n v="2"/>
  </r>
  <r>
    <x v="1"/>
    <s v="Travel_Rarely"/>
    <x v="2"/>
    <s v="Current Employees"/>
    <x v="1"/>
    <x v="0"/>
    <x v="80"/>
    <n v="104"/>
    <x v="1"/>
    <x v="2"/>
    <x v="1"/>
    <s v="Yes"/>
    <s v="Y"/>
    <n v="1"/>
    <n v="-2"/>
    <n v="0"/>
    <n v="30"/>
    <n v="0"/>
    <m/>
    <n v="0"/>
    <n v="1"/>
    <n v="852"/>
    <n v="1"/>
    <x v="1"/>
    <n v="1"/>
    <n v="4"/>
    <n v="55"/>
    <n v="2"/>
    <n v="2"/>
    <n v="2"/>
    <n v="5126"/>
    <n v="15998"/>
    <n v="1"/>
    <n v="12"/>
    <n v="3"/>
    <n v="3"/>
    <n v="80"/>
    <n v="2"/>
    <n v="10"/>
    <n v="2"/>
    <n v="10"/>
    <n v="8"/>
    <n v="3"/>
    <n v="0"/>
  </r>
  <r>
    <x v="1"/>
    <s v="Travel_Rarely"/>
    <x v="0"/>
    <s v="Current Employees"/>
    <x v="1"/>
    <x v="2"/>
    <x v="81"/>
    <n v="105"/>
    <x v="1"/>
    <x v="1"/>
    <x v="0"/>
    <s v="No"/>
    <s v="Y"/>
    <n v="3"/>
    <n v="-2"/>
    <n v="0"/>
    <n v="35"/>
    <n v="0"/>
    <m/>
    <n v="0"/>
    <n v="1"/>
    <n v="1214"/>
    <n v="1"/>
    <x v="3"/>
    <n v="1"/>
    <n v="2"/>
    <n v="30"/>
    <n v="2"/>
    <n v="1"/>
    <n v="3"/>
    <n v="2859"/>
    <n v="26278"/>
    <n v="1"/>
    <n v="18"/>
    <n v="3"/>
    <n v="1"/>
    <n v="80"/>
    <n v="0"/>
    <n v="6"/>
    <n v="3"/>
    <n v="6"/>
    <n v="4"/>
    <n v="0"/>
    <n v="4"/>
  </r>
  <r>
    <x v="1"/>
    <s v="Travel_Rarely"/>
    <x v="3"/>
    <s v="Current Employees"/>
    <x v="0"/>
    <x v="0"/>
    <x v="82"/>
    <n v="106"/>
    <x v="1"/>
    <x v="0"/>
    <x v="1"/>
    <s v="No"/>
    <s v="Y"/>
    <n v="4"/>
    <n v="-2"/>
    <n v="0"/>
    <n v="55"/>
    <n v="0"/>
    <m/>
    <n v="0"/>
    <n v="1"/>
    <n v="111"/>
    <n v="1"/>
    <x v="0"/>
    <n v="1"/>
    <n v="1"/>
    <n v="70"/>
    <n v="3"/>
    <n v="3"/>
    <n v="2"/>
    <n v="10239"/>
    <n v="18092"/>
    <n v="3"/>
    <n v="14"/>
    <n v="3"/>
    <n v="4"/>
    <n v="80"/>
    <n v="1"/>
    <n v="24"/>
    <n v="3"/>
    <n v="1"/>
    <n v="0"/>
    <n v="1"/>
    <n v="0"/>
  </r>
  <r>
    <x v="1"/>
    <s v="Non-Travel"/>
    <x v="0"/>
    <s v="Current Employees"/>
    <x v="1"/>
    <x v="2"/>
    <x v="83"/>
    <n v="107"/>
    <x v="0"/>
    <x v="1"/>
    <x v="2"/>
    <s v="Yes"/>
    <s v="Y"/>
    <n v="3"/>
    <n v="-2"/>
    <n v="0"/>
    <n v="38"/>
    <n v="0"/>
    <m/>
    <n v="0"/>
    <n v="1"/>
    <n v="573"/>
    <n v="6"/>
    <x v="3"/>
    <n v="1"/>
    <n v="2"/>
    <n v="79"/>
    <n v="1"/>
    <n v="2"/>
    <n v="4"/>
    <n v="5329"/>
    <n v="15717"/>
    <n v="7"/>
    <n v="12"/>
    <n v="3"/>
    <n v="4"/>
    <n v="80"/>
    <n v="3"/>
    <n v="17"/>
    <n v="3"/>
    <n v="13"/>
    <n v="11"/>
    <n v="1"/>
    <n v="9"/>
  </r>
  <r>
    <x v="1"/>
    <s v="Travel_Rarely"/>
    <x v="2"/>
    <s v="Current Employees"/>
    <x v="1"/>
    <x v="2"/>
    <x v="84"/>
    <n v="110"/>
    <x v="1"/>
    <x v="3"/>
    <x v="1"/>
    <s v="No"/>
    <s v="Y"/>
    <n v="2"/>
    <n v="-2"/>
    <n v="0"/>
    <n v="34"/>
    <n v="0"/>
    <m/>
    <n v="0"/>
    <n v="1"/>
    <n v="1153"/>
    <n v="1"/>
    <x v="0"/>
    <n v="1"/>
    <n v="1"/>
    <n v="94"/>
    <n v="3"/>
    <n v="2"/>
    <n v="3"/>
    <n v="4325"/>
    <n v="17736"/>
    <n v="1"/>
    <n v="15"/>
    <n v="3"/>
    <n v="3"/>
    <n v="80"/>
    <n v="0"/>
    <n v="5"/>
    <n v="3"/>
    <n v="5"/>
    <n v="2"/>
    <n v="1"/>
    <n v="3"/>
  </r>
  <r>
    <x v="1"/>
    <s v="Travel_Rarely"/>
    <x v="3"/>
    <s v="Current Employees"/>
    <x v="1"/>
    <x v="0"/>
    <x v="85"/>
    <n v="112"/>
    <x v="1"/>
    <x v="3"/>
    <x v="0"/>
    <s v="No"/>
    <s v="Y"/>
    <n v="3"/>
    <n v="-2"/>
    <n v="0"/>
    <n v="56"/>
    <n v="0"/>
    <m/>
    <n v="0"/>
    <n v="1"/>
    <n v="1400"/>
    <n v="7"/>
    <x v="3"/>
    <n v="1"/>
    <n v="4"/>
    <n v="49"/>
    <n v="1"/>
    <n v="3"/>
    <n v="2"/>
    <n v="7260"/>
    <n v="21698"/>
    <n v="4"/>
    <n v="11"/>
    <n v="3"/>
    <n v="1"/>
    <n v="80"/>
    <n v="0"/>
    <n v="37"/>
    <n v="2"/>
    <n v="6"/>
    <n v="4"/>
    <n v="0"/>
    <n v="2"/>
  </r>
  <r>
    <x v="1"/>
    <s v="Travel_Rarely"/>
    <x v="4"/>
    <s v="Current Employees"/>
    <x v="0"/>
    <x v="4"/>
    <x v="86"/>
    <n v="113"/>
    <x v="1"/>
    <x v="6"/>
    <x v="2"/>
    <s v="No"/>
    <s v="Y"/>
    <n v="3"/>
    <n v="-2"/>
    <n v="0"/>
    <n v="23"/>
    <n v="0"/>
    <m/>
    <n v="0"/>
    <n v="1"/>
    <n v="541"/>
    <n v="2"/>
    <x v="1"/>
    <n v="1"/>
    <n v="3"/>
    <n v="62"/>
    <n v="3"/>
    <n v="1"/>
    <n v="4"/>
    <n v="2322"/>
    <n v="9518"/>
    <n v="3"/>
    <n v="13"/>
    <n v="3"/>
    <n v="3"/>
    <n v="80"/>
    <n v="1"/>
    <n v="3"/>
    <n v="3"/>
    <n v="0"/>
    <n v="0"/>
    <n v="0"/>
    <n v="0"/>
  </r>
  <r>
    <x v="1"/>
    <s v="Travel_Rarely"/>
    <x v="1"/>
    <s v="Current Employees"/>
    <x v="1"/>
    <x v="0"/>
    <x v="87"/>
    <n v="116"/>
    <x v="1"/>
    <x v="2"/>
    <x v="1"/>
    <s v="No"/>
    <s v="Y"/>
    <n v="4"/>
    <n v="-2"/>
    <n v="0"/>
    <n v="51"/>
    <n v="0"/>
    <m/>
    <n v="0"/>
    <n v="1"/>
    <n v="432"/>
    <n v="9"/>
    <x v="2"/>
    <n v="1"/>
    <n v="4"/>
    <n v="96"/>
    <n v="3"/>
    <n v="1"/>
    <n v="2"/>
    <n v="2075"/>
    <n v="18725"/>
    <n v="3"/>
    <n v="23"/>
    <n v="4"/>
    <n v="2"/>
    <n v="80"/>
    <n v="2"/>
    <n v="10"/>
    <n v="3"/>
    <n v="4"/>
    <n v="2"/>
    <n v="0"/>
    <n v="3"/>
  </r>
  <r>
    <x v="1"/>
    <s v="Travel_Rarely"/>
    <x v="2"/>
    <s v="Current Employees"/>
    <x v="1"/>
    <x v="0"/>
    <x v="88"/>
    <n v="117"/>
    <x v="1"/>
    <x v="4"/>
    <x v="1"/>
    <s v="No"/>
    <s v="Y"/>
    <n v="3"/>
    <n v="-2"/>
    <n v="0"/>
    <n v="30"/>
    <n v="0"/>
    <m/>
    <n v="0"/>
    <n v="1"/>
    <n v="288"/>
    <n v="2"/>
    <x v="3"/>
    <n v="1"/>
    <n v="3"/>
    <n v="99"/>
    <n v="2"/>
    <n v="2"/>
    <n v="2"/>
    <n v="4152"/>
    <n v="15830"/>
    <n v="1"/>
    <n v="19"/>
    <n v="3"/>
    <n v="1"/>
    <n v="80"/>
    <n v="3"/>
    <n v="11"/>
    <n v="3"/>
    <n v="11"/>
    <n v="10"/>
    <n v="10"/>
    <n v="8"/>
  </r>
  <r>
    <x v="0"/>
    <s v="Travel_Rarely"/>
    <x v="1"/>
    <s v="Ex-Employees"/>
    <x v="0"/>
    <x v="2"/>
    <x v="89"/>
    <n v="118"/>
    <x v="1"/>
    <x v="0"/>
    <x v="0"/>
    <s v="No"/>
    <s v="Y"/>
    <n v="3"/>
    <n v="-2"/>
    <n v="0"/>
    <n v="46"/>
    <n v="1"/>
    <n v="1"/>
    <n v="1"/>
    <n v="0"/>
    <n v="669"/>
    <n v="9"/>
    <x v="0"/>
    <n v="1"/>
    <n v="3"/>
    <n v="64"/>
    <n v="2"/>
    <n v="3"/>
    <n v="4"/>
    <n v="9619"/>
    <n v="13596"/>
    <n v="1"/>
    <n v="16"/>
    <n v="3"/>
    <n v="4"/>
    <n v="80"/>
    <n v="0"/>
    <n v="9"/>
    <n v="3"/>
    <n v="9"/>
    <n v="8"/>
    <n v="4"/>
    <n v="7"/>
  </r>
  <r>
    <x v="1"/>
    <s v="Travel_Frequently"/>
    <x v="0"/>
    <s v="Current Employees"/>
    <x v="1"/>
    <x v="0"/>
    <x v="90"/>
    <n v="119"/>
    <x v="1"/>
    <x v="4"/>
    <x v="1"/>
    <s v="No"/>
    <s v="Y"/>
    <n v="3"/>
    <n v="-2"/>
    <n v="0"/>
    <n v="40"/>
    <n v="0"/>
    <m/>
    <n v="0"/>
    <n v="1"/>
    <n v="530"/>
    <n v="1"/>
    <x v="2"/>
    <n v="1"/>
    <n v="3"/>
    <n v="78"/>
    <n v="2"/>
    <n v="4"/>
    <n v="2"/>
    <n v="13503"/>
    <n v="14115"/>
    <n v="1"/>
    <n v="22"/>
    <n v="4"/>
    <n v="4"/>
    <n v="80"/>
    <n v="1"/>
    <n v="22"/>
    <n v="2"/>
    <n v="22"/>
    <n v="3"/>
    <n v="11"/>
    <n v="11"/>
  </r>
  <r>
    <x v="1"/>
    <s v="Travel_Rarely"/>
    <x v="1"/>
    <s v="Current Employees"/>
    <x v="0"/>
    <x v="3"/>
    <x v="91"/>
    <n v="120"/>
    <x v="1"/>
    <x v="0"/>
    <x v="0"/>
    <s v="Yes"/>
    <s v="Y"/>
    <n v="2"/>
    <n v="-2"/>
    <n v="0"/>
    <n v="51"/>
    <n v="0"/>
    <m/>
    <n v="0"/>
    <n v="1"/>
    <n v="632"/>
    <n v="21"/>
    <x v="2"/>
    <n v="1"/>
    <n v="3"/>
    <n v="71"/>
    <n v="3"/>
    <n v="2"/>
    <n v="4"/>
    <n v="5441"/>
    <n v="8423"/>
    <n v="0"/>
    <n v="22"/>
    <n v="4"/>
    <n v="4"/>
    <n v="80"/>
    <n v="0"/>
    <n v="11"/>
    <n v="1"/>
    <n v="10"/>
    <n v="7"/>
    <n v="1"/>
    <n v="0"/>
  </r>
  <r>
    <x v="1"/>
    <s v="Travel_Rarely"/>
    <x v="2"/>
    <s v="Current Employees"/>
    <x v="0"/>
    <x v="2"/>
    <x v="92"/>
    <n v="121"/>
    <x v="0"/>
    <x v="0"/>
    <x v="2"/>
    <s v="Yes"/>
    <s v="Y"/>
    <n v="4"/>
    <n v="-2"/>
    <n v="0"/>
    <n v="30"/>
    <n v="0"/>
    <m/>
    <n v="0"/>
    <n v="1"/>
    <n v="1334"/>
    <n v="4"/>
    <x v="0"/>
    <n v="1"/>
    <n v="3"/>
    <n v="63"/>
    <n v="2"/>
    <n v="2"/>
    <n v="3"/>
    <n v="5209"/>
    <n v="19760"/>
    <n v="1"/>
    <n v="12"/>
    <n v="3"/>
    <n v="2"/>
    <n v="80"/>
    <n v="3"/>
    <n v="11"/>
    <n v="2"/>
    <n v="11"/>
    <n v="8"/>
    <n v="2"/>
    <n v="7"/>
  </r>
  <r>
    <x v="1"/>
    <s v="Travel_Frequently"/>
    <x v="1"/>
    <s v="Current Employees"/>
    <x v="1"/>
    <x v="2"/>
    <x v="93"/>
    <n v="124"/>
    <x v="1"/>
    <x v="4"/>
    <x v="1"/>
    <s v="Yes"/>
    <s v="Y"/>
    <n v="5"/>
    <n v="-2"/>
    <n v="0"/>
    <n v="46"/>
    <n v="0"/>
    <m/>
    <n v="0"/>
    <n v="1"/>
    <n v="638"/>
    <n v="1"/>
    <x v="3"/>
    <n v="1"/>
    <n v="3"/>
    <n v="40"/>
    <n v="2"/>
    <n v="3"/>
    <n v="4"/>
    <n v="10673"/>
    <n v="3142"/>
    <n v="2"/>
    <n v="13"/>
    <n v="3"/>
    <n v="3"/>
    <n v="80"/>
    <n v="1"/>
    <n v="21"/>
    <n v="2"/>
    <n v="10"/>
    <n v="9"/>
    <n v="9"/>
    <n v="5"/>
  </r>
  <r>
    <x v="1"/>
    <s v="Travel_Rarely"/>
    <x v="2"/>
    <s v="Current Employees"/>
    <x v="0"/>
    <x v="2"/>
    <x v="94"/>
    <n v="125"/>
    <x v="1"/>
    <x v="0"/>
    <x v="0"/>
    <s v="No"/>
    <s v="Y"/>
    <n v="0"/>
    <n v="-2"/>
    <n v="0"/>
    <n v="32"/>
    <n v="0"/>
    <m/>
    <n v="0"/>
    <n v="1"/>
    <n v="1093"/>
    <n v="6"/>
    <x v="2"/>
    <n v="1"/>
    <n v="2"/>
    <n v="87"/>
    <n v="3"/>
    <n v="2"/>
    <n v="3"/>
    <n v="5010"/>
    <n v="24301"/>
    <n v="1"/>
    <n v="16"/>
    <n v="3"/>
    <n v="1"/>
    <n v="80"/>
    <n v="0"/>
    <n v="12"/>
    <n v="3"/>
    <n v="11"/>
    <n v="8"/>
    <n v="5"/>
    <n v="7"/>
  </r>
  <r>
    <x v="1"/>
    <s v="Travel_Rarely"/>
    <x v="1"/>
    <s v="Current Employees"/>
    <x v="1"/>
    <x v="4"/>
    <x v="95"/>
    <n v="126"/>
    <x v="0"/>
    <x v="7"/>
    <x v="1"/>
    <s v="No"/>
    <s v="Y"/>
    <n v="5"/>
    <n v="-2"/>
    <n v="0"/>
    <n v="54"/>
    <n v="0"/>
    <m/>
    <n v="0"/>
    <n v="1"/>
    <n v="1217"/>
    <n v="2"/>
    <x v="2"/>
    <n v="1"/>
    <n v="1"/>
    <n v="60"/>
    <n v="3"/>
    <n v="3"/>
    <n v="3"/>
    <n v="13549"/>
    <n v="24001"/>
    <n v="9"/>
    <n v="12"/>
    <n v="3"/>
    <n v="1"/>
    <n v="80"/>
    <n v="1"/>
    <n v="16"/>
    <n v="1"/>
    <n v="4"/>
    <n v="3"/>
    <n v="0"/>
    <n v="3"/>
  </r>
  <r>
    <x v="1"/>
    <s v="Travel_Rarely"/>
    <x v="4"/>
    <s v="Current Employees"/>
    <x v="0"/>
    <x v="1"/>
    <x v="96"/>
    <n v="128"/>
    <x v="0"/>
    <x v="0"/>
    <x v="1"/>
    <s v="No"/>
    <s v="Y"/>
    <n v="2"/>
    <n v="-2"/>
    <n v="0"/>
    <n v="24"/>
    <n v="0"/>
    <m/>
    <n v="0"/>
    <n v="1"/>
    <n v="1353"/>
    <n v="3"/>
    <x v="0"/>
    <n v="1"/>
    <n v="1"/>
    <n v="33"/>
    <n v="3"/>
    <n v="2"/>
    <n v="3"/>
    <n v="4999"/>
    <n v="17519"/>
    <n v="0"/>
    <n v="21"/>
    <n v="4"/>
    <n v="1"/>
    <n v="80"/>
    <n v="1"/>
    <n v="4"/>
    <n v="2"/>
    <n v="3"/>
    <n v="2"/>
    <n v="0"/>
    <n v="2"/>
  </r>
  <r>
    <x v="1"/>
    <s v="Non-Travel"/>
    <x v="2"/>
    <s v="Current Employees"/>
    <x v="0"/>
    <x v="2"/>
    <x v="97"/>
    <n v="129"/>
    <x v="1"/>
    <x v="0"/>
    <x v="1"/>
    <s v="No"/>
    <s v="Y"/>
    <n v="3"/>
    <n v="-2"/>
    <n v="0"/>
    <n v="28"/>
    <n v="0"/>
    <m/>
    <n v="0"/>
    <n v="1"/>
    <n v="120"/>
    <n v="4"/>
    <x v="3"/>
    <n v="1"/>
    <n v="2"/>
    <n v="43"/>
    <n v="3"/>
    <n v="2"/>
    <n v="3"/>
    <n v="4221"/>
    <n v="8863"/>
    <n v="1"/>
    <n v="15"/>
    <n v="3"/>
    <n v="2"/>
    <n v="80"/>
    <n v="0"/>
    <n v="5"/>
    <n v="4"/>
    <n v="5"/>
    <n v="4"/>
    <n v="0"/>
    <n v="4"/>
  </r>
  <r>
    <x v="1"/>
    <s v="Travel_Rarely"/>
    <x v="3"/>
    <s v="Current Employees"/>
    <x v="0"/>
    <x v="2"/>
    <x v="98"/>
    <n v="131"/>
    <x v="1"/>
    <x v="0"/>
    <x v="0"/>
    <s v="No"/>
    <s v="Y"/>
    <n v="1"/>
    <n v="-2"/>
    <n v="0"/>
    <n v="58"/>
    <n v="0"/>
    <m/>
    <n v="0"/>
    <n v="1"/>
    <n v="682"/>
    <n v="10"/>
    <x v="2"/>
    <n v="1"/>
    <n v="4"/>
    <n v="37"/>
    <n v="3"/>
    <n v="4"/>
    <n v="3"/>
    <n v="13872"/>
    <n v="24409"/>
    <n v="0"/>
    <n v="13"/>
    <n v="3"/>
    <n v="3"/>
    <n v="80"/>
    <n v="0"/>
    <n v="38"/>
    <n v="2"/>
    <n v="37"/>
    <n v="10"/>
    <n v="1"/>
    <n v="8"/>
  </r>
  <r>
    <x v="1"/>
    <s v="Non-Travel"/>
    <x v="0"/>
    <s v="Current Employees"/>
    <x v="1"/>
    <x v="2"/>
    <x v="99"/>
    <n v="132"/>
    <x v="1"/>
    <x v="2"/>
    <x v="1"/>
    <s v="No"/>
    <s v="Y"/>
    <n v="3"/>
    <n v="-2"/>
    <n v="0"/>
    <n v="44"/>
    <n v="0"/>
    <m/>
    <n v="0"/>
    <n v="1"/>
    <n v="489"/>
    <n v="23"/>
    <x v="3"/>
    <n v="1"/>
    <n v="2"/>
    <n v="67"/>
    <n v="3"/>
    <n v="2"/>
    <n v="3"/>
    <n v="2042"/>
    <n v="25043"/>
    <n v="4"/>
    <n v="12"/>
    <n v="3"/>
    <n v="3"/>
    <n v="80"/>
    <n v="1"/>
    <n v="17"/>
    <n v="4"/>
    <n v="3"/>
    <n v="2"/>
    <n v="1"/>
    <n v="2"/>
  </r>
  <r>
    <x v="0"/>
    <s v="Travel_Rarely"/>
    <x v="0"/>
    <s v="Ex-Employees"/>
    <x v="2"/>
    <x v="5"/>
    <x v="100"/>
    <n v="133"/>
    <x v="1"/>
    <x v="8"/>
    <x v="2"/>
    <s v="Yes"/>
    <s v="Y"/>
    <n v="3"/>
    <n v="-2"/>
    <n v="0"/>
    <n v="37"/>
    <n v="1"/>
    <n v="1"/>
    <n v="1"/>
    <n v="0"/>
    <n v="807"/>
    <n v="6"/>
    <x v="2"/>
    <n v="1"/>
    <n v="3"/>
    <n v="63"/>
    <n v="3"/>
    <n v="1"/>
    <n v="4"/>
    <n v="2073"/>
    <n v="23648"/>
    <n v="4"/>
    <n v="22"/>
    <n v="4"/>
    <n v="4"/>
    <n v="80"/>
    <n v="0"/>
    <n v="7"/>
    <n v="3"/>
    <n v="3"/>
    <n v="2"/>
    <n v="0"/>
    <n v="2"/>
  </r>
  <r>
    <x v="1"/>
    <s v="Travel_Rarely"/>
    <x v="2"/>
    <s v="Current Employees"/>
    <x v="1"/>
    <x v="0"/>
    <x v="101"/>
    <n v="134"/>
    <x v="1"/>
    <x v="1"/>
    <x v="0"/>
    <s v="No"/>
    <s v="Y"/>
    <n v="2"/>
    <n v="-2"/>
    <n v="0"/>
    <n v="32"/>
    <n v="0"/>
    <m/>
    <n v="0"/>
    <n v="1"/>
    <n v="827"/>
    <n v="1"/>
    <x v="1"/>
    <n v="1"/>
    <n v="4"/>
    <n v="71"/>
    <n v="3"/>
    <n v="1"/>
    <n v="2"/>
    <n v="2956"/>
    <n v="15178"/>
    <n v="1"/>
    <n v="13"/>
    <n v="3"/>
    <n v="4"/>
    <n v="80"/>
    <n v="0"/>
    <n v="1"/>
    <n v="3"/>
    <n v="1"/>
    <n v="0"/>
    <n v="0"/>
    <n v="0"/>
  </r>
  <r>
    <x v="0"/>
    <s v="Travel_Frequently"/>
    <x v="4"/>
    <s v="Ex-Employees"/>
    <x v="1"/>
    <x v="0"/>
    <x v="102"/>
    <n v="137"/>
    <x v="0"/>
    <x v="2"/>
    <x v="0"/>
    <s v="Yes"/>
    <s v="Y"/>
    <n v="5"/>
    <n v="-2"/>
    <n v="0"/>
    <n v="20"/>
    <n v="1"/>
    <n v="1"/>
    <n v="1"/>
    <n v="0"/>
    <n v="871"/>
    <n v="6"/>
    <x v="3"/>
    <n v="1"/>
    <n v="4"/>
    <n v="66"/>
    <n v="2"/>
    <n v="1"/>
    <n v="2"/>
    <n v="2926"/>
    <n v="19783"/>
    <n v="1"/>
    <n v="18"/>
    <n v="3"/>
    <n v="2"/>
    <n v="80"/>
    <n v="0"/>
    <n v="1"/>
    <n v="3"/>
    <n v="1"/>
    <n v="0"/>
    <n v="1"/>
    <n v="0"/>
  </r>
  <r>
    <x v="1"/>
    <s v="Travel_Rarely"/>
    <x v="2"/>
    <s v="Current Employees"/>
    <x v="1"/>
    <x v="1"/>
    <x v="103"/>
    <n v="138"/>
    <x v="0"/>
    <x v="1"/>
    <x v="0"/>
    <s v="No"/>
    <s v="Y"/>
    <n v="3"/>
    <n v="-2"/>
    <n v="0"/>
    <n v="34"/>
    <n v="0"/>
    <m/>
    <n v="0"/>
    <n v="1"/>
    <n v="665"/>
    <n v="6"/>
    <x v="2"/>
    <n v="1"/>
    <n v="1"/>
    <n v="41"/>
    <n v="3"/>
    <n v="2"/>
    <n v="3"/>
    <n v="4809"/>
    <n v="12482"/>
    <n v="1"/>
    <n v="14"/>
    <n v="3"/>
    <n v="3"/>
    <n v="80"/>
    <n v="0"/>
    <n v="16"/>
    <n v="3"/>
    <n v="16"/>
    <n v="13"/>
    <n v="2"/>
    <n v="10"/>
  </r>
  <r>
    <x v="1"/>
    <s v="Non-Travel"/>
    <x v="0"/>
    <s v="Current Employees"/>
    <x v="1"/>
    <x v="0"/>
    <x v="104"/>
    <n v="139"/>
    <x v="1"/>
    <x v="4"/>
    <x v="2"/>
    <s v="No"/>
    <s v="Y"/>
    <n v="2"/>
    <n v="-2"/>
    <n v="0"/>
    <n v="37"/>
    <n v="0"/>
    <m/>
    <n v="0"/>
    <n v="1"/>
    <n v="1040"/>
    <n v="2"/>
    <x v="0"/>
    <n v="1"/>
    <n v="3"/>
    <n v="100"/>
    <n v="2"/>
    <n v="2"/>
    <n v="2"/>
    <n v="5163"/>
    <n v="15850"/>
    <n v="5"/>
    <n v="14"/>
    <n v="3"/>
    <n v="4"/>
    <n v="80"/>
    <n v="1"/>
    <n v="17"/>
    <n v="4"/>
    <n v="1"/>
    <n v="0"/>
    <n v="0"/>
    <n v="0"/>
  </r>
  <r>
    <x v="1"/>
    <s v="Non-Travel"/>
    <x v="3"/>
    <s v="Current Employees"/>
    <x v="2"/>
    <x v="5"/>
    <x v="105"/>
    <n v="140"/>
    <x v="0"/>
    <x v="5"/>
    <x v="1"/>
    <s v="No"/>
    <s v="Y"/>
    <n v="3"/>
    <n v="-2"/>
    <n v="0"/>
    <n v="59"/>
    <n v="0"/>
    <m/>
    <n v="0"/>
    <n v="1"/>
    <n v="1420"/>
    <n v="2"/>
    <x v="2"/>
    <n v="1"/>
    <n v="3"/>
    <n v="32"/>
    <n v="2"/>
    <n v="5"/>
    <n v="4"/>
    <n v="18844"/>
    <n v="21922"/>
    <n v="9"/>
    <n v="21"/>
    <n v="4"/>
    <n v="4"/>
    <n v="80"/>
    <n v="1"/>
    <n v="30"/>
    <n v="3"/>
    <n v="3"/>
    <n v="2"/>
    <n v="2"/>
    <n v="2"/>
  </r>
  <r>
    <x v="1"/>
    <s v="Travel_Frequently"/>
    <x v="1"/>
    <s v="Current Employees"/>
    <x v="1"/>
    <x v="0"/>
    <x v="106"/>
    <n v="141"/>
    <x v="0"/>
    <x v="7"/>
    <x v="1"/>
    <s v="Yes"/>
    <s v="Y"/>
    <n v="1"/>
    <n v="-2"/>
    <n v="0"/>
    <n v="50"/>
    <n v="0"/>
    <m/>
    <n v="0"/>
    <n v="1"/>
    <n v="1115"/>
    <n v="1"/>
    <x v="3"/>
    <n v="1"/>
    <n v="1"/>
    <n v="73"/>
    <n v="3"/>
    <n v="5"/>
    <n v="2"/>
    <n v="18172"/>
    <n v="9755"/>
    <n v="3"/>
    <n v="19"/>
    <n v="3"/>
    <n v="1"/>
    <n v="80"/>
    <n v="0"/>
    <n v="28"/>
    <n v="2"/>
    <n v="8"/>
    <n v="3"/>
    <n v="0"/>
    <n v="7"/>
  </r>
  <r>
    <x v="0"/>
    <s v="Travel_Rarely"/>
    <x v="2"/>
    <s v="Ex-Employees"/>
    <x v="0"/>
    <x v="3"/>
    <x v="107"/>
    <n v="142"/>
    <x v="1"/>
    <x v="0"/>
    <x v="0"/>
    <s v="Yes"/>
    <s v="Y"/>
    <n v="1"/>
    <n v="-2"/>
    <n v="0"/>
    <n v="25"/>
    <n v="1"/>
    <n v="1"/>
    <n v="1"/>
    <n v="0"/>
    <n v="240"/>
    <n v="5"/>
    <x v="3"/>
    <n v="1"/>
    <n v="3"/>
    <n v="46"/>
    <n v="2"/>
    <n v="2"/>
    <n v="3"/>
    <n v="5744"/>
    <n v="26959"/>
    <n v="1"/>
    <n v="11"/>
    <n v="3"/>
    <n v="4"/>
    <n v="80"/>
    <n v="0"/>
    <n v="6"/>
    <n v="3"/>
    <n v="6"/>
    <n v="4"/>
    <n v="0"/>
    <n v="3"/>
  </r>
  <r>
    <x v="1"/>
    <s v="Travel_Rarely"/>
    <x v="2"/>
    <s v="Current Employees"/>
    <x v="1"/>
    <x v="2"/>
    <x v="108"/>
    <n v="143"/>
    <x v="1"/>
    <x v="1"/>
    <x v="1"/>
    <s v="No"/>
    <s v="Y"/>
    <n v="2"/>
    <n v="-2"/>
    <n v="0"/>
    <n v="25"/>
    <n v="0"/>
    <m/>
    <n v="0"/>
    <n v="1"/>
    <n v="1280"/>
    <n v="7"/>
    <x v="1"/>
    <n v="1"/>
    <n v="4"/>
    <n v="64"/>
    <n v="2"/>
    <n v="1"/>
    <n v="4"/>
    <n v="2889"/>
    <n v="26897"/>
    <n v="1"/>
    <n v="11"/>
    <n v="3"/>
    <n v="3"/>
    <n v="80"/>
    <n v="2"/>
    <n v="2"/>
    <n v="3"/>
    <n v="2"/>
    <n v="2"/>
    <n v="2"/>
    <n v="1"/>
  </r>
  <r>
    <x v="1"/>
    <s v="Travel_Rarely"/>
    <x v="4"/>
    <s v="Current Employees"/>
    <x v="1"/>
    <x v="2"/>
    <x v="109"/>
    <n v="144"/>
    <x v="0"/>
    <x v="2"/>
    <x v="0"/>
    <s v="No"/>
    <s v="Y"/>
    <n v="5"/>
    <n v="-2"/>
    <n v="0"/>
    <n v="22"/>
    <n v="0"/>
    <m/>
    <n v="0"/>
    <n v="1"/>
    <n v="534"/>
    <n v="15"/>
    <x v="3"/>
    <n v="1"/>
    <n v="2"/>
    <n v="59"/>
    <n v="3"/>
    <n v="1"/>
    <n v="4"/>
    <n v="2871"/>
    <n v="23785"/>
    <n v="1"/>
    <n v="15"/>
    <n v="3"/>
    <n v="3"/>
    <n v="80"/>
    <n v="0"/>
    <n v="1"/>
    <n v="3"/>
    <n v="0"/>
    <n v="0"/>
    <n v="0"/>
    <n v="0"/>
  </r>
  <r>
    <x v="1"/>
    <s v="Travel_Frequently"/>
    <x v="1"/>
    <s v="Current Employees"/>
    <x v="1"/>
    <x v="2"/>
    <x v="110"/>
    <n v="145"/>
    <x v="0"/>
    <x v="4"/>
    <x v="0"/>
    <s v="No"/>
    <s v="Y"/>
    <n v="1"/>
    <n v="-2"/>
    <n v="0"/>
    <n v="51"/>
    <n v="0"/>
    <m/>
    <n v="0"/>
    <n v="1"/>
    <n v="1456"/>
    <n v="1"/>
    <x v="2"/>
    <n v="1"/>
    <n v="1"/>
    <n v="30"/>
    <n v="2"/>
    <n v="3"/>
    <n v="4"/>
    <n v="7484"/>
    <n v="25796"/>
    <n v="3"/>
    <n v="20"/>
    <n v="4"/>
    <n v="3"/>
    <n v="80"/>
    <n v="0"/>
    <n v="23"/>
    <n v="2"/>
    <n v="13"/>
    <n v="12"/>
    <n v="12"/>
    <n v="8"/>
  </r>
  <r>
    <x v="0"/>
    <s v="Travel_Frequently"/>
    <x v="2"/>
    <s v="Ex-Employees"/>
    <x v="1"/>
    <x v="0"/>
    <x v="111"/>
    <n v="147"/>
    <x v="1"/>
    <x v="2"/>
    <x v="0"/>
    <s v="Yes"/>
    <s v="Y"/>
    <n v="3"/>
    <n v="-2"/>
    <n v="0"/>
    <n v="34"/>
    <n v="1"/>
    <n v="1"/>
    <n v="1"/>
    <n v="0"/>
    <n v="658"/>
    <n v="7"/>
    <x v="3"/>
    <n v="1"/>
    <n v="1"/>
    <n v="66"/>
    <n v="1"/>
    <n v="2"/>
    <n v="2"/>
    <n v="6074"/>
    <n v="22887"/>
    <n v="1"/>
    <n v="24"/>
    <n v="4"/>
    <n v="4"/>
    <n v="80"/>
    <n v="0"/>
    <n v="9"/>
    <n v="3"/>
    <n v="9"/>
    <n v="7"/>
    <n v="0"/>
    <n v="6"/>
  </r>
  <r>
    <x v="1"/>
    <s v="Non-Travel"/>
    <x v="1"/>
    <s v="Current Employees"/>
    <x v="2"/>
    <x v="5"/>
    <x v="112"/>
    <n v="148"/>
    <x v="0"/>
    <x v="5"/>
    <x v="0"/>
    <s v="Yes"/>
    <s v="Y"/>
    <n v="3"/>
    <n v="-2"/>
    <n v="0"/>
    <n v="54"/>
    <n v="0"/>
    <m/>
    <n v="0"/>
    <n v="1"/>
    <n v="142"/>
    <n v="26"/>
    <x v="3"/>
    <n v="1"/>
    <n v="4"/>
    <n v="30"/>
    <n v="4"/>
    <n v="4"/>
    <n v="4"/>
    <n v="17328"/>
    <n v="13871"/>
    <n v="2"/>
    <n v="12"/>
    <n v="3"/>
    <n v="3"/>
    <n v="80"/>
    <n v="0"/>
    <n v="23"/>
    <n v="3"/>
    <n v="5"/>
    <n v="3"/>
    <n v="4"/>
    <n v="4"/>
  </r>
  <r>
    <x v="1"/>
    <s v="Travel_Rarely"/>
    <x v="4"/>
    <s v="Current Employees"/>
    <x v="1"/>
    <x v="0"/>
    <x v="113"/>
    <n v="150"/>
    <x v="1"/>
    <x v="2"/>
    <x v="1"/>
    <s v="No"/>
    <s v="Y"/>
    <n v="2"/>
    <n v="-2"/>
    <n v="0"/>
    <n v="24"/>
    <n v="0"/>
    <m/>
    <n v="0"/>
    <n v="1"/>
    <n v="1127"/>
    <n v="18"/>
    <x v="1"/>
    <n v="1"/>
    <n v="2"/>
    <n v="52"/>
    <n v="3"/>
    <n v="1"/>
    <n v="2"/>
    <n v="2774"/>
    <n v="13257"/>
    <n v="0"/>
    <n v="12"/>
    <n v="3"/>
    <n v="3"/>
    <n v="80"/>
    <n v="1"/>
    <n v="6"/>
    <n v="3"/>
    <n v="5"/>
    <n v="3"/>
    <n v="1"/>
    <n v="2"/>
  </r>
  <r>
    <x v="1"/>
    <s v="Travel_Rarely"/>
    <x v="2"/>
    <s v="Current Employees"/>
    <x v="1"/>
    <x v="0"/>
    <x v="114"/>
    <n v="151"/>
    <x v="0"/>
    <x v="1"/>
    <x v="2"/>
    <s v="No"/>
    <s v="Y"/>
    <n v="3"/>
    <n v="-2"/>
    <n v="0"/>
    <n v="34"/>
    <n v="0"/>
    <m/>
    <n v="0"/>
    <n v="1"/>
    <n v="1031"/>
    <n v="6"/>
    <x v="2"/>
    <n v="1"/>
    <n v="3"/>
    <n v="45"/>
    <n v="2"/>
    <n v="2"/>
    <n v="2"/>
    <n v="4505"/>
    <n v="15000"/>
    <n v="6"/>
    <n v="15"/>
    <n v="3"/>
    <n v="3"/>
    <n v="80"/>
    <n v="1"/>
    <n v="12"/>
    <n v="3"/>
    <n v="1"/>
    <n v="0"/>
    <n v="0"/>
    <n v="0"/>
  </r>
  <r>
    <x v="1"/>
    <s v="Travel_Rarely"/>
    <x v="0"/>
    <s v="Current Employees"/>
    <x v="0"/>
    <x v="0"/>
    <x v="115"/>
    <n v="152"/>
    <x v="1"/>
    <x v="0"/>
    <x v="0"/>
    <s v="No"/>
    <s v="Y"/>
    <n v="3"/>
    <n v="-2"/>
    <n v="0"/>
    <n v="37"/>
    <n v="0"/>
    <m/>
    <n v="0"/>
    <n v="1"/>
    <n v="1189"/>
    <n v="3"/>
    <x v="3"/>
    <n v="1"/>
    <n v="3"/>
    <n v="87"/>
    <n v="3"/>
    <n v="3"/>
    <n v="2"/>
    <n v="7428"/>
    <n v="14506"/>
    <n v="2"/>
    <n v="12"/>
    <n v="3"/>
    <n v="1"/>
    <n v="80"/>
    <n v="0"/>
    <n v="12"/>
    <n v="3"/>
    <n v="5"/>
    <n v="3"/>
    <n v="1"/>
    <n v="3"/>
  </r>
  <r>
    <x v="1"/>
    <s v="Travel_Rarely"/>
    <x v="2"/>
    <s v="Current Employees"/>
    <x v="1"/>
    <x v="2"/>
    <x v="116"/>
    <n v="153"/>
    <x v="0"/>
    <x v="5"/>
    <x v="0"/>
    <s v="No"/>
    <s v="Y"/>
    <n v="6"/>
    <n v="-2"/>
    <n v="0"/>
    <n v="34"/>
    <n v="0"/>
    <m/>
    <n v="0"/>
    <n v="1"/>
    <n v="1354"/>
    <n v="5"/>
    <x v="3"/>
    <n v="1"/>
    <n v="3"/>
    <n v="45"/>
    <n v="2"/>
    <n v="3"/>
    <n v="4"/>
    <n v="11631"/>
    <n v="5615"/>
    <n v="2"/>
    <n v="12"/>
    <n v="3"/>
    <n v="4"/>
    <n v="80"/>
    <n v="0"/>
    <n v="14"/>
    <n v="3"/>
    <n v="11"/>
    <n v="10"/>
    <n v="5"/>
    <n v="8"/>
  </r>
  <r>
    <x v="1"/>
    <s v="Travel_Frequently"/>
    <x v="0"/>
    <s v="Current Employees"/>
    <x v="0"/>
    <x v="4"/>
    <x v="117"/>
    <n v="154"/>
    <x v="0"/>
    <x v="0"/>
    <x v="1"/>
    <s v="No"/>
    <s v="Y"/>
    <n v="6"/>
    <n v="-2"/>
    <n v="0"/>
    <n v="36"/>
    <n v="0"/>
    <m/>
    <n v="0"/>
    <n v="1"/>
    <n v="1467"/>
    <n v="11"/>
    <x v="0"/>
    <n v="1"/>
    <n v="2"/>
    <n v="92"/>
    <n v="3"/>
    <n v="3"/>
    <n v="4"/>
    <n v="9738"/>
    <n v="22952"/>
    <n v="0"/>
    <n v="14"/>
    <n v="3"/>
    <n v="3"/>
    <n v="80"/>
    <n v="1"/>
    <n v="10"/>
    <n v="3"/>
    <n v="9"/>
    <n v="7"/>
    <n v="2"/>
    <n v="8"/>
  </r>
  <r>
    <x v="1"/>
    <s v="Travel_Rarely"/>
    <x v="0"/>
    <s v="Current Employees"/>
    <x v="1"/>
    <x v="0"/>
    <x v="118"/>
    <n v="155"/>
    <x v="0"/>
    <x v="2"/>
    <x v="2"/>
    <s v="No"/>
    <s v="Y"/>
    <n v="2"/>
    <n v="-2"/>
    <n v="0"/>
    <n v="36"/>
    <n v="0"/>
    <m/>
    <n v="0"/>
    <n v="1"/>
    <n v="922"/>
    <n v="3"/>
    <x v="0"/>
    <n v="1"/>
    <n v="1"/>
    <n v="39"/>
    <n v="3"/>
    <n v="1"/>
    <n v="2"/>
    <n v="2835"/>
    <n v="2561"/>
    <n v="5"/>
    <n v="22"/>
    <n v="4"/>
    <n v="1"/>
    <n v="80"/>
    <n v="1"/>
    <n v="7"/>
    <n v="3"/>
    <n v="1"/>
    <n v="0"/>
    <n v="0"/>
    <n v="0"/>
  </r>
  <r>
    <x v="1"/>
    <s v="Travel_Frequently"/>
    <x v="0"/>
    <s v="Current Employees"/>
    <x v="0"/>
    <x v="0"/>
    <x v="119"/>
    <n v="158"/>
    <x v="1"/>
    <x v="5"/>
    <x v="1"/>
    <s v="Yes"/>
    <s v="Y"/>
    <n v="3"/>
    <n v="-2"/>
    <n v="0"/>
    <n v="43"/>
    <n v="0"/>
    <m/>
    <n v="0"/>
    <n v="1"/>
    <n v="394"/>
    <n v="26"/>
    <x v="0"/>
    <n v="1"/>
    <n v="3"/>
    <n v="92"/>
    <n v="3"/>
    <n v="4"/>
    <n v="2"/>
    <n v="16959"/>
    <n v="19494"/>
    <n v="1"/>
    <n v="12"/>
    <n v="3"/>
    <n v="4"/>
    <n v="80"/>
    <n v="2"/>
    <n v="25"/>
    <n v="4"/>
    <n v="25"/>
    <n v="12"/>
    <n v="4"/>
    <n v="12"/>
  </r>
  <r>
    <x v="1"/>
    <s v="Travel_Frequently"/>
    <x v="2"/>
    <s v="Current Employees"/>
    <x v="1"/>
    <x v="0"/>
    <x v="120"/>
    <n v="159"/>
    <x v="1"/>
    <x v="1"/>
    <x v="2"/>
    <s v="No"/>
    <s v="Y"/>
    <n v="2"/>
    <n v="-2"/>
    <n v="0"/>
    <n v="30"/>
    <n v="0"/>
    <m/>
    <n v="0"/>
    <n v="1"/>
    <n v="1312"/>
    <n v="23"/>
    <x v="3"/>
    <n v="1"/>
    <n v="1"/>
    <n v="96"/>
    <n v="1"/>
    <n v="1"/>
    <n v="2"/>
    <n v="2613"/>
    <n v="22310"/>
    <n v="1"/>
    <n v="25"/>
    <n v="4"/>
    <n v="3"/>
    <n v="80"/>
    <n v="3"/>
    <n v="10"/>
    <n v="2"/>
    <n v="10"/>
    <n v="7"/>
    <n v="0"/>
    <n v="9"/>
  </r>
  <r>
    <x v="1"/>
    <s v="Non-Travel"/>
    <x v="2"/>
    <s v="Current Employees"/>
    <x v="0"/>
    <x v="3"/>
    <x v="121"/>
    <n v="160"/>
    <x v="1"/>
    <x v="0"/>
    <x v="1"/>
    <s v="No"/>
    <s v="Y"/>
    <n v="2"/>
    <n v="-2"/>
    <n v="0"/>
    <n v="33"/>
    <n v="0"/>
    <m/>
    <n v="0"/>
    <n v="1"/>
    <n v="750"/>
    <n v="22"/>
    <x v="0"/>
    <n v="1"/>
    <n v="3"/>
    <n v="95"/>
    <n v="3"/>
    <n v="2"/>
    <n v="3"/>
    <n v="6146"/>
    <n v="15480"/>
    <n v="0"/>
    <n v="13"/>
    <n v="3"/>
    <n v="1"/>
    <n v="80"/>
    <n v="1"/>
    <n v="8"/>
    <n v="4"/>
    <n v="7"/>
    <n v="7"/>
    <n v="0"/>
    <n v="7"/>
  </r>
  <r>
    <x v="0"/>
    <s v="Travel_Rarely"/>
    <x v="3"/>
    <s v="Ex-Employees"/>
    <x v="1"/>
    <x v="0"/>
    <x v="122"/>
    <n v="161"/>
    <x v="0"/>
    <x v="1"/>
    <x v="1"/>
    <s v="Yes"/>
    <s v="Y"/>
    <n v="2"/>
    <n v="-2"/>
    <n v="0"/>
    <n v="56"/>
    <n v="1"/>
    <n v="1"/>
    <n v="1"/>
    <n v="0"/>
    <n v="441"/>
    <n v="14"/>
    <x v="2"/>
    <n v="1"/>
    <n v="2"/>
    <n v="72"/>
    <n v="3"/>
    <n v="1"/>
    <n v="2"/>
    <n v="4963"/>
    <n v="4510"/>
    <n v="9"/>
    <n v="18"/>
    <n v="3"/>
    <n v="1"/>
    <n v="80"/>
    <n v="3"/>
    <n v="7"/>
    <n v="3"/>
    <n v="5"/>
    <n v="4"/>
    <n v="4"/>
    <n v="3"/>
  </r>
  <r>
    <x v="1"/>
    <s v="Travel_Rarely"/>
    <x v="1"/>
    <s v="Current Employees"/>
    <x v="1"/>
    <x v="0"/>
    <x v="123"/>
    <n v="162"/>
    <x v="1"/>
    <x v="7"/>
    <x v="0"/>
    <s v="No"/>
    <s v="Y"/>
    <n v="5"/>
    <n v="-2"/>
    <n v="0"/>
    <n v="51"/>
    <n v="0"/>
    <m/>
    <n v="0"/>
    <n v="1"/>
    <n v="684"/>
    <n v="6"/>
    <x v="3"/>
    <n v="1"/>
    <n v="1"/>
    <n v="51"/>
    <n v="3"/>
    <n v="5"/>
    <n v="2"/>
    <n v="19537"/>
    <n v="6462"/>
    <n v="7"/>
    <n v="13"/>
    <n v="3"/>
    <n v="3"/>
    <n v="80"/>
    <n v="0"/>
    <n v="23"/>
    <n v="3"/>
    <n v="20"/>
    <n v="18"/>
    <n v="15"/>
    <n v="15"/>
  </r>
  <r>
    <x v="0"/>
    <s v="Travel_Rarely"/>
    <x v="2"/>
    <s v="Ex-Employees"/>
    <x v="0"/>
    <x v="0"/>
    <x v="124"/>
    <n v="163"/>
    <x v="1"/>
    <x v="0"/>
    <x v="1"/>
    <s v="Yes"/>
    <s v="Y"/>
    <n v="3"/>
    <n v="-2"/>
    <n v="0"/>
    <n v="31"/>
    <n v="1"/>
    <n v="1"/>
    <n v="1"/>
    <n v="0"/>
    <n v="249"/>
    <n v="6"/>
    <x v="2"/>
    <n v="1"/>
    <n v="2"/>
    <n v="76"/>
    <n v="1"/>
    <n v="2"/>
    <n v="2"/>
    <n v="6172"/>
    <n v="20739"/>
    <n v="4"/>
    <n v="18"/>
    <n v="3"/>
    <n v="2"/>
    <n v="80"/>
    <n v="0"/>
    <n v="12"/>
    <n v="2"/>
    <n v="7"/>
    <n v="7"/>
    <n v="7"/>
    <n v="7"/>
  </r>
  <r>
    <x v="1"/>
    <s v="Travel_Rarely"/>
    <x v="2"/>
    <s v="Current Employees"/>
    <x v="1"/>
    <x v="1"/>
    <x v="125"/>
    <n v="164"/>
    <x v="0"/>
    <x v="1"/>
    <x v="1"/>
    <s v="No"/>
    <s v="Y"/>
    <n v="3"/>
    <n v="-2"/>
    <n v="0"/>
    <n v="26"/>
    <n v="0"/>
    <m/>
    <n v="0"/>
    <n v="1"/>
    <n v="841"/>
    <n v="6"/>
    <x v="3"/>
    <n v="1"/>
    <n v="3"/>
    <n v="46"/>
    <n v="2"/>
    <n v="1"/>
    <n v="3"/>
    <n v="2368"/>
    <n v="23300"/>
    <n v="1"/>
    <n v="19"/>
    <n v="3"/>
    <n v="3"/>
    <n v="80"/>
    <n v="0"/>
    <n v="5"/>
    <n v="2"/>
    <n v="5"/>
    <n v="4"/>
    <n v="4"/>
    <n v="3"/>
  </r>
  <r>
    <x v="0"/>
    <s v="Travel_Rarely"/>
    <x v="3"/>
    <s v="Ex-Employees"/>
    <x v="1"/>
    <x v="2"/>
    <x v="126"/>
    <n v="165"/>
    <x v="0"/>
    <x v="4"/>
    <x v="1"/>
    <s v="No"/>
    <s v="Y"/>
    <n v="3"/>
    <n v="-2"/>
    <n v="0"/>
    <n v="58"/>
    <n v="1"/>
    <n v="1"/>
    <n v="1"/>
    <n v="0"/>
    <n v="147"/>
    <n v="23"/>
    <x v="2"/>
    <n v="1"/>
    <n v="4"/>
    <n v="94"/>
    <n v="3"/>
    <n v="3"/>
    <n v="4"/>
    <n v="10312"/>
    <n v="3465"/>
    <n v="1"/>
    <n v="12"/>
    <n v="3"/>
    <n v="4"/>
    <n v="80"/>
    <n v="1"/>
    <n v="40"/>
    <n v="2"/>
    <n v="40"/>
    <n v="10"/>
    <n v="15"/>
    <n v="6"/>
  </r>
  <r>
    <x v="0"/>
    <s v="Travel_Rarely"/>
    <x v="4"/>
    <s v="Ex-Employees"/>
    <x v="0"/>
    <x v="3"/>
    <x v="127"/>
    <n v="167"/>
    <x v="1"/>
    <x v="6"/>
    <x v="0"/>
    <s v="Yes"/>
    <s v="Y"/>
    <n v="2"/>
    <n v="-2"/>
    <n v="0"/>
    <n v="19"/>
    <n v="1"/>
    <n v="1"/>
    <n v="1"/>
    <n v="0"/>
    <n v="528"/>
    <n v="22"/>
    <x v="1"/>
    <n v="1"/>
    <n v="4"/>
    <n v="50"/>
    <n v="3"/>
    <n v="1"/>
    <n v="3"/>
    <n v="1675"/>
    <n v="26820"/>
    <n v="1"/>
    <n v="19"/>
    <n v="3"/>
    <n v="4"/>
    <n v="80"/>
    <n v="0"/>
    <n v="0"/>
    <n v="2"/>
    <n v="0"/>
    <n v="0"/>
    <n v="0"/>
    <n v="0"/>
  </r>
  <r>
    <x v="1"/>
    <s v="Travel_Rarely"/>
    <x v="4"/>
    <s v="Current Employees"/>
    <x v="1"/>
    <x v="4"/>
    <x v="128"/>
    <n v="169"/>
    <x v="1"/>
    <x v="2"/>
    <x v="1"/>
    <s v="No"/>
    <s v="Y"/>
    <n v="2"/>
    <n v="-2"/>
    <n v="0"/>
    <n v="22"/>
    <n v="0"/>
    <m/>
    <n v="0"/>
    <n v="1"/>
    <n v="594"/>
    <n v="2"/>
    <x v="1"/>
    <n v="1"/>
    <n v="3"/>
    <n v="100"/>
    <n v="3"/>
    <n v="1"/>
    <n v="4"/>
    <n v="2523"/>
    <n v="19299"/>
    <n v="0"/>
    <n v="14"/>
    <n v="3"/>
    <n v="3"/>
    <n v="80"/>
    <n v="1"/>
    <n v="3"/>
    <n v="3"/>
    <n v="2"/>
    <n v="1"/>
    <n v="2"/>
    <n v="1"/>
  </r>
  <r>
    <x v="1"/>
    <s v="Travel_Rarely"/>
    <x v="1"/>
    <s v="Current Employees"/>
    <x v="1"/>
    <x v="2"/>
    <x v="129"/>
    <n v="170"/>
    <x v="0"/>
    <x v="3"/>
    <x v="1"/>
    <s v="No"/>
    <s v="Y"/>
    <n v="2"/>
    <n v="-2"/>
    <n v="0"/>
    <n v="49"/>
    <n v="0"/>
    <m/>
    <n v="0"/>
    <n v="1"/>
    <n v="470"/>
    <n v="20"/>
    <x v="2"/>
    <n v="1"/>
    <n v="3"/>
    <n v="96"/>
    <n v="3"/>
    <n v="2"/>
    <n v="1"/>
    <n v="6567"/>
    <n v="5549"/>
    <n v="1"/>
    <n v="14"/>
    <n v="3"/>
    <n v="3"/>
    <n v="80"/>
    <n v="0"/>
    <n v="16"/>
    <n v="2"/>
    <n v="15"/>
    <n v="11"/>
    <n v="5"/>
    <n v="11"/>
  </r>
  <r>
    <x v="1"/>
    <s v="Travel_Frequently"/>
    <x v="0"/>
    <s v="Current Employees"/>
    <x v="1"/>
    <x v="2"/>
    <x v="130"/>
    <n v="171"/>
    <x v="0"/>
    <x v="1"/>
    <x v="0"/>
    <s v="No"/>
    <s v="Y"/>
    <n v="2"/>
    <n v="-2"/>
    <n v="0"/>
    <n v="43"/>
    <n v="0"/>
    <m/>
    <n v="0"/>
    <n v="1"/>
    <n v="957"/>
    <n v="28"/>
    <x v="3"/>
    <n v="1"/>
    <n v="2"/>
    <n v="72"/>
    <n v="4"/>
    <n v="1"/>
    <n v="3"/>
    <n v="4739"/>
    <n v="16090"/>
    <n v="4"/>
    <n v="12"/>
    <n v="3"/>
    <n v="4"/>
    <n v="80"/>
    <n v="0"/>
    <n v="18"/>
    <n v="3"/>
    <n v="3"/>
    <n v="2"/>
    <n v="1"/>
    <n v="2"/>
  </r>
  <r>
    <x v="1"/>
    <s v="Travel_Frequently"/>
    <x v="1"/>
    <s v="Current Employees"/>
    <x v="0"/>
    <x v="3"/>
    <x v="131"/>
    <n v="174"/>
    <x v="0"/>
    <x v="0"/>
    <x v="0"/>
    <s v="No"/>
    <s v="Y"/>
    <n v="3"/>
    <n v="-2"/>
    <n v="0"/>
    <n v="50"/>
    <n v="0"/>
    <m/>
    <n v="0"/>
    <n v="1"/>
    <n v="809"/>
    <n v="12"/>
    <x v="3"/>
    <n v="1"/>
    <n v="3"/>
    <n v="77"/>
    <n v="3"/>
    <n v="3"/>
    <n v="4"/>
    <n v="9208"/>
    <n v="6645"/>
    <n v="4"/>
    <n v="11"/>
    <n v="3"/>
    <n v="4"/>
    <n v="80"/>
    <n v="0"/>
    <n v="16"/>
    <n v="3"/>
    <n v="2"/>
    <n v="2"/>
    <n v="2"/>
    <n v="1"/>
  </r>
  <r>
    <x v="0"/>
    <s v="Travel_Rarely"/>
    <x v="2"/>
    <s v="Ex-Employees"/>
    <x v="0"/>
    <x v="0"/>
    <x v="132"/>
    <n v="175"/>
    <x v="0"/>
    <x v="0"/>
    <x v="1"/>
    <s v="Yes"/>
    <s v="Y"/>
    <n v="2"/>
    <n v="-2"/>
    <n v="0"/>
    <n v="31"/>
    <n v="1"/>
    <n v="1"/>
    <n v="1"/>
    <n v="0"/>
    <n v="542"/>
    <n v="20"/>
    <x v="3"/>
    <n v="1"/>
    <n v="2"/>
    <n v="71"/>
    <n v="1"/>
    <n v="2"/>
    <n v="2"/>
    <n v="4559"/>
    <n v="24788"/>
    <n v="3"/>
    <n v="11"/>
    <n v="3"/>
    <n v="3"/>
    <n v="80"/>
    <n v="1"/>
    <n v="4"/>
    <n v="3"/>
    <n v="2"/>
    <n v="2"/>
    <n v="2"/>
    <n v="2"/>
  </r>
  <r>
    <x v="1"/>
    <s v="Travel_Rarely"/>
    <x v="0"/>
    <s v="Current Employees"/>
    <x v="0"/>
    <x v="0"/>
    <x v="133"/>
    <n v="176"/>
    <x v="1"/>
    <x v="0"/>
    <x v="2"/>
    <s v="Yes"/>
    <s v="Y"/>
    <n v="2"/>
    <n v="-2"/>
    <n v="0"/>
    <n v="41"/>
    <n v="0"/>
    <m/>
    <n v="0"/>
    <n v="1"/>
    <n v="802"/>
    <n v="9"/>
    <x v="1"/>
    <n v="1"/>
    <n v="3"/>
    <n v="96"/>
    <n v="3"/>
    <n v="3"/>
    <n v="2"/>
    <n v="8189"/>
    <n v="21196"/>
    <n v="3"/>
    <n v="13"/>
    <n v="3"/>
    <n v="3"/>
    <n v="80"/>
    <n v="1"/>
    <n v="12"/>
    <n v="3"/>
    <n v="9"/>
    <n v="7"/>
    <n v="0"/>
    <n v="7"/>
  </r>
  <r>
    <x v="1"/>
    <s v="Travel_Rarely"/>
    <x v="2"/>
    <s v="Current Employees"/>
    <x v="2"/>
    <x v="0"/>
    <x v="134"/>
    <n v="177"/>
    <x v="0"/>
    <x v="8"/>
    <x v="1"/>
    <s v="No"/>
    <s v="Y"/>
    <n v="3"/>
    <n v="-2"/>
    <n v="0"/>
    <n v="26"/>
    <n v="0"/>
    <m/>
    <n v="0"/>
    <n v="1"/>
    <n v="1355"/>
    <n v="25"/>
    <x v="1"/>
    <n v="1"/>
    <n v="3"/>
    <n v="61"/>
    <n v="3"/>
    <n v="1"/>
    <n v="2"/>
    <n v="2942"/>
    <n v="8916"/>
    <n v="1"/>
    <n v="23"/>
    <n v="4"/>
    <n v="4"/>
    <n v="80"/>
    <n v="1"/>
    <n v="8"/>
    <n v="3"/>
    <n v="8"/>
    <n v="7"/>
    <n v="5"/>
    <n v="7"/>
  </r>
  <r>
    <x v="1"/>
    <s v="Travel_Rarely"/>
    <x v="0"/>
    <s v="Current Employees"/>
    <x v="1"/>
    <x v="2"/>
    <x v="135"/>
    <n v="178"/>
    <x v="1"/>
    <x v="3"/>
    <x v="2"/>
    <s v="No"/>
    <s v="Y"/>
    <n v="0"/>
    <n v="-2"/>
    <n v="0"/>
    <n v="36"/>
    <n v="0"/>
    <m/>
    <n v="0"/>
    <n v="1"/>
    <n v="216"/>
    <n v="6"/>
    <x v="0"/>
    <n v="1"/>
    <n v="2"/>
    <n v="84"/>
    <n v="3"/>
    <n v="2"/>
    <n v="3"/>
    <n v="4941"/>
    <n v="2819"/>
    <n v="6"/>
    <n v="20"/>
    <n v="4"/>
    <n v="4"/>
    <n v="80"/>
    <n v="2"/>
    <n v="7"/>
    <n v="3"/>
    <n v="3"/>
    <n v="2"/>
    <n v="0"/>
    <n v="1"/>
  </r>
  <r>
    <x v="0"/>
    <s v="Travel_Frequently"/>
    <x v="1"/>
    <s v="Ex-Employees"/>
    <x v="1"/>
    <x v="0"/>
    <x v="136"/>
    <n v="179"/>
    <x v="1"/>
    <x v="3"/>
    <x v="0"/>
    <s v="No"/>
    <s v="Y"/>
    <n v="2"/>
    <n v="-2"/>
    <n v="0"/>
    <n v="51"/>
    <n v="1"/>
    <n v="1"/>
    <n v="1"/>
    <n v="0"/>
    <n v="1150"/>
    <n v="8"/>
    <x v="2"/>
    <n v="1"/>
    <n v="1"/>
    <n v="53"/>
    <n v="1"/>
    <n v="3"/>
    <n v="2"/>
    <n v="10650"/>
    <n v="25150"/>
    <n v="2"/>
    <n v="15"/>
    <n v="3"/>
    <n v="4"/>
    <n v="80"/>
    <n v="0"/>
    <n v="18"/>
    <n v="3"/>
    <n v="4"/>
    <n v="2"/>
    <n v="0"/>
    <n v="3"/>
  </r>
  <r>
    <x v="1"/>
    <s v="Travel_Rarely"/>
    <x v="0"/>
    <s v="Current Employees"/>
    <x v="0"/>
    <x v="0"/>
    <x v="137"/>
    <n v="182"/>
    <x v="0"/>
    <x v="0"/>
    <x v="1"/>
    <s v="No"/>
    <s v="Y"/>
    <n v="1"/>
    <n v="-2"/>
    <n v="0"/>
    <n v="39"/>
    <n v="0"/>
    <m/>
    <n v="0"/>
    <n v="1"/>
    <n v="1329"/>
    <n v="4"/>
    <x v="2"/>
    <n v="1"/>
    <n v="4"/>
    <n v="47"/>
    <n v="2"/>
    <n v="2"/>
    <n v="2"/>
    <n v="5902"/>
    <n v="14590"/>
    <n v="4"/>
    <n v="14"/>
    <n v="3"/>
    <n v="3"/>
    <n v="80"/>
    <n v="1"/>
    <n v="17"/>
    <n v="4"/>
    <n v="15"/>
    <n v="11"/>
    <n v="5"/>
    <n v="9"/>
  </r>
  <r>
    <x v="1"/>
    <s v="Travel_Rarely"/>
    <x v="2"/>
    <s v="Current Employees"/>
    <x v="0"/>
    <x v="0"/>
    <x v="138"/>
    <n v="183"/>
    <x v="1"/>
    <x v="0"/>
    <x v="1"/>
    <s v="No"/>
    <s v="Y"/>
    <n v="3"/>
    <n v="-2"/>
    <n v="0"/>
    <n v="25"/>
    <n v="0"/>
    <m/>
    <n v="0"/>
    <n v="1"/>
    <n v="959"/>
    <n v="28"/>
    <x v="3"/>
    <n v="1"/>
    <n v="1"/>
    <n v="41"/>
    <n v="2"/>
    <n v="2"/>
    <n v="2"/>
    <n v="8639"/>
    <n v="24835"/>
    <n v="2"/>
    <n v="18"/>
    <n v="3"/>
    <n v="4"/>
    <n v="80"/>
    <n v="0"/>
    <n v="6"/>
    <n v="3"/>
    <n v="2"/>
    <n v="2"/>
    <n v="2"/>
    <n v="2"/>
  </r>
  <r>
    <x v="1"/>
    <s v="Travel_Rarely"/>
    <x v="2"/>
    <s v="Current Employees"/>
    <x v="2"/>
    <x v="5"/>
    <x v="139"/>
    <n v="184"/>
    <x v="1"/>
    <x v="8"/>
    <x v="1"/>
    <s v="Yes"/>
    <s v="Y"/>
    <n v="2"/>
    <n v="-2"/>
    <n v="0"/>
    <n v="30"/>
    <n v="0"/>
    <m/>
    <n v="0"/>
    <n v="1"/>
    <n v="1240"/>
    <n v="9"/>
    <x v="3"/>
    <n v="1"/>
    <n v="3"/>
    <n v="48"/>
    <n v="3"/>
    <n v="2"/>
    <n v="4"/>
    <n v="6347"/>
    <n v="13982"/>
    <n v="0"/>
    <n v="19"/>
    <n v="3"/>
    <n v="4"/>
    <n v="80"/>
    <n v="0"/>
    <n v="12"/>
    <n v="1"/>
    <n v="11"/>
    <n v="9"/>
    <n v="4"/>
    <n v="7"/>
  </r>
  <r>
    <x v="0"/>
    <s v="Travel_Rarely"/>
    <x v="2"/>
    <s v="Ex-Employees"/>
    <x v="1"/>
    <x v="2"/>
    <x v="140"/>
    <n v="190"/>
    <x v="0"/>
    <x v="2"/>
    <x v="0"/>
    <s v="No"/>
    <s v="Y"/>
    <n v="2"/>
    <n v="-2"/>
    <n v="0"/>
    <n v="32"/>
    <n v="1"/>
    <n v="1"/>
    <n v="1"/>
    <n v="0"/>
    <n v="1033"/>
    <n v="9"/>
    <x v="3"/>
    <n v="1"/>
    <n v="1"/>
    <n v="41"/>
    <n v="3"/>
    <n v="1"/>
    <n v="1"/>
    <n v="4200"/>
    <n v="10224"/>
    <n v="7"/>
    <n v="22"/>
    <n v="4"/>
    <n v="1"/>
    <n v="80"/>
    <n v="0"/>
    <n v="10"/>
    <n v="4"/>
    <n v="5"/>
    <n v="4"/>
    <n v="0"/>
    <n v="4"/>
  </r>
  <r>
    <x v="1"/>
    <s v="Travel_Rarely"/>
    <x v="1"/>
    <s v="Current Employees"/>
    <x v="1"/>
    <x v="2"/>
    <x v="141"/>
    <n v="192"/>
    <x v="1"/>
    <x v="1"/>
    <x v="0"/>
    <s v="No"/>
    <s v="Y"/>
    <n v="2"/>
    <n v="-2"/>
    <n v="0"/>
    <n v="45"/>
    <n v="0"/>
    <m/>
    <n v="0"/>
    <n v="1"/>
    <n v="1316"/>
    <n v="29"/>
    <x v="3"/>
    <n v="1"/>
    <n v="3"/>
    <n v="83"/>
    <n v="3"/>
    <n v="1"/>
    <n v="4"/>
    <n v="3452"/>
    <n v="9752"/>
    <n v="5"/>
    <n v="13"/>
    <n v="3"/>
    <n v="2"/>
    <n v="80"/>
    <n v="0"/>
    <n v="9"/>
    <n v="2"/>
    <n v="6"/>
    <n v="5"/>
    <n v="0"/>
    <n v="3"/>
  </r>
  <r>
    <x v="1"/>
    <s v="Travel_Rarely"/>
    <x v="0"/>
    <s v="Current Employees"/>
    <x v="1"/>
    <x v="4"/>
    <x v="142"/>
    <n v="193"/>
    <x v="0"/>
    <x v="1"/>
    <x v="0"/>
    <s v="Yes"/>
    <s v="Y"/>
    <n v="2"/>
    <n v="-2"/>
    <n v="0"/>
    <n v="38"/>
    <n v="0"/>
    <m/>
    <n v="0"/>
    <n v="1"/>
    <n v="364"/>
    <n v="3"/>
    <x v="4"/>
    <n v="1"/>
    <n v="4"/>
    <n v="32"/>
    <n v="3"/>
    <n v="2"/>
    <n v="3"/>
    <n v="4317"/>
    <n v="2302"/>
    <n v="3"/>
    <n v="20"/>
    <n v="4"/>
    <n v="2"/>
    <n v="80"/>
    <n v="0"/>
    <n v="19"/>
    <n v="3"/>
    <n v="3"/>
    <n v="2"/>
    <n v="2"/>
    <n v="2"/>
  </r>
  <r>
    <x v="1"/>
    <s v="Travel_Rarely"/>
    <x v="2"/>
    <s v="Current Employees"/>
    <x v="1"/>
    <x v="0"/>
    <x v="143"/>
    <n v="194"/>
    <x v="0"/>
    <x v="1"/>
    <x v="0"/>
    <s v="No"/>
    <s v="Y"/>
    <n v="4"/>
    <n v="-2"/>
    <n v="0"/>
    <n v="30"/>
    <n v="0"/>
    <m/>
    <n v="0"/>
    <n v="1"/>
    <n v="438"/>
    <n v="18"/>
    <x v="3"/>
    <n v="1"/>
    <n v="1"/>
    <n v="75"/>
    <n v="3"/>
    <n v="1"/>
    <n v="2"/>
    <n v="2632"/>
    <n v="23910"/>
    <n v="1"/>
    <n v="14"/>
    <n v="3"/>
    <n v="3"/>
    <n v="80"/>
    <n v="0"/>
    <n v="5"/>
    <n v="2"/>
    <n v="5"/>
    <n v="4"/>
    <n v="0"/>
    <n v="4"/>
  </r>
  <r>
    <x v="1"/>
    <s v="Travel_Frequently"/>
    <x v="2"/>
    <s v="Current Employees"/>
    <x v="0"/>
    <x v="2"/>
    <x v="144"/>
    <n v="195"/>
    <x v="1"/>
    <x v="0"/>
    <x v="2"/>
    <s v="No"/>
    <s v="Y"/>
    <n v="2"/>
    <n v="-2"/>
    <n v="0"/>
    <n v="32"/>
    <n v="0"/>
    <m/>
    <n v="0"/>
    <n v="1"/>
    <n v="689"/>
    <n v="9"/>
    <x v="0"/>
    <n v="1"/>
    <n v="4"/>
    <n v="35"/>
    <n v="1"/>
    <n v="2"/>
    <n v="4"/>
    <n v="4668"/>
    <n v="22812"/>
    <n v="0"/>
    <n v="17"/>
    <n v="3"/>
    <n v="4"/>
    <n v="80"/>
    <n v="3"/>
    <n v="9"/>
    <n v="4"/>
    <n v="8"/>
    <n v="7"/>
    <n v="0"/>
    <n v="7"/>
  </r>
  <r>
    <x v="1"/>
    <s v="Travel_Rarely"/>
    <x v="2"/>
    <s v="Current Employees"/>
    <x v="1"/>
    <x v="4"/>
    <x v="145"/>
    <n v="197"/>
    <x v="0"/>
    <x v="1"/>
    <x v="2"/>
    <s v="No"/>
    <s v="Y"/>
    <n v="3"/>
    <n v="-2"/>
    <n v="0"/>
    <n v="30"/>
    <n v="0"/>
    <m/>
    <n v="0"/>
    <n v="1"/>
    <n v="201"/>
    <n v="5"/>
    <x v="3"/>
    <n v="1"/>
    <n v="4"/>
    <n v="84"/>
    <n v="3"/>
    <n v="1"/>
    <n v="4"/>
    <n v="3204"/>
    <n v="10415"/>
    <n v="5"/>
    <n v="14"/>
    <n v="3"/>
    <n v="4"/>
    <n v="80"/>
    <n v="1"/>
    <n v="8"/>
    <n v="3"/>
    <n v="3"/>
    <n v="2"/>
    <n v="2"/>
    <n v="2"/>
  </r>
  <r>
    <x v="1"/>
    <s v="Travel_Rarely"/>
    <x v="2"/>
    <s v="Current Employees"/>
    <x v="1"/>
    <x v="2"/>
    <x v="146"/>
    <n v="198"/>
    <x v="1"/>
    <x v="2"/>
    <x v="0"/>
    <s v="No"/>
    <s v="Y"/>
    <n v="3"/>
    <n v="-2"/>
    <n v="0"/>
    <n v="30"/>
    <n v="0"/>
    <m/>
    <n v="0"/>
    <n v="1"/>
    <n v="1427"/>
    <n v="2"/>
    <x v="1"/>
    <n v="1"/>
    <n v="2"/>
    <n v="35"/>
    <n v="2"/>
    <n v="1"/>
    <n v="4"/>
    <n v="2720"/>
    <n v="11162"/>
    <n v="0"/>
    <n v="13"/>
    <n v="3"/>
    <n v="4"/>
    <n v="80"/>
    <n v="0"/>
    <n v="6"/>
    <n v="3"/>
    <n v="5"/>
    <n v="3"/>
    <n v="1"/>
    <n v="2"/>
  </r>
  <r>
    <x v="1"/>
    <s v="Travel_Frequently"/>
    <x v="0"/>
    <s v="Current Employees"/>
    <x v="1"/>
    <x v="0"/>
    <x v="147"/>
    <n v="199"/>
    <x v="1"/>
    <x v="5"/>
    <x v="2"/>
    <s v="No"/>
    <s v="Y"/>
    <n v="2"/>
    <n v="-2"/>
    <n v="0"/>
    <n v="41"/>
    <n v="0"/>
    <m/>
    <n v="0"/>
    <n v="1"/>
    <n v="857"/>
    <n v="10"/>
    <x v="3"/>
    <n v="1"/>
    <n v="4"/>
    <n v="91"/>
    <n v="2"/>
    <n v="4"/>
    <n v="2"/>
    <n v="17181"/>
    <n v="12888"/>
    <n v="4"/>
    <n v="13"/>
    <n v="3"/>
    <n v="2"/>
    <n v="80"/>
    <n v="1"/>
    <n v="21"/>
    <n v="2"/>
    <n v="7"/>
    <n v="6"/>
    <n v="7"/>
    <n v="7"/>
  </r>
  <r>
    <x v="1"/>
    <s v="Travel_Rarely"/>
    <x v="0"/>
    <s v="Current Employees"/>
    <x v="1"/>
    <x v="0"/>
    <x v="148"/>
    <n v="200"/>
    <x v="1"/>
    <x v="2"/>
    <x v="1"/>
    <s v="No"/>
    <s v="Y"/>
    <n v="2"/>
    <n v="-2"/>
    <n v="0"/>
    <n v="41"/>
    <n v="0"/>
    <m/>
    <n v="0"/>
    <n v="1"/>
    <n v="933"/>
    <n v="9"/>
    <x v="2"/>
    <n v="1"/>
    <n v="3"/>
    <n v="94"/>
    <n v="3"/>
    <n v="1"/>
    <n v="2"/>
    <n v="2238"/>
    <n v="6961"/>
    <n v="2"/>
    <n v="21"/>
    <n v="4"/>
    <n v="4"/>
    <n v="80"/>
    <n v="1"/>
    <n v="7"/>
    <n v="3"/>
    <n v="5"/>
    <n v="0"/>
    <n v="1"/>
    <n v="4"/>
  </r>
  <r>
    <x v="1"/>
    <s v="Travel_Rarely"/>
    <x v="4"/>
    <s v="Current Employees"/>
    <x v="1"/>
    <x v="2"/>
    <x v="149"/>
    <n v="201"/>
    <x v="0"/>
    <x v="2"/>
    <x v="0"/>
    <s v="No"/>
    <s v="Y"/>
    <n v="3"/>
    <n v="-2"/>
    <n v="0"/>
    <n v="19"/>
    <n v="0"/>
    <m/>
    <n v="0"/>
    <n v="1"/>
    <n v="1181"/>
    <n v="3"/>
    <x v="1"/>
    <n v="1"/>
    <n v="2"/>
    <n v="79"/>
    <n v="3"/>
    <n v="1"/>
    <n v="3"/>
    <n v="1483"/>
    <n v="16102"/>
    <n v="1"/>
    <n v="14"/>
    <n v="3"/>
    <n v="4"/>
    <n v="80"/>
    <n v="0"/>
    <n v="1"/>
    <n v="3"/>
    <n v="1"/>
    <n v="0"/>
    <n v="0"/>
    <n v="0"/>
  </r>
  <r>
    <x v="1"/>
    <s v="Travel_Frequently"/>
    <x v="0"/>
    <s v="Current Employees"/>
    <x v="1"/>
    <x v="2"/>
    <x v="150"/>
    <n v="202"/>
    <x v="0"/>
    <x v="1"/>
    <x v="2"/>
    <s v="No"/>
    <s v="Y"/>
    <n v="2"/>
    <n v="-2"/>
    <n v="0"/>
    <n v="40"/>
    <n v="0"/>
    <m/>
    <n v="0"/>
    <n v="1"/>
    <n v="1395"/>
    <n v="26"/>
    <x v="3"/>
    <n v="1"/>
    <n v="2"/>
    <n v="54"/>
    <n v="3"/>
    <n v="2"/>
    <n v="3"/>
    <n v="5605"/>
    <n v="8504"/>
    <n v="1"/>
    <n v="11"/>
    <n v="3"/>
    <n v="1"/>
    <n v="80"/>
    <n v="1"/>
    <n v="20"/>
    <n v="3"/>
    <n v="20"/>
    <n v="7"/>
    <n v="2"/>
    <n v="13"/>
  </r>
  <r>
    <x v="1"/>
    <s v="Travel_Rarely"/>
    <x v="0"/>
    <s v="Current Employees"/>
    <x v="0"/>
    <x v="3"/>
    <x v="151"/>
    <n v="204"/>
    <x v="1"/>
    <x v="0"/>
    <x v="1"/>
    <s v="No"/>
    <s v="Y"/>
    <n v="3"/>
    <n v="-2"/>
    <n v="0"/>
    <n v="35"/>
    <n v="0"/>
    <m/>
    <n v="0"/>
    <n v="1"/>
    <n v="662"/>
    <n v="1"/>
    <x v="4"/>
    <n v="1"/>
    <n v="3"/>
    <n v="94"/>
    <n v="3"/>
    <n v="3"/>
    <n v="3"/>
    <n v="7295"/>
    <n v="11439"/>
    <n v="1"/>
    <n v="13"/>
    <n v="3"/>
    <n v="1"/>
    <n v="80"/>
    <n v="2"/>
    <n v="10"/>
    <n v="3"/>
    <n v="10"/>
    <n v="8"/>
    <n v="0"/>
    <n v="6"/>
  </r>
  <r>
    <x v="1"/>
    <s v="Travel_Rarely"/>
    <x v="1"/>
    <s v="Current Employees"/>
    <x v="0"/>
    <x v="3"/>
    <x v="152"/>
    <n v="205"/>
    <x v="1"/>
    <x v="6"/>
    <x v="1"/>
    <s v="Yes"/>
    <s v="Y"/>
    <n v="3"/>
    <n v="-2"/>
    <n v="0"/>
    <n v="53"/>
    <n v="0"/>
    <m/>
    <n v="0"/>
    <n v="1"/>
    <n v="1436"/>
    <n v="6"/>
    <x v="0"/>
    <n v="1"/>
    <n v="2"/>
    <n v="34"/>
    <n v="3"/>
    <n v="2"/>
    <n v="3"/>
    <n v="2306"/>
    <n v="16047"/>
    <n v="2"/>
    <n v="20"/>
    <n v="4"/>
    <n v="4"/>
    <n v="80"/>
    <n v="1"/>
    <n v="13"/>
    <n v="1"/>
    <n v="7"/>
    <n v="7"/>
    <n v="4"/>
    <n v="5"/>
  </r>
  <r>
    <x v="1"/>
    <s v="Travel_Rarely"/>
    <x v="1"/>
    <s v="Current Employees"/>
    <x v="1"/>
    <x v="0"/>
    <x v="153"/>
    <n v="206"/>
    <x v="1"/>
    <x v="2"/>
    <x v="2"/>
    <s v="No"/>
    <s v="Y"/>
    <n v="2"/>
    <n v="-2"/>
    <n v="0"/>
    <n v="45"/>
    <n v="0"/>
    <m/>
    <n v="0"/>
    <n v="1"/>
    <n v="194"/>
    <n v="9"/>
    <x v="3"/>
    <n v="1"/>
    <n v="2"/>
    <n v="60"/>
    <n v="3"/>
    <n v="2"/>
    <n v="2"/>
    <n v="2348"/>
    <n v="10901"/>
    <n v="8"/>
    <n v="18"/>
    <n v="3"/>
    <n v="3"/>
    <n v="80"/>
    <n v="1"/>
    <n v="20"/>
    <n v="1"/>
    <n v="17"/>
    <n v="9"/>
    <n v="0"/>
    <n v="15"/>
  </r>
  <r>
    <x v="1"/>
    <s v="Travel_Frequently"/>
    <x v="2"/>
    <s v="Current Employees"/>
    <x v="0"/>
    <x v="3"/>
    <x v="154"/>
    <n v="207"/>
    <x v="0"/>
    <x v="0"/>
    <x v="0"/>
    <s v="No"/>
    <s v="Y"/>
    <n v="2"/>
    <n v="-2"/>
    <n v="0"/>
    <n v="32"/>
    <n v="0"/>
    <m/>
    <n v="0"/>
    <n v="1"/>
    <n v="967"/>
    <n v="8"/>
    <x v="3"/>
    <n v="1"/>
    <n v="2"/>
    <n v="43"/>
    <n v="3"/>
    <n v="3"/>
    <n v="4"/>
    <n v="8998"/>
    <n v="15589"/>
    <n v="1"/>
    <n v="14"/>
    <n v="3"/>
    <n v="4"/>
    <n v="80"/>
    <n v="0"/>
    <n v="9"/>
    <n v="3"/>
    <n v="9"/>
    <n v="8"/>
    <n v="3"/>
    <n v="7"/>
  </r>
  <r>
    <x v="1"/>
    <s v="Non-Travel"/>
    <x v="2"/>
    <s v="Current Employees"/>
    <x v="1"/>
    <x v="4"/>
    <x v="155"/>
    <n v="208"/>
    <x v="1"/>
    <x v="3"/>
    <x v="1"/>
    <s v="No"/>
    <s v="Y"/>
    <n v="1"/>
    <n v="-2"/>
    <n v="0"/>
    <n v="29"/>
    <n v="0"/>
    <m/>
    <n v="0"/>
    <n v="1"/>
    <n v="1496"/>
    <n v="1"/>
    <x v="1"/>
    <n v="1"/>
    <n v="4"/>
    <n v="41"/>
    <n v="3"/>
    <n v="2"/>
    <n v="4"/>
    <n v="4319"/>
    <n v="26283"/>
    <n v="1"/>
    <n v="13"/>
    <n v="3"/>
    <n v="1"/>
    <n v="80"/>
    <n v="1"/>
    <n v="10"/>
    <n v="3"/>
    <n v="10"/>
    <n v="7"/>
    <n v="0"/>
    <n v="9"/>
  </r>
  <r>
    <x v="1"/>
    <s v="Travel_Rarely"/>
    <x v="1"/>
    <s v="Current Employees"/>
    <x v="1"/>
    <x v="2"/>
    <x v="156"/>
    <n v="211"/>
    <x v="1"/>
    <x v="3"/>
    <x v="1"/>
    <s v="No"/>
    <s v="Y"/>
    <n v="2"/>
    <n v="-2"/>
    <n v="0"/>
    <n v="51"/>
    <n v="0"/>
    <m/>
    <n v="0"/>
    <n v="1"/>
    <n v="1169"/>
    <n v="7"/>
    <x v="2"/>
    <n v="1"/>
    <n v="2"/>
    <n v="34"/>
    <n v="2"/>
    <n v="2"/>
    <n v="3"/>
    <n v="6132"/>
    <n v="13983"/>
    <n v="2"/>
    <n v="17"/>
    <n v="3"/>
    <n v="3"/>
    <n v="80"/>
    <n v="0"/>
    <n v="10"/>
    <n v="3"/>
    <n v="1"/>
    <n v="0"/>
    <n v="0"/>
    <n v="0"/>
  </r>
  <r>
    <x v="1"/>
    <s v="Travel_Rarely"/>
    <x v="3"/>
    <s v="Current Employees"/>
    <x v="1"/>
    <x v="2"/>
    <x v="157"/>
    <n v="214"/>
    <x v="0"/>
    <x v="1"/>
    <x v="1"/>
    <s v="Yes"/>
    <s v="Y"/>
    <n v="3"/>
    <n v="-2"/>
    <n v="0"/>
    <n v="58"/>
    <n v="0"/>
    <m/>
    <n v="0"/>
    <n v="1"/>
    <n v="1145"/>
    <n v="9"/>
    <x v="3"/>
    <n v="1"/>
    <n v="2"/>
    <n v="75"/>
    <n v="2"/>
    <n v="1"/>
    <n v="3"/>
    <n v="3346"/>
    <n v="11873"/>
    <n v="4"/>
    <n v="20"/>
    <n v="4"/>
    <n v="2"/>
    <n v="80"/>
    <n v="1"/>
    <n v="9"/>
    <n v="2"/>
    <n v="1"/>
    <n v="0"/>
    <n v="0"/>
    <n v="0"/>
  </r>
  <r>
    <x v="1"/>
    <s v="Travel_Rarely"/>
    <x v="0"/>
    <s v="Current Employees"/>
    <x v="0"/>
    <x v="3"/>
    <x v="158"/>
    <n v="215"/>
    <x v="1"/>
    <x v="0"/>
    <x v="1"/>
    <s v="No"/>
    <s v="Y"/>
    <n v="2"/>
    <n v="-2"/>
    <n v="0"/>
    <n v="40"/>
    <n v="0"/>
    <m/>
    <n v="0"/>
    <n v="1"/>
    <n v="630"/>
    <n v="4"/>
    <x v="2"/>
    <n v="1"/>
    <n v="3"/>
    <n v="67"/>
    <n v="2"/>
    <n v="3"/>
    <n v="4"/>
    <n v="10855"/>
    <n v="8552"/>
    <n v="7"/>
    <n v="11"/>
    <n v="3"/>
    <n v="1"/>
    <n v="80"/>
    <n v="1"/>
    <n v="15"/>
    <n v="2"/>
    <n v="12"/>
    <n v="11"/>
    <n v="2"/>
    <n v="11"/>
  </r>
  <r>
    <x v="1"/>
    <s v="Travel_Frequently"/>
    <x v="2"/>
    <s v="Current Employees"/>
    <x v="0"/>
    <x v="3"/>
    <x v="159"/>
    <n v="216"/>
    <x v="0"/>
    <x v="6"/>
    <x v="1"/>
    <s v="No"/>
    <s v="Y"/>
    <n v="3"/>
    <n v="-2"/>
    <n v="0"/>
    <n v="34"/>
    <n v="0"/>
    <m/>
    <n v="0"/>
    <n v="1"/>
    <n v="303"/>
    <n v="2"/>
    <x v="2"/>
    <n v="1"/>
    <n v="3"/>
    <n v="75"/>
    <n v="3"/>
    <n v="1"/>
    <n v="3"/>
    <n v="2231"/>
    <n v="11314"/>
    <n v="6"/>
    <n v="18"/>
    <n v="3"/>
    <n v="4"/>
    <n v="80"/>
    <n v="1"/>
    <n v="6"/>
    <n v="3"/>
    <n v="4"/>
    <n v="3"/>
    <n v="1"/>
    <n v="2"/>
  </r>
  <r>
    <x v="1"/>
    <s v="Travel_Rarely"/>
    <x v="4"/>
    <s v="Current Employees"/>
    <x v="1"/>
    <x v="2"/>
    <x v="160"/>
    <n v="217"/>
    <x v="1"/>
    <x v="1"/>
    <x v="1"/>
    <s v="No"/>
    <s v="Y"/>
    <n v="6"/>
    <n v="-2"/>
    <n v="0"/>
    <n v="22"/>
    <n v="0"/>
    <m/>
    <n v="0"/>
    <n v="1"/>
    <n v="1256"/>
    <n v="19"/>
    <x v="1"/>
    <n v="1"/>
    <n v="3"/>
    <n v="80"/>
    <n v="3"/>
    <n v="1"/>
    <n v="4"/>
    <n v="2323"/>
    <n v="11992"/>
    <n v="1"/>
    <n v="24"/>
    <n v="4"/>
    <n v="1"/>
    <n v="80"/>
    <n v="2"/>
    <n v="2"/>
    <n v="3"/>
    <n v="2"/>
    <n v="2"/>
    <n v="2"/>
    <n v="2"/>
  </r>
  <r>
    <x v="1"/>
    <s v="Non-Travel"/>
    <x v="2"/>
    <s v="Current Employees"/>
    <x v="1"/>
    <x v="2"/>
    <x v="161"/>
    <n v="218"/>
    <x v="1"/>
    <x v="1"/>
    <x v="2"/>
    <s v="No"/>
    <s v="Y"/>
    <n v="1"/>
    <n v="-2"/>
    <n v="0"/>
    <n v="27"/>
    <n v="0"/>
    <m/>
    <n v="0"/>
    <n v="1"/>
    <n v="691"/>
    <n v="9"/>
    <x v="3"/>
    <n v="1"/>
    <n v="4"/>
    <n v="57"/>
    <n v="3"/>
    <n v="1"/>
    <n v="3"/>
    <n v="2024"/>
    <n v="5970"/>
    <n v="6"/>
    <n v="18"/>
    <n v="3"/>
    <n v="4"/>
    <n v="80"/>
    <n v="1"/>
    <n v="6"/>
    <n v="1"/>
    <n v="2"/>
    <n v="2"/>
    <n v="2"/>
    <n v="2"/>
  </r>
  <r>
    <x v="1"/>
    <s v="Travel_Rarely"/>
    <x v="2"/>
    <s v="Current Employees"/>
    <x v="1"/>
    <x v="2"/>
    <x v="162"/>
    <n v="221"/>
    <x v="1"/>
    <x v="1"/>
    <x v="1"/>
    <s v="No"/>
    <s v="Y"/>
    <n v="2"/>
    <n v="-2"/>
    <n v="0"/>
    <n v="28"/>
    <n v="0"/>
    <m/>
    <n v="0"/>
    <n v="1"/>
    <n v="440"/>
    <n v="21"/>
    <x v="3"/>
    <n v="1"/>
    <n v="3"/>
    <n v="42"/>
    <n v="3"/>
    <n v="1"/>
    <n v="4"/>
    <n v="2713"/>
    <n v="6672"/>
    <n v="1"/>
    <n v="11"/>
    <n v="3"/>
    <n v="3"/>
    <n v="80"/>
    <n v="1"/>
    <n v="5"/>
    <n v="1"/>
    <n v="5"/>
    <n v="2"/>
    <n v="0"/>
    <n v="2"/>
  </r>
  <r>
    <x v="1"/>
    <s v="Travel_Rarely"/>
    <x v="3"/>
    <s v="Current Employees"/>
    <x v="1"/>
    <x v="0"/>
    <x v="163"/>
    <n v="223"/>
    <x v="1"/>
    <x v="4"/>
    <x v="2"/>
    <s v="Yes"/>
    <s v="Y"/>
    <n v="2"/>
    <n v="-2"/>
    <n v="0"/>
    <n v="57"/>
    <n v="0"/>
    <m/>
    <n v="0"/>
    <n v="1"/>
    <n v="334"/>
    <n v="24"/>
    <x v="0"/>
    <n v="1"/>
    <n v="3"/>
    <n v="83"/>
    <n v="4"/>
    <n v="3"/>
    <n v="2"/>
    <n v="9439"/>
    <n v="23402"/>
    <n v="3"/>
    <n v="16"/>
    <n v="3"/>
    <n v="2"/>
    <n v="80"/>
    <n v="1"/>
    <n v="12"/>
    <n v="1"/>
    <n v="5"/>
    <n v="3"/>
    <n v="1"/>
    <n v="4"/>
  </r>
  <r>
    <x v="1"/>
    <s v="Non-Travel"/>
    <x v="2"/>
    <s v="Current Employees"/>
    <x v="1"/>
    <x v="2"/>
    <x v="164"/>
    <n v="224"/>
    <x v="1"/>
    <x v="1"/>
    <x v="2"/>
    <s v="Yes"/>
    <s v="Y"/>
    <n v="2"/>
    <n v="-2"/>
    <n v="0"/>
    <n v="27"/>
    <n v="0"/>
    <m/>
    <n v="0"/>
    <n v="1"/>
    <n v="1450"/>
    <n v="3"/>
    <x v="3"/>
    <n v="1"/>
    <n v="3"/>
    <n v="79"/>
    <n v="2"/>
    <n v="1"/>
    <n v="3"/>
    <n v="2566"/>
    <n v="25326"/>
    <n v="1"/>
    <n v="15"/>
    <n v="3"/>
    <n v="4"/>
    <n v="80"/>
    <n v="1"/>
    <n v="1"/>
    <n v="2"/>
    <n v="1"/>
    <n v="1"/>
    <n v="0"/>
    <n v="1"/>
  </r>
  <r>
    <x v="1"/>
    <s v="Travel_Rarely"/>
    <x v="1"/>
    <s v="Current Employees"/>
    <x v="1"/>
    <x v="0"/>
    <x v="165"/>
    <n v="226"/>
    <x v="0"/>
    <x v="5"/>
    <x v="0"/>
    <s v="No"/>
    <s v="Y"/>
    <n v="5"/>
    <n v="-2"/>
    <n v="0"/>
    <n v="50"/>
    <n v="0"/>
    <m/>
    <n v="0"/>
    <n v="1"/>
    <n v="1452"/>
    <n v="11"/>
    <x v="3"/>
    <n v="1"/>
    <n v="3"/>
    <n v="53"/>
    <n v="3"/>
    <n v="5"/>
    <n v="2"/>
    <n v="19926"/>
    <n v="17053"/>
    <n v="3"/>
    <n v="15"/>
    <n v="3"/>
    <n v="2"/>
    <n v="80"/>
    <n v="0"/>
    <n v="21"/>
    <n v="3"/>
    <n v="5"/>
    <n v="4"/>
    <n v="4"/>
    <n v="4"/>
  </r>
  <r>
    <x v="1"/>
    <s v="Travel_Rarely"/>
    <x v="0"/>
    <s v="Current Employees"/>
    <x v="1"/>
    <x v="0"/>
    <x v="166"/>
    <n v="227"/>
    <x v="1"/>
    <x v="1"/>
    <x v="2"/>
    <s v="No"/>
    <s v="Y"/>
    <n v="2"/>
    <n v="-2"/>
    <n v="0"/>
    <n v="41"/>
    <n v="0"/>
    <m/>
    <n v="0"/>
    <n v="1"/>
    <n v="465"/>
    <n v="14"/>
    <x v="3"/>
    <n v="1"/>
    <n v="1"/>
    <n v="56"/>
    <n v="3"/>
    <n v="1"/>
    <n v="2"/>
    <n v="2451"/>
    <n v="4609"/>
    <n v="4"/>
    <n v="12"/>
    <n v="3"/>
    <n v="1"/>
    <n v="80"/>
    <n v="1"/>
    <n v="13"/>
    <n v="3"/>
    <n v="9"/>
    <n v="8"/>
    <n v="1"/>
    <n v="8"/>
  </r>
  <r>
    <x v="1"/>
    <s v="Travel_Rarely"/>
    <x v="2"/>
    <s v="Current Employees"/>
    <x v="0"/>
    <x v="0"/>
    <x v="167"/>
    <n v="228"/>
    <x v="0"/>
    <x v="0"/>
    <x v="1"/>
    <s v="No"/>
    <s v="Y"/>
    <n v="2"/>
    <n v="-2"/>
    <n v="0"/>
    <n v="30"/>
    <n v="0"/>
    <m/>
    <n v="0"/>
    <n v="1"/>
    <n v="1339"/>
    <n v="5"/>
    <x v="3"/>
    <n v="1"/>
    <n v="2"/>
    <n v="41"/>
    <n v="3"/>
    <n v="3"/>
    <n v="2"/>
    <n v="9419"/>
    <n v="8053"/>
    <n v="2"/>
    <n v="12"/>
    <n v="3"/>
    <n v="3"/>
    <n v="80"/>
    <n v="1"/>
    <n v="12"/>
    <n v="3"/>
    <n v="10"/>
    <n v="9"/>
    <n v="7"/>
    <n v="4"/>
  </r>
  <r>
    <x v="1"/>
    <s v="Travel_Rarely"/>
    <x v="0"/>
    <s v="Current Employees"/>
    <x v="0"/>
    <x v="0"/>
    <x v="168"/>
    <n v="230"/>
    <x v="0"/>
    <x v="0"/>
    <x v="0"/>
    <s v="No"/>
    <s v="Y"/>
    <n v="2"/>
    <n v="-2"/>
    <n v="0"/>
    <n v="38"/>
    <n v="0"/>
    <m/>
    <n v="0"/>
    <n v="1"/>
    <n v="702"/>
    <n v="1"/>
    <x v="2"/>
    <n v="1"/>
    <n v="1"/>
    <n v="59"/>
    <n v="2"/>
    <n v="2"/>
    <n v="2"/>
    <n v="8686"/>
    <n v="12930"/>
    <n v="4"/>
    <n v="22"/>
    <n v="4"/>
    <n v="3"/>
    <n v="80"/>
    <n v="0"/>
    <n v="12"/>
    <n v="4"/>
    <n v="8"/>
    <n v="3"/>
    <n v="0"/>
    <n v="7"/>
  </r>
  <r>
    <x v="1"/>
    <s v="Travel_Rarely"/>
    <x v="2"/>
    <s v="Current Employees"/>
    <x v="1"/>
    <x v="0"/>
    <x v="169"/>
    <n v="231"/>
    <x v="1"/>
    <x v="1"/>
    <x v="0"/>
    <s v="No"/>
    <s v="Y"/>
    <n v="2"/>
    <n v="-2"/>
    <n v="0"/>
    <n v="32"/>
    <n v="0"/>
    <m/>
    <n v="0"/>
    <n v="1"/>
    <n v="120"/>
    <n v="6"/>
    <x v="4"/>
    <n v="1"/>
    <n v="3"/>
    <n v="43"/>
    <n v="3"/>
    <n v="1"/>
    <n v="2"/>
    <n v="3038"/>
    <n v="12430"/>
    <n v="3"/>
    <n v="20"/>
    <n v="4"/>
    <n v="1"/>
    <n v="80"/>
    <n v="0"/>
    <n v="8"/>
    <n v="3"/>
    <n v="5"/>
    <n v="4"/>
    <n v="1"/>
    <n v="4"/>
  </r>
  <r>
    <x v="1"/>
    <s v="Travel_Rarely"/>
    <x v="2"/>
    <s v="Current Employees"/>
    <x v="1"/>
    <x v="4"/>
    <x v="170"/>
    <n v="233"/>
    <x v="1"/>
    <x v="1"/>
    <x v="1"/>
    <s v="Yes"/>
    <s v="Y"/>
    <n v="3"/>
    <n v="-2"/>
    <n v="0"/>
    <n v="27"/>
    <n v="0"/>
    <m/>
    <n v="0"/>
    <n v="1"/>
    <n v="1157"/>
    <n v="17"/>
    <x v="3"/>
    <n v="1"/>
    <n v="3"/>
    <n v="51"/>
    <n v="3"/>
    <n v="1"/>
    <n v="4"/>
    <n v="3058"/>
    <n v="13364"/>
    <n v="0"/>
    <n v="16"/>
    <n v="3"/>
    <n v="4"/>
    <n v="80"/>
    <n v="1"/>
    <n v="6"/>
    <n v="2"/>
    <n v="5"/>
    <n v="2"/>
    <n v="1"/>
    <n v="1"/>
  </r>
  <r>
    <x v="0"/>
    <s v="Travel_Frequently"/>
    <x v="4"/>
    <s v="Ex-Employees"/>
    <x v="0"/>
    <x v="4"/>
    <x v="171"/>
    <n v="235"/>
    <x v="0"/>
    <x v="6"/>
    <x v="0"/>
    <s v="No"/>
    <s v="Y"/>
    <n v="5"/>
    <n v="-2"/>
    <n v="0"/>
    <n v="19"/>
    <n v="1"/>
    <n v="1"/>
    <n v="1"/>
    <n v="0"/>
    <n v="602"/>
    <n v="1"/>
    <x v="1"/>
    <n v="1"/>
    <n v="3"/>
    <n v="100"/>
    <n v="1"/>
    <n v="1"/>
    <n v="4"/>
    <n v="2325"/>
    <n v="20989"/>
    <n v="0"/>
    <n v="21"/>
    <n v="4"/>
    <n v="1"/>
    <n v="80"/>
    <n v="0"/>
    <n v="1"/>
    <n v="4"/>
    <n v="0"/>
    <n v="0"/>
    <n v="0"/>
    <n v="0"/>
  </r>
  <r>
    <x v="1"/>
    <s v="Travel_Frequently"/>
    <x v="0"/>
    <s v="Current Employees"/>
    <x v="1"/>
    <x v="2"/>
    <x v="172"/>
    <n v="238"/>
    <x v="1"/>
    <x v="2"/>
    <x v="0"/>
    <s v="No"/>
    <s v="Y"/>
    <n v="3"/>
    <n v="-2"/>
    <n v="0"/>
    <n v="36"/>
    <n v="0"/>
    <m/>
    <n v="0"/>
    <n v="1"/>
    <n v="1480"/>
    <n v="3"/>
    <x v="0"/>
    <n v="1"/>
    <n v="4"/>
    <n v="30"/>
    <n v="3"/>
    <n v="1"/>
    <n v="3"/>
    <n v="2088"/>
    <n v="15062"/>
    <n v="4"/>
    <n v="12"/>
    <n v="3"/>
    <n v="3"/>
    <n v="80"/>
    <n v="0"/>
    <n v="13"/>
    <n v="2"/>
    <n v="8"/>
    <n v="7"/>
    <n v="7"/>
    <n v="2"/>
  </r>
  <r>
    <x v="1"/>
    <s v="Non-Travel"/>
    <x v="2"/>
    <s v="Current Employees"/>
    <x v="1"/>
    <x v="2"/>
    <x v="173"/>
    <n v="239"/>
    <x v="1"/>
    <x v="2"/>
    <x v="2"/>
    <s v="No"/>
    <s v="Y"/>
    <n v="4"/>
    <n v="-2"/>
    <n v="0"/>
    <n v="30"/>
    <n v="0"/>
    <m/>
    <n v="0"/>
    <n v="1"/>
    <n v="111"/>
    <n v="9"/>
    <x v="3"/>
    <n v="1"/>
    <n v="3"/>
    <n v="66"/>
    <n v="3"/>
    <n v="2"/>
    <n v="1"/>
    <n v="3072"/>
    <n v="11012"/>
    <n v="1"/>
    <n v="11"/>
    <n v="3"/>
    <n v="3"/>
    <n v="80"/>
    <n v="2"/>
    <n v="12"/>
    <n v="3"/>
    <n v="12"/>
    <n v="9"/>
    <n v="6"/>
    <n v="10"/>
  </r>
  <r>
    <x v="1"/>
    <s v="Travel_Rarely"/>
    <x v="1"/>
    <s v="Current Employees"/>
    <x v="0"/>
    <x v="0"/>
    <x v="174"/>
    <n v="240"/>
    <x v="0"/>
    <x v="0"/>
    <x v="2"/>
    <s v="Yes"/>
    <s v="Y"/>
    <n v="3"/>
    <n v="-2"/>
    <n v="0"/>
    <n v="45"/>
    <n v="0"/>
    <m/>
    <n v="0"/>
    <n v="1"/>
    <n v="1268"/>
    <n v="4"/>
    <x v="0"/>
    <n v="1"/>
    <n v="3"/>
    <n v="30"/>
    <n v="3"/>
    <n v="2"/>
    <n v="2"/>
    <n v="5006"/>
    <n v="6319"/>
    <n v="4"/>
    <n v="11"/>
    <n v="3"/>
    <n v="1"/>
    <n v="80"/>
    <n v="1"/>
    <n v="9"/>
    <n v="4"/>
    <n v="5"/>
    <n v="4"/>
    <n v="0"/>
    <n v="3"/>
  </r>
  <r>
    <x v="1"/>
    <s v="Travel_Rarely"/>
    <x v="3"/>
    <s v="Current Employees"/>
    <x v="1"/>
    <x v="0"/>
    <x v="175"/>
    <n v="241"/>
    <x v="0"/>
    <x v="1"/>
    <x v="2"/>
    <s v="Yes"/>
    <s v="Y"/>
    <n v="3"/>
    <n v="-2"/>
    <n v="0"/>
    <n v="56"/>
    <n v="0"/>
    <m/>
    <n v="0"/>
    <n v="1"/>
    <n v="713"/>
    <n v="8"/>
    <x v="3"/>
    <n v="1"/>
    <n v="3"/>
    <n v="67"/>
    <n v="3"/>
    <n v="1"/>
    <n v="2"/>
    <n v="4257"/>
    <n v="13939"/>
    <n v="4"/>
    <n v="18"/>
    <n v="3"/>
    <n v="3"/>
    <n v="80"/>
    <n v="1"/>
    <n v="19"/>
    <n v="3"/>
    <n v="2"/>
    <n v="2"/>
    <n v="2"/>
    <n v="2"/>
  </r>
  <r>
    <x v="1"/>
    <s v="Travel_Rarely"/>
    <x v="2"/>
    <s v="Current Employees"/>
    <x v="1"/>
    <x v="0"/>
    <x v="176"/>
    <n v="242"/>
    <x v="1"/>
    <x v="1"/>
    <x v="0"/>
    <s v="No"/>
    <s v="Y"/>
    <n v="2"/>
    <n v="-2"/>
    <n v="0"/>
    <n v="33"/>
    <n v="0"/>
    <m/>
    <n v="0"/>
    <n v="1"/>
    <n v="134"/>
    <n v="2"/>
    <x v="3"/>
    <n v="1"/>
    <n v="3"/>
    <n v="90"/>
    <n v="3"/>
    <n v="1"/>
    <n v="2"/>
    <n v="2500"/>
    <n v="10515"/>
    <n v="0"/>
    <n v="14"/>
    <n v="3"/>
    <n v="1"/>
    <n v="80"/>
    <n v="0"/>
    <n v="4"/>
    <n v="4"/>
    <n v="3"/>
    <n v="1"/>
    <n v="0"/>
    <n v="2"/>
  </r>
  <r>
    <x v="0"/>
    <s v="Travel_Rarely"/>
    <x v="4"/>
    <s v="Ex-Employees"/>
    <x v="1"/>
    <x v="0"/>
    <x v="177"/>
    <n v="243"/>
    <x v="1"/>
    <x v="2"/>
    <x v="0"/>
    <s v="No"/>
    <s v="Y"/>
    <n v="3"/>
    <n v="-2"/>
    <n v="0"/>
    <n v="19"/>
    <n v="1"/>
    <n v="1"/>
    <n v="1"/>
    <n v="0"/>
    <n v="303"/>
    <n v="2"/>
    <x v="3"/>
    <n v="1"/>
    <n v="2"/>
    <n v="47"/>
    <n v="2"/>
    <n v="1"/>
    <n v="2"/>
    <n v="1102"/>
    <n v="9241"/>
    <n v="1"/>
    <n v="22"/>
    <n v="4"/>
    <n v="3"/>
    <n v="80"/>
    <n v="0"/>
    <n v="1"/>
    <n v="2"/>
    <n v="1"/>
    <n v="0"/>
    <n v="1"/>
    <n v="0"/>
  </r>
  <r>
    <x v="1"/>
    <s v="Travel_Rarely"/>
    <x v="1"/>
    <s v="Current Employees"/>
    <x v="0"/>
    <x v="3"/>
    <x v="178"/>
    <n v="244"/>
    <x v="0"/>
    <x v="0"/>
    <x v="2"/>
    <s v="No"/>
    <s v="Y"/>
    <n v="2"/>
    <n v="-2"/>
    <n v="0"/>
    <n v="46"/>
    <n v="0"/>
    <m/>
    <n v="0"/>
    <n v="1"/>
    <n v="526"/>
    <n v="1"/>
    <x v="0"/>
    <n v="1"/>
    <n v="2"/>
    <n v="92"/>
    <n v="3"/>
    <n v="3"/>
    <n v="1"/>
    <n v="10453"/>
    <n v="2137"/>
    <n v="1"/>
    <n v="25"/>
    <n v="4"/>
    <n v="3"/>
    <n v="80"/>
    <n v="3"/>
    <n v="24"/>
    <n v="3"/>
    <n v="24"/>
    <n v="13"/>
    <n v="15"/>
    <n v="7"/>
  </r>
  <r>
    <x v="1"/>
    <s v="Travel_Rarely"/>
    <x v="0"/>
    <s v="Current Employees"/>
    <x v="1"/>
    <x v="0"/>
    <x v="179"/>
    <n v="245"/>
    <x v="0"/>
    <x v="2"/>
    <x v="0"/>
    <s v="No"/>
    <s v="Y"/>
    <n v="3"/>
    <n v="-2"/>
    <n v="0"/>
    <n v="38"/>
    <n v="0"/>
    <m/>
    <n v="0"/>
    <n v="1"/>
    <n v="1380"/>
    <n v="9"/>
    <x v="0"/>
    <n v="1"/>
    <n v="3"/>
    <n v="75"/>
    <n v="3"/>
    <n v="1"/>
    <n v="2"/>
    <n v="2288"/>
    <n v="6319"/>
    <n v="1"/>
    <n v="12"/>
    <n v="3"/>
    <n v="3"/>
    <n v="80"/>
    <n v="0"/>
    <n v="2"/>
    <n v="3"/>
    <n v="2"/>
    <n v="2"/>
    <n v="2"/>
    <n v="1"/>
  </r>
  <r>
    <x v="1"/>
    <s v="Travel_Rarely"/>
    <x v="2"/>
    <s v="Current Employees"/>
    <x v="1"/>
    <x v="2"/>
    <x v="180"/>
    <n v="246"/>
    <x v="0"/>
    <x v="1"/>
    <x v="1"/>
    <s v="Yes"/>
    <s v="Y"/>
    <n v="0"/>
    <n v="-2"/>
    <n v="0"/>
    <n v="31"/>
    <n v="0"/>
    <m/>
    <n v="0"/>
    <n v="1"/>
    <n v="140"/>
    <n v="12"/>
    <x v="1"/>
    <n v="1"/>
    <n v="3"/>
    <n v="95"/>
    <n v="3"/>
    <n v="1"/>
    <n v="4"/>
    <n v="3929"/>
    <n v="6984"/>
    <n v="8"/>
    <n v="23"/>
    <n v="4"/>
    <n v="3"/>
    <n v="80"/>
    <n v="1"/>
    <n v="7"/>
    <n v="3"/>
    <n v="4"/>
    <n v="2"/>
    <n v="0"/>
    <n v="2"/>
  </r>
  <r>
    <x v="1"/>
    <s v="Travel_Rarely"/>
    <x v="2"/>
    <s v="Current Employees"/>
    <x v="1"/>
    <x v="2"/>
    <x v="181"/>
    <n v="247"/>
    <x v="0"/>
    <x v="1"/>
    <x v="0"/>
    <s v="No"/>
    <s v="Y"/>
    <n v="3"/>
    <n v="-2"/>
    <n v="0"/>
    <n v="34"/>
    <n v="0"/>
    <m/>
    <n v="0"/>
    <n v="1"/>
    <n v="629"/>
    <n v="27"/>
    <x v="0"/>
    <n v="1"/>
    <n v="4"/>
    <n v="95"/>
    <n v="3"/>
    <n v="1"/>
    <n v="3"/>
    <n v="2311"/>
    <n v="5711"/>
    <n v="2"/>
    <n v="15"/>
    <n v="3"/>
    <n v="4"/>
    <n v="80"/>
    <n v="0"/>
    <n v="9"/>
    <n v="3"/>
    <n v="3"/>
    <n v="2"/>
    <n v="1"/>
    <n v="2"/>
  </r>
  <r>
    <x v="0"/>
    <s v="Travel_Rarely"/>
    <x v="0"/>
    <s v="Ex-Employees"/>
    <x v="0"/>
    <x v="3"/>
    <x v="182"/>
    <n v="248"/>
    <x v="0"/>
    <x v="6"/>
    <x v="0"/>
    <s v="Yes"/>
    <s v="Y"/>
    <n v="5"/>
    <n v="-2"/>
    <n v="0"/>
    <n v="41"/>
    <n v="1"/>
    <n v="1"/>
    <n v="1"/>
    <n v="0"/>
    <n v="1356"/>
    <n v="20"/>
    <x v="0"/>
    <n v="1"/>
    <n v="2"/>
    <n v="70"/>
    <n v="3"/>
    <n v="1"/>
    <n v="3"/>
    <n v="3140"/>
    <n v="21728"/>
    <n v="1"/>
    <n v="22"/>
    <n v="4"/>
    <n v="4"/>
    <n v="80"/>
    <n v="0"/>
    <n v="4"/>
    <n v="2"/>
    <n v="4"/>
    <n v="3"/>
    <n v="0"/>
    <n v="2"/>
  </r>
  <r>
    <x v="1"/>
    <s v="Travel_Rarely"/>
    <x v="1"/>
    <s v="Current Employees"/>
    <x v="1"/>
    <x v="2"/>
    <x v="183"/>
    <n v="249"/>
    <x v="1"/>
    <x v="2"/>
    <x v="1"/>
    <s v="No"/>
    <s v="Y"/>
    <n v="2"/>
    <n v="-2"/>
    <n v="0"/>
    <n v="50"/>
    <n v="0"/>
    <m/>
    <n v="0"/>
    <n v="1"/>
    <n v="328"/>
    <n v="1"/>
    <x v="3"/>
    <n v="1"/>
    <n v="3"/>
    <n v="86"/>
    <n v="2"/>
    <n v="1"/>
    <n v="3"/>
    <n v="3690"/>
    <n v="3425"/>
    <n v="2"/>
    <n v="15"/>
    <n v="3"/>
    <n v="4"/>
    <n v="80"/>
    <n v="1"/>
    <n v="5"/>
    <n v="2"/>
    <n v="3"/>
    <n v="2"/>
    <n v="0"/>
    <n v="2"/>
  </r>
  <r>
    <x v="1"/>
    <s v="Travel_Rarely"/>
    <x v="1"/>
    <s v="Current Employees"/>
    <x v="1"/>
    <x v="2"/>
    <x v="184"/>
    <n v="250"/>
    <x v="0"/>
    <x v="3"/>
    <x v="2"/>
    <s v="No"/>
    <s v="Y"/>
    <n v="3"/>
    <n v="-2"/>
    <n v="0"/>
    <n v="53"/>
    <n v="0"/>
    <m/>
    <n v="0"/>
    <n v="1"/>
    <n v="1084"/>
    <n v="13"/>
    <x v="0"/>
    <n v="1"/>
    <n v="4"/>
    <n v="57"/>
    <n v="4"/>
    <n v="2"/>
    <n v="3"/>
    <n v="4450"/>
    <n v="26250"/>
    <n v="1"/>
    <n v="11"/>
    <n v="3"/>
    <n v="3"/>
    <n v="80"/>
    <n v="2"/>
    <n v="5"/>
    <n v="3"/>
    <n v="4"/>
    <n v="2"/>
    <n v="1"/>
    <n v="3"/>
  </r>
  <r>
    <x v="1"/>
    <s v="Travel_Rarely"/>
    <x v="2"/>
    <s v="Current Employees"/>
    <x v="1"/>
    <x v="2"/>
    <x v="185"/>
    <n v="252"/>
    <x v="0"/>
    <x v="1"/>
    <x v="1"/>
    <s v="No"/>
    <s v="Y"/>
    <n v="5"/>
    <n v="-2"/>
    <n v="0"/>
    <n v="33"/>
    <n v="0"/>
    <m/>
    <n v="0"/>
    <n v="1"/>
    <n v="931"/>
    <n v="14"/>
    <x v="3"/>
    <n v="1"/>
    <n v="4"/>
    <n v="72"/>
    <n v="3"/>
    <n v="1"/>
    <n v="3"/>
    <n v="2756"/>
    <n v="4673"/>
    <n v="1"/>
    <n v="13"/>
    <n v="3"/>
    <n v="4"/>
    <n v="80"/>
    <n v="1"/>
    <n v="8"/>
    <n v="3"/>
    <n v="8"/>
    <n v="7"/>
    <n v="1"/>
    <n v="6"/>
  </r>
  <r>
    <x v="1"/>
    <s v="Travel_Rarely"/>
    <x v="0"/>
    <s v="Current Employees"/>
    <x v="1"/>
    <x v="2"/>
    <x v="186"/>
    <n v="253"/>
    <x v="0"/>
    <x v="5"/>
    <x v="1"/>
    <s v="No"/>
    <s v="Y"/>
    <n v="2"/>
    <n v="-2"/>
    <n v="0"/>
    <n v="40"/>
    <n v="0"/>
    <m/>
    <n v="0"/>
    <n v="1"/>
    <n v="989"/>
    <n v="4"/>
    <x v="1"/>
    <n v="1"/>
    <n v="4"/>
    <n v="46"/>
    <n v="3"/>
    <n v="5"/>
    <n v="3"/>
    <n v="19033"/>
    <n v="6499"/>
    <n v="1"/>
    <n v="14"/>
    <n v="3"/>
    <n v="2"/>
    <n v="80"/>
    <n v="1"/>
    <n v="21"/>
    <n v="3"/>
    <n v="20"/>
    <n v="8"/>
    <n v="9"/>
    <n v="9"/>
  </r>
  <r>
    <x v="1"/>
    <s v="Travel_Rarely"/>
    <x v="3"/>
    <s v="Current Employees"/>
    <x v="1"/>
    <x v="2"/>
    <x v="187"/>
    <n v="254"/>
    <x v="1"/>
    <x v="7"/>
    <x v="0"/>
    <s v="No"/>
    <s v="Y"/>
    <n v="3"/>
    <n v="-2"/>
    <n v="0"/>
    <n v="55"/>
    <n v="0"/>
    <m/>
    <n v="0"/>
    <n v="1"/>
    <n v="692"/>
    <n v="14"/>
    <x v="2"/>
    <n v="1"/>
    <n v="3"/>
    <n v="61"/>
    <n v="4"/>
    <n v="5"/>
    <n v="3"/>
    <n v="18722"/>
    <n v="13339"/>
    <n v="8"/>
    <n v="11"/>
    <n v="3"/>
    <n v="4"/>
    <n v="80"/>
    <n v="0"/>
    <n v="36"/>
    <n v="3"/>
    <n v="24"/>
    <n v="15"/>
    <n v="2"/>
    <n v="15"/>
  </r>
  <r>
    <x v="1"/>
    <s v="Travel_Frequently"/>
    <x v="2"/>
    <s v="Current Employees"/>
    <x v="1"/>
    <x v="0"/>
    <x v="188"/>
    <n v="256"/>
    <x v="1"/>
    <x v="3"/>
    <x v="1"/>
    <s v="No"/>
    <s v="Y"/>
    <n v="2"/>
    <n v="-2"/>
    <n v="0"/>
    <n v="34"/>
    <n v="0"/>
    <m/>
    <n v="0"/>
    <n v="1"/>
    <n v="1069"/>
    <n v="2"/>
    <x v="1"/>
    <n v="1"/>
    <n v="4"/>
    <n v="45"/>
    <n v="2"/>
    <n v="2"/>
    <n v="2"/>
    <n v="9547"/>
    <n v="14074"/>
    <n v="1"/>
    <n v="17"/>
    <n v="3"/>
    <n v="3"/>
    <n v="80"/>
    <n v="0"/>
    <n v="10"/>
    <n v="2"/>
    <n v="10"/>
    <n v="9"/>
    <n v="1"/>
    <n v="9"/>
  </r>
  <r>
    <x v="1"/>
    <s v="Travel_Rarely"/>
    <x v="1"/>
    <s v="Current Employees"/>
    <x v="1"/>
    <x v="2"/>
    <x v="189"/>
    <n v="258"/>
    <x v="0"/>
    <x v="4"/>
    <x v="0"/>
    <s v="No"/>
    <s v="Y"/>
    <n v="6"/>
    <n v="-2"/>
    <n v="0"/>
    <n v="51"/>
    <n v="0"/>
    <m/>
    <n v="0"/>
    <n v="1"/>
    <n v="313"/>
    <n v="3"/>
    <x v="3"/>
    <n v="1"/>
    <n v="4"/>
    <n v="98"/>
    <n v="3"/>
    <n v="4"/>
    <n v="3"/>
    <n v="13734"/>
    <n v="7192"/>
    <n v="3"/>
    <n v="18"/>
    <n v="3"/>
    <n v="3"/>
    <n v="80"/>
    <n v="0"/>
    <n v="21"/>
    <n v="3"/>
    <n v="7"/>
    <n v="7"/>
    <n v="1"/>
    <n v="0"/>
  </r>
  <r>
    <x v="1"/>
    <s v="Travel_Rarely"/>
    <x v="1"/>
    <s v="Current Employees"/>
    <x v="1"/>
    <x v="0"/>
    <x v="190"/>
    <n v="259"/>
    <x v="1"/>
    <x v="5"/>
    <x v="1"/>
    <s v="No"/>
    <s v="Y"/>
    <n v="5"/>
    <n v="-2"/>
    <n v="0"/>
    <n v="52"/>
    <n v="0"/>
    <m/>
    <n v="0"/>
    <n v="1"/>
    <n v="699"/>
    <n v="1"/>
    <x v="2"/>
    <n v="1"/>
    <n v="3"/>
    <n v="65"/>
    <n v="2"/>
    <n v="5"/>
    <n v="2"/>
    <n v="19999"/>
    <n v="5678"/>
    <n v="0"/>
    <n v="14"/>
    <n v="3"/>
    <n v="1"/>
    <n v="80"/>
    <n v="1"/>
    <n v="34"/>
    <n v="3"/>
    <n v="33"/>
    <n v="18"/>
    <n v="11"/>
    <n v="9"/>
  </r>
  <r>
    <x v="1"/>
    <s v="Travel_Rarely"/>
    <x v="2"/>
    <s v="Current Employees"/>
    <x v="1"/>
    <x v="2"/>
    <x v="191"/>
    <n v="260"/>
    <x v="0"/>
    <x v="1"/>
    <x v="0"/>
    <s v="No"/>
    <s v="Y"/>
    <n v="2"/>
    <n v="-2"/>
    <n v="0"/>
    <n v="27"/>
    <n v="0"/>
    <m/>
    <n v="0"/>
    <n v="1"/>
    <n v="894"/>
    <n v="9"/>
    <x v="3"/>
    <n v="1"/>
    <n v="4"/>
    <n v="99"/>
    <n v="3"/>
    <n v="1"/>
    <n v="3"/>
    <n v="2279"/>
    <n v="11781"/>
    <n v="1"/>
    <n v="16"/>
    <n v="3"/>
    <n v="4"/>
    <n v="80"/>
    <n v="0"/>
    <n v="7"/>
    <n v="2"/>
    <n v="7"/>
    <n v="7"/>
    <n v="0"/>
    <n v="3"/>
  </r>
  <r>
    <x v="0"/>
    <s v="Travel_Rarely"/>
    <x v="0"/>
    <s v="Ex-Employees"/>
    <x v="1"/>
    <x v="0"/>
    <x v="192"/>
    <n v="261"/>
    <x v="1"/>
    <x v="3"/>
    <x v="1"/>
    <s v="Yes"/>
    <s v="Y"/>
    <n v="1"/>
    <n v="-2"/>
    <n v="0"/>
    <n v="35"/>
    <n v="1"/>
    <n v="1"/>
    <n v="1"/>
    <n v="0"/>
    <n v="556"/>
    <n v="23"/>
    <x v="0"/>
    <n v="1"/>
    <n v="2"/>
    <n v="50"/>
    <n v="2"/>
    <n v="2"/>
    <n v="2"/>
    <n v="5916"/>
    <n v="15497"/>
    <n v="3"/>
    <n v="13"/>
    <n v="3"/>
    <n v="1"/>
    <n v="80"/>
    <n v="0"/>
    <n v="8"/>
    <n v="3"/>
    <n v="1"/>
    <n v="0"/>
    <n v="0"/>
    <n v="1"/>
  </r>
  <r>
    <x v="1"/>
    <s v="Non-Travel"/>
    <x v="0"/>
    <s v="Current Employees"/>
    <x v="1"/>
    <x v="2"/>
    <x v="193"/>
    <n v="262"/>
    <x v="1"/>
    <x v="1"/>
    <x v="2"/>
    <s v="No"/>
    <s v="Y"/>
    <n v="3"/>
    <n v="-2"/>
    <n v="0"/>
    <n v="43"/>
    <n v="0"/>
    <m/>
    <n v="0"/>
    <n v="1"/>
    <n v="1344"/>
    <n v="7"/>
    <x v="3"/>
    <n v="1"/>
    <n v="4"/>
    <n v="37"/>
    <n v="4"/>
    <n v="1"/>
    <n v="4"/>
    <n v="2089"/>
    <n v="5228"/>
    <n v="4"/>
    <n v="14"/>
    <n v="3"/>
    <n v="4"/>
    <n v="80"/>
    <n v="3"/>
    <n v="7"/>
    <n v="4"/>
    <n v="5"/>
    <n v="4"/>
    <n v="2"/>
    <n v="2"/>
  </r>
  <r>
    <x v="1"/>
    <s v="Non-Travel"/>
    <x v="1"/>
    <s v="Current Employees"/>
    <x v="1"/>
    <x v="2"/>
    <x v="194"/>
    <n v="264"/>
    <x v="1"/>
    <x v="5"/>
    <x v="1"/>
    <s v="No"/>
    <s v="Y"/>
    <n v="1"/>
    <n v="-2"/>
    <n v="0"/>
    <n v="45"/>
    <n v="0"/>
    <m/>
    <n v="0"/>
    <n v="1"/>
    <n v="1195"/>
    <n v="2"/>
    <x v="0"/>
    <n v="1"/>
    <n v="1"/>
    <n v="65"/>
    <n v="2"/>
    <n v="4"/>
    <n v="4"/>
    <n v="16792"/>
    <n v="20462"/>
    <n v="9"/>
    <n v="23"/>
    <n v="4"/>
    <n v="4"/>
    <n v="80"/>
    <n v="1"/>
    <n v="22"/>
    <n v="3"/>
    <n v="20"/>
    <n v="8"/>
    <n v="11"/>
    <n v="8"/>
  </r>
  <r>
    <x v="1"/>
    <s v="Travel_Rarely"/>
    <x v="0"/>
    <s v="Current Employees"/>
    <x v="1"/>
    <x v="0"/>
    <x v="195"/>
    <n v="267"/>
    <x v="1"/>
    <x v="1"/>
    <x v="1"/>
    <s v="Yes"/>
    <s v="Y"/>
    <n v="3"/>
    <n v="-2"/>
    <n v="0"/>
    <n v="37"/>
    <n v="0"/>
    <m/>
    <n v="0"/>
    <n v="1"/>
    <n v="290"/>
    <n v="21"/>
    <x v="3"/>
    <n v="1"/>
    <n v="2"/>
    <n v="65"/>
    <n v="4"/>
    <n v="1"/>
    <n v="2"/>
    <n v="3564"/>
    <n v="22977"/>
    <n v="1"/>
    <n v="12"/>
    <n v="3"/>
    <n v="1"/>
    <n v="80"/>
    <n v="1"/>
    <n v="8"/>
    <n v="2"/>
    <n v="8"/>
    <n v="7"/>
    <n v="1"/>
    <n v="7"/>
  </r>
  <r>
    <x v="1"/>
    <s v="Travel_Frequently"/>
    <x v="0"/>
    <s v="Current Employees"/>
    <x v="1"/>
    <x v="2"/>
    <x v="196"/>
    <n v="269"/>
    <x v="0"/>
    <x v="2"/>
    <x v="0"/>
    <s v="No"/>
    <s v="Y"/>
    <n v="5"/>
    <n v="-2"/>
    <n v="0"/>
    <n v="35"/>
    <n v="0"/>
    <m/>
    <n v="0"/>
    <n v="1"/>
    <n v="138"/>
    <n v="2"/>
    <x v="3"/>
    <n v="1"/>
    <n v="2"/>
    <n v="37"/>
    <n v="3"/>
    <n v="2"/>
    <n v="3"/>
    <n v="4425"/>
    <n v="15986"/>
    <n v="5"/>
    <n v="11"/>
    <n v="3"/>
    <n v="4"/>
    <n v="80"/>
    <n v="0"/>
    <n v="10"/>
    <n v="3"/>
    <n v="6"/>
    <n v="2"/>
    <n v="1"/>
    <n v="2"/>
  </r>
  <r>
    <x v="1"/>
    <s v="Non-Travel"/>
    <x v="0"/>
    <s v="Current Employees"/>
    <x v="1"/>
    <x v="2"/>
    <x v="197"/>
    <n v="270"/>
    <x v="0"/>
    <x v="3"/>
    <x v="2"/>
    <s v="No"/>
    <s v="Y"/>
    <n v="5"/>
    <n v="-2"/>
    <n v="0"/>
    <n v="42"/>
    <n v="0"/>
    <m/>
    <n v="0"/>
    <n v="1"/>
    <n v="926"/>
    <n v="21"/>
    <x v="0"/>
    <n v="1"/>
    <n v="3"/>
    <n v="36"/>
    <n v="3"/>
    <n v="2"/>
    <n v="3"/>
    <n v="5265"/>
    <n v="16439"/>
    <n v="2"/>
    <n v="16"/>
    <n v="3"/>
    <n v="2"/>
    <n v="80"/>
    <n v="1"/>
    <n v="11"/>
    <n v="3"/>
    <n v="5"/>
    <n v="3"/>
    <n v="0"/>
    <n v="2"/>
  </r>
  <r>
    <x v="1"/>
    <s v="Travel_Rarely"/>
    <x v="0"/>
    <s v="Current Employees"/>
    <x v="1"/>
    <x v="0"/>
    <x v="198"/>
    <n v="271"/>
    <x v="1"/>
    <x v="3"/>
    <x v="1"/>
    <s v="No"/>
    <s v="Y"/>
    <n v="3"/>
    <n v="-2"/>
    <n v="0"/>
    <n v="38"/>
    <n v="0"/>
    <m/>
    <n v="0"/>
    <n v="1"/>
    <n v="1261"/>
    <n v="2"/>
    <x v="2"/>
    <n v="1"/>
    <n v="4"/>
    <n v="88"/>
    <n v="3"/>
    <n v="2"/>
    <n v="2"/>
    <n v="6553"/>
    <n v="7259"/>
    <n v="9"/>
    <n v="14"/>
    <n v="3"/>
    <n v="2"/>
    <n v="80"/>
    <n v="0"/>
    <n v="14"/>
    <n v="3"/>
    <n v="1"/>
    <n v="0"/>
    <n v="0"/>
    <n v="0"/>
  </r>
  <r>
    <x v="1"/>
    <s v="Travel_Rarely"/>
    <x v="0"/>
    <s v="Current Employees"/>
    <x v="1"/>
    <x v="4"/>
    <x v="199"/>
    <n v="273"/>
    <x v="1"/>
    <x v="3"/>
    <x v="1"/>
    <s v="No"/>
    <s v="Y"/>
    <n v="3"/>
    <n v="-2"/>
    <n v="0"/>
    <n v="38"/>
    <n v="0"/>
    <m/>
    <n v="0"/>
    <n v="1"/>
    <n v="1084"/>
    <n v="29"/>
    <x v="3"/>
    <n v="1"/>
    <n v="4"/>
    <n v="54"/>
    <n v="3"/>
    <n v="2"/>
    <n v="4"/>
    <n v="6261"/>
    <n v="4185"/>
    <n v="3"/>
    <n v="18"/>
    <n v="3"/>
    <n v="1"/>
    <n v="80"/>
    <n v="1"/>
    <n v="9"/>
    <n v="1"/>
    <n v="7"/>
    <n v="7"/>
    <n v="1"/>
    <n v="7"/>
  </r>
  <r>
    <x v="1"/>
    <s v="Travel_Frequently"/>
    <x v="2"/>
    <s v="Current Employees"/>
    <x v="1"/>
    <x v="4"/>
    <x v="200"/>
    <n v="274"/>
    <x v="1"/>
    <x v="3"/>
    <x v="1"/>
    <s v="No"/>
    <s v="Y"/>
    <n v="1"/>
    <n v="-2"/>
    <n v="0"/>
    <n v="27"/>
    <n v="0"/>
    <m/>
    <n v="0"/>
    <n v="1"/>
    <n v="472"/>
    <n v="1"/>
    <x v="1"/>
    <n v="1"/>
    <n v="3"/>
    <n v="60"/>
    <n v="2"/>
    <n v="2"/>
    <n v="4"/>
    <n v="4298"/>
    <n v="9679"/>
    <n v="5"/>
    <n v="19"/>
    <n v="3"/>
    <n v="3"/>
    <n v="80"/>
    <n v="1"/>
    <n v="6"/>
    <n v="3"/>
    <n v="2"/>
    <n v="2"/>
    <n v="2"/>
    <n v="0"/>
  </r>
  <r>
    <x v="1"/>
    <s v="Non-Travel"/>
    <x v="1"/>
    <s v="Current Employees"/>
    <x v="1"/>
    <x v="0"/>
    <x v="201"/>
    <n v="275"/>
    <x v="1"/>
    <x v="3"/>
    <x v="2"/>
    <s v="Yes"/>
    <s v="Y"/>
    <n v="0"/>
    <n v="-2"/>
    <n v="0"/>
    <n v="49"/>
    <n v="0"/>
    <m/>
    <n v="0"/>
    <n v="1"/>
    <n v="1002"/>
    <n v="18"/>
    <x v="2"/>
    <n v="1"/>
    <n v="4"/>
    <n v="92"/>
    <n v="3"/>
    <n v="2"/>
    <n v="2"/>
    <n v="6804"/>
    <n v="23793"/>
    <n v="1"/>
    <n v="15"/>
    <n v="3"/>
    <n v="1"/>
    <n v="80"/>
    <n v="2"/>
    <n v="7"/>
    <n v="3"/>
    <n v="7"/>
    <n v="7"/>
    <n v="1"/>
    <n v="7"/>
  </r>
  <r>
    <x v="1"/>
    <s v="Travel_Frequently"/>
    <x v="2"/>
    <s v="Current Employees"/>
    <x v="1"/>
    <x v="2"/>
    <x v="202"/>
    <n v="277"/>
    <x v="1"/>
    <x v="1"/>
    <x v="2"/>
    <s v="Yes"/>
    <s v="Y"/>
    <n v="4"/>
    <n v="-2"/>
    <n v="0"/>
    <n v="34"/>
    <n v="0"/>
    <m/>
    <n v="0"/>
    <n v="1"/>
    <n v="878"/>
    <n v="10"/>
    <x v="2"/>
    <n v="1"/>
    <n v="4"/>
    <n v="43"/>
    <n v="3"/>
    <n v="1"/>
    <n v="3"/>
    <n v="3815"/>
    <n v="5972"/>
    <n v="1"/>
    <n v="17"/>
    <n v="3"/>
    <n v="4"/>
    <n v="80"/>
    <n v="1"/>
    <n v="5"/>
    <n v="4"/>
    <n v="5"/>
    <n v="3"/>
    <n v="2"/>
    <n v="0"/>
  </r>
  <r>
    <x v="1"/>
    <s v="Travel_Rarely"/>
    <x v="0"/>
    <s v="Current Employees"/>
    <x v="1"/>
    <x v="2"/>
    <x v="203"/>
    <n v="281"/>
    <x v="1"/>
    <x v="2"/>
    <x v="1"/>
    <s v="Yes"/>
    <s v="Y"/>
    <n v="2"/>
    <n v="-2"/>
    <n v="0"/>
    <n v="40"/>
    <n v="0"/>
    <m/>
    <n v="0"/>
    <n v="1"/>
    <n v="905"/>
    <n v="19"/>
    <x v="0"/>
    <n v="1"/>
    <n v="3"/>
    <n v="99"/>
    <n v="3"/>
    <n v="2"/>
    <n v="4"/>
    <n v="2741"/>
    <n v="16523"/>
    <n v="8"/>
    <n v="15"/>
    <n v="3"/>
    <n v="3"/>
    <n v="80"/>
    <n v="1"/>
    <n v="15"/>
    <n v="4"/>
    <n v="7"/>
    <n v="2"/>
    <n v="3"/>
    <n v="7"/>
  </r>
  <r>
    <x v="0"/>
    <s v="Travel_Rarely"/>
    <x v="0"/>
    <s v="Ex-Employees"/>
    <x v="1"/>
    <x v="2"/>
    <x v="204"/>
    <n v="282"/>
    <x v="1"/>
    <x v="4"/>
    <x v="1"/>
    <s v="Yes"/>
    <s v="Y"/>
    <n v="2"/>
    <n v="-2"/>
    <n v="0"/>
    <n v="38"/>
    <n v="1"/>
    <n v="1"/>
    <n v="1"/>
    <n v="0"/>
    <n v="1180"/>
    <n v="29"/>
    <x v="1"/>
    <n v="1"/>
    <n v="2"/>
    <n v="70"/>
    <n v="3"/>
    <n v="2"/>
    <n v="3"/>
    <n v="6673"/>
    <n v="11354"/>
    <n v="7"/>
    <n v="19"/>
    <n v="3"/>
    <n v="2"/>
    <n v="80"/>
    <n v="0"/>
    <n v="17"/>
    <n v="3"/>
    <n v="1"/>
    <n v="0"/>
    <n v="0"/>
    <n v="0"/>
  </r>
  <r>
    <x v="0"/>
    <s v="Travel_Rarely"/>
    <x v="2"/>
    <s v="Ex-Employees"/>
    <x v="0"/>
    <x v="3"/>
    <x v="205"/>
    <n v="283"/>
    <x v="0"/>
    <x v="0"/>
    <x v="1"/>
    <s v="No"/>
    <s v="Y"/>
    <n v="3"/>
    <n v="-2"/>
    <n v="0"/>
    <n v="29"/>
    <n v="1"/>
    <n v="1"/>
    <n v="1"/>
    <n v="0"/>
    <n v="121"/>
    <n v="27"/>
    <x v="3"/>
    <n v="1"/>
    <n v="2"/>
    <n v="35"/>
    <n v="3"/>
    <n v="3"/>
    <n v="4"/>
    <n v="7639"/>
    <n v="24525"/>
    <n v="1"/>
    <n v="22"/>
    <n v="4"/>
    <n v="4"/>
    <n v="80"/>
    <n v="3"/>
    <n v="10"/>
    <n v="2"/>
    <n v="10"/>
    <n v="4"/>
    <n v="1"/>
    <n v="9"/>
  </r>
  <r>
    <x v="1"/>
    <s v="Travel_Rarely"/>
    <x v="4"/>
    <s v="Current Employees"/>
    <x v="1"/>
    <x v="0"/>
    <x v="206"/>
    <n v="284"/>
    <x v="1"/>
    <x v="1"/>
    <x v="2"/>
    <s v="Yes"/>
    <s v="Y"/>
    <n v="2"/>
    <n v="-2"/>
    <n v="0"/>
    <n v="22"/>
    <n v="0"/>
    <m/>
    <n v="0"/>
    <n v="1"/>
    <n v="1136"/>
    <n v="5"/>
    <x v="3"/>
    <n v="1"/>
    <n v="4"/>
    <n v="60"/>
    <n v="4"/>
    <n v="1"/>
    <n v="2"/>
    <n v="2328"/>
    <n v="12392"/>
    <n v="1"/>
    <n v="16"/>
    <n v="3"/>
    <n v="1"/>
    <n v="80"/>
    <n v="1"/>
    <n v="4"/>
    <n v="2"/>
    <n v="4"/>
    <n v="2"/>
    <n v="2"/>
    <n v="2"/>
  </r>
  <r>
    <x v="1"/>
    <s v="Travel_Frequently"/>
    <x v="0"/>
    <s v="Current Employees"/>
    <x v="1"/>
    <x v="2"/>
    <x v="207"/>
    <n v="286"/>
    <x v="0"/>
    <x v="2"/>
    <x v="0"/>
    <s v="No"/>
    <s v="Y"/>
    <n v="2"/>
    <n v="-2"/>
    <n v="0"/>
    <n v="36"/>
    <n v="0"/>
    <m/>
    <n v="0"/>
    <n v="1"/>
    <n v="635"/>
    <n v="18"/>
    <x v="1"/>
    <n v="1"/>
    <n v="2"/>
    <n v="73"/>
    <n v="3"/>
    <n v="1"/>
    <n v="4"/>
    <n v="2153"/>
    <n v="7703"/>
    <n v="1"/>
    <n v="13"/>
    <n v="3"/>
    <n v="1"/>
    <n v="80"/>
    <n v="0"/>
    <n v="8"/>
    <n v="3"/>
    <n v="8"/>
    <n v="1"/>
    <n v="1"/>
    <n v="7"/>
  </r>
  <r>
    <x v="1"/>
    <s v="Non-Travel"/>
    <x v="0"/>
    <s v="Current Employees"/>
    <x v="1"/>
    <x v="0"/>
    <x v="208"/>
    <n v="287"/>
    <x v="1"/>
    <x v="4"/>
    <x v="1"/>
    <s v="No"/>
    <s v="Y"/>
    <n v="5"/>
    <n v="-2"/>
    <n v="0"/>
    <n v="40"/>
    <n v="0"/>
    <m/>
    <n v="0"/>
    <n v="1"/>
    <n v="1151"/>
    <n v="9"/>
    <x v="4"/>
    <n v="1"/>
    <n v="4"/>
    <n v="63"/>
    <n v="2"/>
    <n v="2"/>
    <n v="2"/>
    <n v="4876"/>
    <n v="14242"/>
    <n v="9"/>
    <n v="14"/>
    <n v="3"/>
    <n v="4"/>
    <n v="80"/>
    <n v="1"/>
    <n v="5"/>
    <n v="1"/>
    <n v="3"/>
    <n v="2"/>
    <n v="0"/>
    <n v="2"/>
  </r>
  <r>
    <x v="1"/>
    <s v="Travel_Rarely"/>
    <x v="1"/>
    <s v="Current Employees"/>
    <x v="1"/>
    <x v="2"/>
    <x v="209"/>
    <n v="288"/>
    <x v="1"/>
    <x v="4"/>
    <x v="2"/>
    <s v="No"/>
    <s v="Y"/>
    <n v="3"/>
    <n v="-2"/>
    <n v="0"/>
    <n v="46"/>
    <n v="0"/>
    <m/>
    <n v="0"/>
    <n v="1"/>
    <n v="644"/>
    <n v="1"/>
    <x v="2"/>
    <n v="1"/>
    <n v="4"/>
    <n v="97"/>
    <n v="3"/>
    <n v="3"/>
    <n v="3"/>
    <n v="9396"/>
    <n v="12368"/>
    <n v="7"/>
    <n v="16"/>
    <n v="3"/>
    <n v="3"/>
    <n v="80"/>
    <n v="1"/>
    <n v="17"/>
    <n v="3"/>
    <n v="4"/>
    <n v="2"/>
    <n v="0"/>
    <n v="3"/>
  </r>
  <r>
    <x v="0"/>
    <s v="Travel_Rarely"/>
    <x v="2"/>
    <s v="Ex-Employees"/>
    <x v="0"/>
    <x v="2"/>
    <x v="210"/>
    <n v="291"/>
    <x v="1"/>
    <x v="0"/>
    <x v="1"/>
    <s v="No"/>
    <s v="Y"/>
    <n v="2"/>
    <n v="-2"/>
    <n v="0"/>
    <n v="32"/>
    <n v="1"/>
    <n v="1"/>
    <n v="1"/>
    <n v="0"/>
    <n v="1045"/>
    <n v="4"/>
    <x v="2"/>
    <n v="1"/>
    <n v="4"/>
    <n v="32"/>
    <n v="1"/>
    <n v="3"/>
    <n v="4"/>
    <n v="10400"/>
    <n v="25812"/>
    <n v="1"/>
    <n v="11"/>
    <n v="3"/>
    <n v="3"/>
    <n v="80"/>
    <n v="0"/>
    <n v="14"/>
    <n v="2"/>
    <n v="14"/>
    <n v="8"/>
    <n v="9"/>
    <n v="8"/>
  </r>
  <r>
    <x v="1"/>
    <s v="Non-Travel"/>
    <x v="2"/>
    <s v="Current Employees"/>
    <x v="1"/>
    <x v="0"/>
    <x v="211"/>
    <n v="292"/>
    <x v="1"/>
    <x v="3"/>
    <x v="0"/>
    <s v="No"/>
    <s v="Y"/>
    <n v="2"/>
    <n v="-2"/>
    <n v="0"/>
    <n v="30"/>
    <n v="0"/>
    <m/>
    <n v="0"/>
    <n v="1"/>
    <n v="829"/>
    <n v="1"/>
    <x v="1"/>
    <n v="1"/>
    <n v="3"/>
    <n v="88"/>
    <n v="2"/>
    <n v="3"/>
    <n v="2"/>
    <n v="8474"/>
    <n v="20925"/>
    <n v="1"/>
    <n v="22"/>
    <n v="4"/>
    <n v="3"/>
    <n v="80"/>
    <n v="0"/>
    <n v="12"/>
    <n v="3"/>
    <n v="11"/>
    <n v="8"/>
    <n v="5"/>
    <n v="8"/>
  </r>
  <r>
    <x v="1"/>
    <s v="Travel_Frequently"/>
    <x v="2"/>
    <s v="Current Employees"/>
    <x v="0"/>
    <x v="0"/>
    <x v="212"/>
    <n v="293"/>
    <x v="0"/>
    <x v="0"/>
    <x v="0"/>
    <s v="No"/>
    <s v="Y"/>
    <n v="2"/>
    <n v="-2"/>
    <n v="0"/>
    <n v="27"/>
    <n v="0"/>
    <m/>
    <n v="0"/>
    <n v="1"/>
    <n v="1242"/>
    <n v="20"/>
    <x v="3"/>
    <n v="1"/>
    <n v="4"/>
    <n v="90"/>
    <n v="3"/>
    <n v="2"/>
    <n v="2"/>
    <n v="9981"/>
    <n v="12916"/>
    <n v="1"/>
    <n v="14"/>
    <n v="3"/>
    <n v="4"/>
    <n v="80"/>
    <n v="0"/>
    <n v="7"/>
    <n v="3"/>
    <n v="7"/>
    <n v="7"/>
    <n v="0"/>
    <n v="7"/>
  </r>
  <r>
    <x v="1"/>
    <s v="Travel_Rarely"/>
    <x v="1"/>
    <s v="Current Employees"/>
    <x v="1"/>
    <x v="0"/>
    <x v="213"/>
    <n v="296"/>
    <x v="1"/>
    <x v="7"/>
    <x v="1"/>
    <s v="No"/>
    <s v="Y"/>
    <n v="5"/>
    <n v="-2"/>
    <n v="0"/>
    <n v="51"/>
    <n v="0"/>
    <m/>
    <n v="0"/>
    <n v="1"/>
    <n v="1469"/>
    <n v="8"/>
    <x v="2"/>
    <n v="1"/>
    <n v="2"/>
    <n v="81"/>
    <n v="2"/>
    <n v="3"/>
    <n v="2"/>
    <n v="12490"/>
    <n v="15736"/>
    <n v="5"/>
    <n v="16"/>
    <n v="3"/>
    <n v="4"/>
    <n v="80"/>
    <n v="2"/>
    <n v="16"/>
    <n v="1"/>
    <n v="10"/>
    <n v="9"/>
    <n v="4"/>
    <n v="7"/>
  </r>
  <r>
    <x v="0"/>
    <s v="Travel_Rarely"/>
    <x v="2"/>
    <s v="Ex-Employees"/>
    <x v="1"/>
    <x v="4"/>
    <x v="214"/>
    <n v="297"/>
    <x v="0"/>
    <x v="1"/>
    <x v="0"/>
    <s v="Yes"/>
    <s v="Y"/>
    <n v="5"/>
    <n v="-2"/>
    <n v="0"/>
    <n v="30"/>
    <n v="1"/>
    <n v="1"/>
    <n v="1"/>
    <n v="0"/>
    <n v="1005"/>
    <n v="3"/>
    <x v="3"/>
    <n v="1"/>
    <n v="4"/>
    <n v="88"/>
    <n v="3"/>
    <n v="1"/>
    <n v="4"/>
    <n v="2657"/>
    <n v="8556"/>
    <n v="5"/>
    <n v="11"/>
    <n v="3"/>
    <n v="3"/>
    <n v="80"/>
    <n v="0"/>
    <n v="8"/>
    <n v="3"/>
    <n v="5"/>
    <n v="2"/>
    <n v="0"/>
    <n v="4"/>
  </r>
  <r>
    <x v="1"/>
    <s v="Travel_Rarely"/>
    <x v="0"/>
    <s v="Current Employees"/>
    <x v="0"/>
    <x v="0"/>
    <x v="215"/>
    <n v="298"/>
    <x v="0"/>
    <x v="5"/>
    <x v="0"/>
    <s v="Yes"/>
    <s v="Y"/>
    <n v="3"/>
    <n v="-2"/>
    <n v="0"/>
    <n v="41"/>
    <n v="0"/>
    <m/>
    <n v="0"/>
    <n v="1"/>
    <n v="896"/>
    <n v="6"/>
    <x v="3"/>
    <n v="1"/>
    <n v="4"/>
    <n v="75"/>
    <n v="3"/>
    <n v="3"/>
    <n v="2"/>
    <n v="13591"/>
    <n v="14674"/>
    <n v="3"/>
    <n v="18"/>
    <n v="3"/>
    <n v="3"/>
    <n v="80"/>
    <n v="0"/>
    <n v="16"/>
    <n v="3"/>
    <n v="1"/>
    <n v="0"/>
    <n v="0"/>
    <n v="0"/>
  </r>
  <r>
    <x v="0"/>
    <s v="Travel_Frequently"/>
    <x v="2"/>
    <s v="Ex-Employees"/>
    <x v="0"/>
    <x v="3"/>
    <x v="216"/>
    <n v="299"/>
    <x v="0"/>
    <x v="0"/>
    <x v="0"/>
    <s v="No"/>
    <s v="Y"/>
    <n v="5"/>
    <n v="-2"/>
    <n v="0"/>
    <n v="30"/>
    <n v="1"/>
    <n v="1"/>
    <n v="1"/>
    <n v="0"/>
    <n v="334"/>
    <n v="26"/>
    <x v="2"/>
    <n v="1"/>
    <n v="3"/>
    <n v="52"/>
    <n v="2"/>
    <n v="2"/>
    <n v="3"/>
    <n v="6696"/>
    <n v="22967"/>
    <n v="5"/>
    <n v="15"/>
    <n v="3"/>
    <n v="3"/>
    <n v="80"/>
    <n v="0"/>
    <n v="9"/>
    <n v="2"/>
    <n v="6"/>
    <n v="3"/>
    <n v="0"/>
    <n v="1"/>
  </r>
  <r>
    <x v="0"/>
    <s v="Travel_Rarely"/>
    <x v="2"/>
    <s v="Ex-Employees"/>
    <x v="1"/>
    <x v="4"/>
    <x v="217"/>
    <n v="300"/>
    <x v="1"/>
    <x v="1"/>
    <x v="0"/>
    <s v="No"/>
    <s v="Y"/>
    <n v="1"/>
    <n v="-2"/>
    <n v="0"/>
    <n v="29"/>
    <n v="1"/>
    <n v="1"/>
    <n v="1"/>
    <n v="0"/>
    <n v="992"/>
    <n v="1"/>
    <x v="3"/>
    <n v="1"/>
    <n v="3"/>
    <n v="85"/>
    <n v="3"/>
    <n v="1"/>
    <n v="4"/>
    <n v="2058"/>
    <n v="19757"/>
    <n v="0"/>
    <n v="14"/>
    <n v="3"/>
    <n v="4"/>
    <n v="80"/>
    <n v="0"/>
    <n v="7"/>
    <n v="2"/>
    <n v="6"/>
    <n v="2"/>
    <n v="1"/>
    <n v="5"/>
  </r>
  <r>
    <x v="1"/>
    <s v="Non-Travel"/>
    <x v="1"/>
    <s v="Current Employees"/>
    <x v="0"/>
    <x v="2"/>
    <x v="218"/>
    <n v="302"/>
    <x v="0"/>
    <x v="0"/>
    <x v="0"/>
    <s v="No"/>
    <s v="Y"/>
    <n v="2"/>
    <n v="-2"/>
    <n v="0"/>
    <n v="45"/>
    <n v="0"/>
    <m/>
    <n v="0"/>
    <n v="1"/>
    <n v="1052"/>
    <n v="6"/>
    <x v="3"/>
    <n v="1"/>
    <n v="4"/>
    <n v="57"/>
    <n v="2"/>
    <n v="3"/>
    <n v="4"/>
    <n v="8865"/>
    <n v="16840"/>
    <n v="6"/>
    <n v="12"/>
    <n v="3"/>
    <n v="4"/>
    <n v="80"/>
    <n v="0"/>
    <n v="23"/>
    <n v="3"/>
    <n v="19"/>
    <n v="7"/>
    <n v="12"/>
    <n v="8"/>
  </r>
  <r>
    <x v="1"/>
    <s v="Travel_Rarely"/>
    <x v="1"/>
    <s v="Current Employees"/>
    <x v="0"/>
    <x v="3"/>
    <x v="219"/>
    <n v="303"/>
    <x v="0"/>
    <x v="0"/>
    <x v="1"/>
    <s v="No"/>
    <s v="Y"/>
    <n v="4"/>
    <n v="-2"/>
    <n v="0"/>
    <n v="54"/>
    <n v="0"/>
    <m/>
    <n v="0"/>
    <n v="1"/>
    <n v="1147"/>
    <n v="3"/>
    <x v="3"/>
    <n v="1"/>
    <n v="4"/>
    <n v="52"/>
    <n v="3"/>
    <n v="2"/>
    <n v="1"/>
    <n v="5940"/>
    <n v="17011"/>
    <n v="2"/>
    <n v="14"/>
    <n v="3"/>
    <n v="4"/>
    <n v="80"/>
    <n v="1"/>
    <n v="16"/>
    <n v="3"/>
    <n v="6"/>
    <n v="2"/>
    <n v="0"/>
    <n v="5"/>
  </r>
  <r>
    <x v="1"/>
    <s v="Travel_Rarely"/>
    <x v="0"/>
    <s v="Current Employees"/>
    <x v="1"/>
    <x v="0"/>
    <x v="220"/>
    <n v="304"/>
    <x v="1"/>
    <x v="2"/>
    <x v="0"/>
    <s v="No"/>
    <s v="Y"/>
    <n v="3"/>
    <n v="-2"/>
    <n v="0"/>
    <n v="36"/>
    <n v="0"/>
    <m/>
    <n v="0"/>
    <n v="1"/>
    <n v="1396"/>
    <n v="5"/>
    <x v="0"/>
    <n v="1"/>
    <n v="4"/>
    <n v="62"/>
    <n v="3"/>
    <n v="2"/>
    <n v="2"/>
    <n v="5914"/>
    <n v="9945"/>
    <n v="8"/>
    <n v="16"/>
    <n v="3"/>
    <n v="4"/>
    <n v="80"/>
    <n v="0"/>
    <n v="16"/>
    <n v="4"/>
    <n v="13"/>
    <n v="11"/>
    <n v="3"/>
    <n v="7"/>
  </r>
  <r>
    <x v="1"/>
    <s v="Travel_Rarely"/>
    <x v="2"/>
    <s v="Current Employees"/>
    <x v="1"/>
    <x v="2"/>
    <x v="221"/>
    <n v="305"/>
    <x v="0"/>
    <x v="1"/>
    <x v="1"/>
    <s v="No"/>
    <s v="Y"/>
    <n v="3"/>
    <n v="-2"/>
    <n v="0"/>
    <n v="33"/>
    <n v="0"/>
    <m/>
    <n v="0"/>
    <n v="1"/>
    <n v="147"/>
    <n v="4"/>
    <x v="2"/>
    <n v="1"/>
    <n v="3"/>
    <n v="47"/>
    <n v="2"/>
    <n v="1"/>
    <n v="3"/>
    <n v="2622"/>
    <n v="13248"/>
    <n v="6"/>
    <n v="21"/>
    <n v="4"/>
    <n v="4"/>
    <n v="80"/>
    <n v="0"/>
    <n v="7"/>
    <n v="3"/>
    <n v="3"/>
    <n v="2"/>
    <n v="1"/>
    <n v="1"/>
  </r>
  <r>
    <x v="1"/>
    <s v="Travel_Frequently"/>
    <x v="0"/>
    <s v="Current Employees"/>
    <x v="1"/>
    <x v="1"/>
    <x v="222"/>
    <n v="306"/>
    <x v="1"/>
    <x v="7"/>
    <x v="2"/>
    <s v="Yes"/>
    <s v="Y"/>
    <n v="1"/>
    <n v="-2"/>
    <n v="0"/>
    <n v="37"/>
    <n v="0"/>
    <m/>
    <n v="0"/>
    <n v="1"/>
    <n v="663"/>
    <n v="11"/>
    <x v="3"/>
    <n v="1"/>
    <n v="2"/>
    <n v="47"/>
    <n v="3"/>
    <n v="3"/>
    <n v="4"/>
    <n v="12185"/>
    <n v="10056"/>
    <n v="1"/>
    <n v="14"/>
    <n v="3"/>
    <n v="3"/>
    <n v="80"/>
    <n v="3"/>
    <n v="10"/>
    <n v="3"/>
    <n v="10"/>
    <n v="8"/>
    <n v="0"/>
    <n v="7"/>
  </r>
  <r>
    <x v="1"/>
    <s v="Travel_Rarely"/>
    <x v="0"/>
    <s v="Current Employees"/>
    <x v="0"/>
    <x v="0"/>
    <x v="223"/>
    <n v="307"/>
    <x v="1"/>
    <x v="0"/>
    <x v="2"/>
    <s v="No"/>
    <s v="Y"/>
    <n v="6"/>
    <n v="-2"/>
    <n v="0"/>
    <n v="38"/>
    <n v="0"/>
    <m/>
    <n v="0"/>
    <n v="1"/>
    <n v="119"/>
    <n v="3"/>
    <x v="3"/>
    <n v="1"/>
    <n v="1"/>
    <n v="76"/>
    <n v="3"/>
    <n v="3"/>
    <n v="2"/>
    <n v="10609"/>
    <n v="9647"/>
    <n v="0"/>
    <n v="12"/>
    <n v="3"/>
    <n v="3"/>
    <n v="80"/>
    <n v="2"/>
    <n v="17"/>
    <n v="2"/>
    <n v="16"/>
    <n v="10"/>
    <n v="5"/>
    <n v="13"/>
  </r>
  <r>
    <x v="1"/>
    <s v="Non-Travel"/>
    <x v="2"/>
    <s v="Current Employees"/>
    <x v="1"/>
    <x v="2"/>
    <x v="224"/>
    <n v="308"/>
    <x v="1"/>
    <x v="3"/>
    <x v="1"/>
    <s v="No"/>
    <s v="Y"/>
    <n v="2"/>
    <n v="-2"/>
    <n v="0"/>
    <n v="31"/>
    <n v="0"/>
    <m/>
    <n v="0"/>
    <n v="1"/>
    <n v="979"/>
    <n v="1"/>
    <x v="2"/>
    <n v="1"/>
    <n v="3"/>
    <n v="90"/>
    <n v="1"/>
    <n v="2"/>
    <n v="3"/>
    <n v="4345"/>
    <n v="4381"/>
    <n v="0"/>
    <n v="12"/>
    <n v="3"/>
    <n v="4"/>
    <n v="80"/>
    <n v="1"/>
    <n v="6"/>
    <n v="3"/>
    <n v="5"/>
    <n v="4"/>
    <n v="1"/>
    <n v="4"/>
  </r>
  <r>
    <x v="1"/>
    <s v="Travel_Rarely"/>
    <x v="3"/>
    <s v="Current Employees"/>
    <x v="1"/>
    <x v="0"/>
    <x v="225"/>
    <n v="309"/>
    <x v="1"/>
    <x v="1"/>
    <x v="1"/>
    <s v="No"/>
    <s v="Y"/>
    <n v="6"/>
    <n v="-2"/>
    <n v="0"/>
    <n v="59"/>
    <n v="0"/>
    <m/>
    <n v="0"/>
    <n v="1"/>
    <n v="142"/>
    <n v="3"/>
    <x v="3"/>
    <n v="1"/>
    <n v="3"/>
    <n v="70"/>
    <n v="2"/>
    <n v="1"/>
    <n v="2"/>
    <n v="2177"/>
    <n v="8456"/>
    <n v="3"/>
    <n v="17"/>
    <n v="3"/>
    <n v="1"/>
    <n v="80"/>
    <n v="1"/>
    <n v="7"/>
    <n v="3"/>
    <n v="1"/>
    <n v="0"/>
    <n v="0"/>
    <n v="0"/>
  </r>
  <r>
    <x v="1"/>
    <s v="Travel_Frequently"/>
    <x v="0"/>
    <s v="Current Employees"/>
    <x v="0"/>
    <x v="3"/>
    <x v="226"/>
    <n v="311"/>
    <x v="1"/>
    <x v="6"/>
    <x v="2"/>
    <s v="No"/>
    <s v="Y"/>
    <n v="2"/>
    <n v="-2"/>
    <n v="0"/>
    <n v="37"/>
    <n v="0"/>
    <m/>
    <n v="0"/>
    <n v="1"/>
    <n v="319"/>
    <n v="4"/>
    <x v="2"/>
    <n v="1"/>
    <n v="1"/>
    <n v="41"/>
    <n v="3"/>
    <n v="1"/>
    <n v="1"/>
    <n v="2793"/>
    <n v="2539"/>
    <n v="4"/>
    <n v="17"/>
    <n v="3"/>
    <n v="3"/>
    <n v="80"/>
    <n v="1"/>
    <n v="13"/>
    <n v="3"/>
    <n v="9"/>
    <n v="8"/>
    <n v="5"/>
    <n v="8"/>
  </r>
  <r>
    <x v="1"/>
    <s v="Travel_Frequently"/>
    <x v="2"/>
    <s v="Current Employees"/>
    <x v="0"/>
    <x v="2"/>
    <x v="227"/>
    <n v="312"/>
    <x v="0"/>
    <x v="0"/>
    <x v="1"/>
    <s v="No"/>
    <s v="Y"/>
    <n v="5"/>
    <n v="-2"/>
    <n v="0"/>
    <n v="29"/>
    <n v="0"/>
    <m/>
    <n v="0"/>
    <n v="1"/>
    <n v="1413"/>
    <n v="1"/>
    <x v="1"/>
    <n v="1"/>
    <n v="2"/>
    <n v="42"/>
    <n v="3"/>
    <n v="3"/>
    <n v="4"/>
    <n v="7918"/>
    <n v="6599"/>
    <n v="1"/>
    <n v="14"/>
    <n v="3"/>
    <n v="4"/>
    <n v="80"/>
    <n v="1"/>
    <n v="11"/>
    <n v="3"/>
    <n v="11"/>
    <n v="10"/>
    <n v="4"/>
    <n v="1"/>
  </r>
  <r>
    <x v="1"/>
    <s v="Travel_Frequently"/>
    <x v="0"/>
    <s v="Current Employees"/>
    <x v="0"/>
    <x v="3"/>
    <x v="228"/>
    <n v="314"/>
    <x v="0"/>
    <x v="0"/>
    <x v="0"/>
    <s v="No"/>
    <s v="Y"/>
    <n v="3"/>
    <n v="-2"/>
    <n v="0"/>
    <n v="35"/>
    <n v="0"/>
    <m/>
    <n v="0"/>
    <n v="1"/>
    <n v="944"/>
    <n v="1"/>
    <x v="3"/>
    <n v="1"/>
    <n v="3"/>
    <n v="92"/>
    <n v="3"/>
    <n v="3"/>
    <n v="1"/>
    <n v="8789"/>
    <n v="9096"/>
    <n v="1"/>
    <n v="14"/>
    <n v="3"/>
    <n v="1"/>
    <n v="80"/>
    <n v="0"/>
    <n v="10"/>
    <n v="4"/>
    <n v="10"/>
    <n v="7"/>
    <n v="0"/>
    <n v="8"/>
  </r>
  <r>
    <x v="0"/>
    <s v="Travel_Rarely"/>
    <x v="2"/>
    <s v="Ex-Employees"/>
    <x v="1"/>
    <x v="2"/>
    <x v="229"/>
    <n v="315"/>
    <x v="1"/>
    <x v="1"/>
    <x v="0"/>
    <s v="Yes"/>
    <s v="Y"/>
    <n v="3"/>
    <n v="-2"/>
    <n v="0"/>
    <n v="29"/>
    <n v="1"/>
    <n v="1"/>
    <n v="1"/>
    <n v="0"/>
    <n v="896"/>
    <n v="18"/>
    <x v="1"/>
    <n v="1"/>
    <n v="3"/>
    <n v="86"/>
    <n v="2"/>
    <n v="1"/>
    <n v="4"/>
    <n v="2389"/>
    <n v="14961"/>
    <n v="1"/>
    <n v="13"/>
    <n v="3"/>
    <n v="3"/>
    <n v="80"/>
    <n v="0"/>
    <n v="4"/>
    <n v="2"/>
    <n v="4"/>
    <n v="3"/>
    <n v="0"/>
    <n v="1"/>
  </r>
  <r>
    <x v="1"/>
    <s v="Travel_Rarely"/>
    <x v="1"/>
    <s v="Current Employees"/>
    <x v="1"/>
    <x v="0"/>
    <x v="230"/>
    <n v="316"/>
    <x v="0"/>
    <x v="2"/>
    <x v="0"/>
    <s v="No"/>
    <s v="Y"/>
    <n v="3"/>
    <n v="-2"/>
    <n v="0"/>
    <n v="52"/>
    <n v="0"/>
    <m/>
    <n v="0"/>
    <n v="1"/>
    <n v="1323"/>
    <n v="2"/>
    <x v="3"/>
    <n v="1"/>
    <n v="3"/>
    <n v="89"/>
    <n v="2"/>
    <n v="1"/>
    <n v="2"/>
    <n v="3212"/>
    <n v="3300"/>
    <n v="7"/>
    <n v="15"/>
    <n v="3"/>
    <n v="2"/>
    <n v="80"/>
    <n v="0"/>
    <n v="6"/>
    <n v="2"/>
    <n v="2"/>
    <n v="2"/>
    <n v="2"/>
    <n v="2"/>
  </r>
  <r>
    <x v="1"/>
    <s v="Travel_Rarely"/>
    <x v="0"/>
    <s v="Current Employees"/>
    <x v="1"/>
    <x v="4"/>
    <x v="231"/>
    <n v="319"/>
    <x v="1"/>
    <x v="5"/>
    <x v="1"/>
    <s v="No"/>
    <s v="Y"/>
    <n v="3"/>
    <n v="-2"/>
    <n v="0"/>
    <n v="42"/>
    <n v="0"/>
    <m/>
    <n v="0"/>
    <n v="1"/>
    <n v="532"/>
    <n v="4"/>
    <x v="0"/>
    <n v="1"/>
    <n v="3"/>
    <n v="58"/>
    <n v="3"/>
    <n v="5"/>
    <n v="4"/>
    <n v="19232"/>
    <n v="4933"/>
    <n v="1"/>
    <n v="11"/>
    <n v="3"/>
    <n v="4"/>
    <n v="80"/>
    <n v="0"/>
    <n v="22"/>
    <n v="3"/>
    <n v="22"/>
    <n v="17"/>
    <n v="11"/>
    <n v="15"/>
  </r>
  <r>
    <x v="1"/>
    <s v="Travel_Rarely"/>
    <x v="3"/>
    <s v="Current Employees"/>
    <x v="2"/>
    <x v="2"/>
    <x v="232"/>
    <n v="321"/>
    <x v="1"/>
    <x v="8"/>
    <x v="1"/>
    <s v="No"/>
    <s v="Y"/>
    <n v="2"/>
    <n v="-2"/>
    <n v="0"/>
    <n v="59"/>
    <n v="0"/>
    <m/>
    <n v="0"/>
    <n v="1"/>
    <n v="818"/>
    <n v="6"/>
    <x v="0"/>
    <n v="1"/>
    <n v="2"/>
    <n v="52"/>
    <n v="3"/>
    <n v="1"/>
    <n v="3"/>
    <n v="2267"/>
    <n v="25657"/>
    <n v="8"/>
    <n v="17"/>
    <n v="3"/>
    <n v="4"/>
    <n v="80"/>
    <n v="0"/>
    <n v="7"/>
    <n v="2"/>
    <n v="2"/>
    <n v="2"/>
    <n v="2"/>
    <n v="2"/>
  </r>
  <r>
    <x v="1"/>
    <s v="Travel_Rarely"/>
    <x v="1"/>
    <s v="Current Employees"/>
    <x v="0"/>
    <x v="2"/>
    <x v="233"/>
    <n v="323"/>
    <x v="0"/>
    <x v="5"/>
    <x v="2"/>
    <s v="No"/>
    <s v="Y"/>
    <n v="3"/>
    <n v="-2"/>
    <n v="0"/>
    <n v="50"/>
    <n v="0"/>
    <m/>
    <n v="0"/>
    <n v="1"/>
    <n v="854"/>
    <n v="1"/>
    <x v="2"/>
    <n v="1"/>
    <n v="4"/>
    <n v="68"/>
    <n v="3"/>
    <n v="5"/>
    <n v="4"/>
    <n v="19517"/>
    <n v="24118"/>
    <n v="3"/>
    <n v="11"/>
    <n v="3"/>
    <n v="3"/>
    <n v="80"/>
    <n v="1"/>
    <n v="32"/>
    <n v="2"/>
    <n v="7"/>
    <n v="0"/>
    <n v="0"/>
    <n v="6"/>
  </r>
  <r>
    <x v="0"/>
    <s v="Travel_Rarely"/>
    <x v="2"/>
    <s v="Ex-Employees"/>
    <x v="1"/>
    <x v="2"/>
    <x v="234"/>
    <n v="325"/>
    <x v="1"/>
    <x v="2"/>
    <x v="1"/>
    <s v="Yes"/>
    <s v="Y"/>
    <n v="2"/>
    <n v="-2"/>
    <n v="0"/>
    <n v="33"/>
    <n v="1"/>
    <n v="1"/>
    <n v="1"/>
    <n v="0"/>
    <n v="813"/>
    <n v="14"/>
    <x v="3"/>
    <n v="1"/>
    <n v="3"/>
    <n v="58"/>
    <n v="3"/>
    <n v="1"/>
    <n v="4"/>
    <n v="2436"/>
    <n v="22149"/>
    <n v="5"/>
    <n v="13"/>
    <n v="3"/>
    <n v="3"/>
    <n v="80"/>
    <n v="1"/>
    <n v="8"/>
    <n v="1"/>
    <n v="5"/>
    <n v="4"/>
    <n v="0"/>
    <n v="4"/>
  </r>
  <r>
    <x v="1"/>
    <s v="Travel_Rarely"/>
    <x v="0"/>
    <s v="Current Employees"/>
    <x v="0"/>
    <x v="3"/>
    <x v="235"/>
    <n v="327"/>
    <x v="0"/>
    <x v="5"/>
    <x v="1"/>
    <s v="Yes"/>
    <s v="Y"/>
    <n v="3"/>
    <n v="-2"/>
    <n v="0"/>
    <n v="43"/>
    <n v="0"/>
    <m/>
    <n v="0"/>
    <n v="1"/>
    <n v="1034"/>
    <n v="16"/>
    <x v="3"/>
    <n v="1"/>
    <n v="4"/>
    <n v="80"/>
    <n v="3"/>
    <n v="4"/>
    <n v="1"/>
    <n v="16064"/>
    <n v="7744"/>
    <n v="5"/>
    <n v="22"/>
    <n v="4"/>
    <n v="3"/>
    <n v="80"/>
    <n v="1"/>
    <n v="22"/>
    <n v="3"/>
    <n v="17"/>
    <n v="13"/>
    <n v="1"/>
    <n v="9"/>
  </r>
  <r>
    <x v="0"/>
    <s v="Travel_Rarely"/>
    <x v="2"/>
    <s v="Ex-Employees"/>
    <x v="1"/>
    <x v="0"/>
    <x v="236"/>
    <n v="328"/>
    <x v="0"/>
    <x v="2"/>
    <x v="1"/>
    <s v="No"/>
    <s v="Y"/>
    <n v="3"/>
    <n v="-2"/>
    <n v="0"/>
    <n v="33"/>
    <n v="1"/>
    <n v="1"/>
    <n v="1"/>
    <n v="0"/>
    <n v="465"/>
    <n v="2"/>
    <x v="0"/>
    <n v="1"/>
    <n v="1"/>
    <n v="39"/>
    <n v="3"/>
    <n v="1"/>
    <n v="2"/>
    <n v="2707"/>
    <n v="21509"/>
    <n v="7"/>
    <n v="20"/>
    <n v="4"/>
    <n v="1"/>
    <n v="80"/>
    <n v="0"/>
    <n v="13"/>
    <n v="4"/>
    <n v="9"/>
    <n v="7"/>
    <n v="1"/>
    <n v="7"/>
  </r>
  <r>
    <x v="1"/>
    <s v="Non-Travel"/>
    <x v="1"/>
    <s v="Current Employees"/>
    <x v="0"/>
    <x v="0"/>
    <x v="237"/>
    <n v="329"/>
    <x v="1"/>
    <x v="5"/>
    <x v="0"/>
    <s v="Yes"/>
    <s v="Y"/>
    <n v="2"/>
    <n v="-2"/>
    <n v="0"/>
    <n v="52"/>
    <n v="0"/>
    <m/>
    <n v="0"/>
    <n v="1"/>
    <n v="771"/>
    <n v="2"/>
    <x v="2"/>
    <n v="1"/>
    <n v="1"/>
    <n v="79"/>
    <n v="2"/>
    <n v="5"/>
    <n v="2"/>
    <n v="19068"/>
    <n v="21030"/>
    <n v="1"/>
    <n v="18"/>
    <n v="3"/>
    <n v="4"/>
    <n v="80"/>
    <n v="0"/>
    <n v="33"/>
    <n v="4"/>
    <n v="33"/>
    <n v="7"/>
    <n v="15"/>
    <n v="12"/>
  </r>
  <r>
    <x v="1"/>
    <s v="Travel_Rarely"/>
    <x v="2"/>
    <s v="Current Employees"/>
    <x v="0"/>
    <x v="0"/>
    <x v="238"/>
    <n v="330"/>
    <x v="0"/>
    <x v="6"/>
    <x v="1"/>
    <s v="No"/>
    <s v="Y"/>
    <n v="5"/>
    <n v="-2"/>
    <n v="0"/>
    <n v="32"/>
    <n v="0"/>
    <m/>
    <n v="0"/>
    <n v="1"/>
    <n v="1401"/>
    <n v="4"/>
    <x v="0"/>
    <n v="1"/>
    <n v="3"/>
    <n v="56"/>
    <n v="3"/>
    <n v="1"/>
    <n v="2"/>
    <n v="3931"/>
    <n v="20990"/>
    <n v="2"/>
    <n v="11"/>
    <n v="3"/>
    <n v="1"/>
    <n v="80"/>
    <n v="1"/>
    <n v="6"/>
    <n v="3"/>
    <n v="4"/>
    <n v="3"/>
    <n v="1"/>
    <n v="2"/>
  </r>
  <r>
    <x v="0"/>
    <s v="Travel_Rarely"/>
    <x v="2"/>
    <s v="Ex-Employees"/>
    <x v="1"/>
    <x v="0"/>
    <x v="239"/>
    <n v="331"/>
    <x v="1"/>
    <x v="2"/>
    <x v="0"/>
    <s v="Yes"/>
    <s v="Y"/>
    <n v="2"/>
    <n v="-2"/>
    <n v="0"/>
    <n v="32"/>
    <n v="1"/>
    <n v="1"/>
    <n v="1"/>
    <n v="0"/>
    <n v="515"/>
    <n v="1"/>
    <x v="3"/>
    <n v="1"/>
    <n v="4"/>
    <n v="62"/>
    <n v="2"/>
    <n v="1"/>
    <n v="2"/>
    <n v="3730"/>
    <n v="9571"/>
    <n v="0"/>
    <n v="14"/>
    <n v="3"/>
    <n v="4"/>
    <n v="80"/>
    <n v="0"/>
    <n v="4"/>
    <n v="1"/>
    <n v="3"/>
    <n v="2"/>
    <n v="1"/>
    <n v="2"/>
  </r>
  <r>
    <x v="1"/>
    <s v="Travel_Rarely"/>
    <x v="0"/>
    <s v="Current Employees"/>
    <x v="1"/>
    <x v="2"/>
    <x v="240"/>
    <n v="332"/>
    <x v="0"/>
    <x v="2"/>
    <x v="2"/>
    <s v="No"/>
    <s v="Y"/>
    <n v="1"/>
    <n v="-2"/>
    <n v="0"/>
    <n v="39"/>
    <n v="0"/>
    <m/>
    <n v="0"/>
    <n v="1"/>
    <n v="1431"/>
    <n v="1"/>
    <x v="2"/>
    <n v="1"/>
    <n v="3"/>
    <n v="96"/>
    <n v="3"/>
    <n v="1"/>
    <n v="3"/>
    <n v="2232"/>
    <n v="15417"/>
    <n v="7"/>
    <n v="14"/>
    <n v="3"/>
    <n v="3"/>
    <n v="80"/>
    <n v="3"/>
    <n v="7"/>
    <n v="3"/>
    <n v="3"/>
    <n v="2"/>
    <n v="1"/>
    <n v="2"/>
  </r>
  <r>
    <x v="1"/>
    <s v="Non-Travel"/>
    <x v="2"/>
    <s v="Current Employees"/>
    <x v="0"/>
    <x v="3"/>
    <x v="241"/>
    <n v="333"/>
    <x v="1"/>
    <x v="0"/>
    <x v="1"/>
    <s v="No"/>
    <s v="Y"/>
    <n v="2"/>
    <n v="-2"/>
    <n v="0"/>
    <n v="32"/>
    <n v="0"/>
    <m/>
    <n v="0"/>
    <n v="1"/>
    <n v="976"/>
    <n v="26"/>
    <x v="2"/>
    <n v="1"/>
    <n v="3"/>
    <n v="100"/>
    <n v="3"/>
    <n v="2"/>
    <n v="1"/>
    <n v="4465"/>
    <n v="12069"/>
    <n v="0"/>
    <n v="18"/>
    <n v="3"/>
    <n v="1"/>
    <n v="80"/>
    <n v="0"/>
    <n v="4"/>
    <n v="3"/>
    <n v="3"/>
    <n v="2"/>
    <n v="2"/>
    <n v="2"/>
  </r>
  <r>
    <x v="1"/>
    <s v="Travel_Rarely"/>
    <x v="0"/>
    <s v="Current Employees"/>
    <x v="1"/>
    <x v="0"/>
    <x v="242"/>
    <n v="334"/>
    <x v="1"/>
    <x v="1"/>
    <x v="2"/>
    <s v="No"/>
    <s v="Y"/>
    <n v="2"/>
    <n v="-2"/>
    <n v="0"/>
    <n v="41"/>
    <n v="0"/>
    <m/>
    <n v="0"/>
    <n v="1"/>
    <n v="1411"/>
    <n v="19"/>
    <x v="0"/>
    <n v="1"/>
    <n v="3"/>
    <n v="36"/>
    <n v="3"/>
    <n v="2"/>
    <n v="2"/>
    <n v="3072"/>
    <n v="19877"/>
    <n v="2"/>
    <n v="16"/>
    <n v="3"/>
    <n v="1"/>
    <n v="80"/>
    <n v="2"/>
    <n v="17"/>
    <n v="2"/>
    <n v="1"/>
    <n v="0"/>
    <n v="0"/>
    <n v="0"/>
  </r>
  <r>
    <x v="1"/>
    <s v="Travel_Rarely"/>
    <x v="0"/>
    <s v="Current Employees"/>
    <x v="1"/>
    <x v="4"/>
    <x v="243"/>
    <n v="335"/>
    <x v="1"/>
    <x v="1"/>
    <x v="2"/>
    <s v="No"/>
    <s v="Y"/>
    <n v="3"/>
    <n v="-2"/>
    <n v="0"/>
    <n v="40"/>
    <n v="0"/>
    <m/>
    <n v="0"/>
    <n v="1"/>
    <n v="1300"/>
    <n v="24"/>
    <x v="0"/>
    <n v="1"/>
    <n v="4"/>
    <n v="62"/>
    <n v="3"/>
    <n v="2"/>
    <n v="4"/>
    <n v="3319"/>
    <n v="24447"/>
    <n v="1"/>
    <n v="17"/>
    <n v="3"/>
    <n v="1"/>
    <n v="80"/>
    <n v="2"/>
    <n v="9"/>
    <n v="3"/>
    <n v="9"/>
    <n v="8"/>
    <n v="4"/>
    <n v="7"/>
  </r>
  <r>
    <x v="1"/>
    <s v="Travel_Rarely"/>
    <x v="1"/>
    <s v="Current Employees"/>
    <x v="1"/>
    <x v="1"/>
    <x v="244"/>
    <n v="336"/>
    <x v="1"/>
    <x v="5"/>
    <x v="1"/>
    <s v="No"/>
    <s v="Y"/>
    <n v="2"/>
    <n v="-2"/>
    <n v="0"/>
    <n v="45"/>
    <n v="0"/>
    <m/>
    <n v="0"/>
    <n v="1"/>
    <n v="252"/>
    <n v="1"/>
    <x v="3"/>
    <n v="1"/>
    <n v="3"/>
    <n v="70"/>
    <n v="4"/>
    <n v="5"/>
    <n v="4"/>
    <n v="19202"/>
    <n v="15970"/>
    <n v="0"/>
    <n v="11"/>
    <n v="3"/>
    <n v="3"/>
    <n v="80"/>
    <n v="1"/>
    <n v="25"/>
    <n v="3"/>
    <n v="24"/>
    <n v="0"/>
    <n v="1"/>
    <n v="7"/>
  </r>
  <r>
    <x v="1"/>
    <s v="Travel_Frequently"/>
    <x v="2"/>
    <s v="Current Employees"/>
    <x v="1"/>
    <x v="2"/>
    <x v="245"/>
    <n v="337"/>
    <x v="1"/>
    <x v="7"/>
    <x v="2"/>
    <s v="No"/>
    <s v="Y"/>
    <n v="3"/>
    <n v="-2"/>
    <n v="0"/>
    <n v="31"/>
    <n v="0"/>
    <m/>
    <n v="0"/>
    <n v="1"/>
    <n v="1327"/>
    <n v="3"/>
    <x v="2"/>
    <n v="1"/>
    <n v="2"/>
    <n v="73"/>
    <n v="3"/>
    <n v="3"/>
    <n v="3"/>
    <n v="13675"/>
    <n v="13523"/>
    <n v="9"/>
    <n v="12"/>
    <n v="3"/>
    <n v="1"/>
    <n v="80"/>
    <n v="1"/>
    <n v="9"/>
    <n v="3"/>
    <n v="2"/>
    <n v="2"/>
    <n v="2"/>
    <n v="2"/>
  </r>
  <r>
    <x v="1"/>
    <s v="Travel_Rarely"/>
    <x v="2"/>
    <s v="Current Employees"/>
    <x v="1"/>
    <x v="0"/>
    <x v="246"/>
    <n v="338"/>
    <x v="0"/>
    <x v="1"/>
    <x v="1"/>
    <s v="No"/>
    <s v="Y"/>
    <n v="2"/>
    <n v="-2"/>
    <n v="0"/>
    <n v="33"/>
    <n v="0"/>
    <m/>
    <n v="0"/>
    <n v="1"/>
    <n v="832"/>
    <n v="5"/>
    <x v="2"/>
    <n v="1"/>
    <n v="3"/>
    <n v="63"/>
    <n v="2"/>
    <n v="1"/>
    <n v="2"/>
    <n v="2911"/>
    <n v="14776"/>
    <n v="1"/>
    <n v="13"/>
    <n v="3"/>
    <n v="3"/>
    <n v="80"/>
    <n v="1"/>
    <n v="2"/>
    <n v="2"/>
    <n v="2"/>
    <n v="2"/>
    <n v="0"/>
    <n v="2"/>
  </r>
  <r>
    <x v="1"/>
    <s v="Travel_Rarely"/>
    <x v="2"/>
    <s v="Current Employees"/>
    <x v="1"/>
    <x v="0"/>
    <x v="247"/>
    <n v="339"/>
    <x v="1"/>
    <x v="3"/>
    <x v="1"/>
    <s v="No"/>
    <s v="Y"/>
    <n v="3"/>
    <n v="-2"/>
    <n v="0"/>
    <n v="34"/>
    <n v="0"/>
    <m/>
    <n v="0"/>
    <n v="1"/>
    <n v="470"/>
    <n v="2"/>
    <x v="2"/>
    <n v="1"/>
    <n v="4"/>
    <n v="84"/>
    <n v="2"/>
    <n v="2"/>
    <n v="2"/>
    <n v="5957"/>
    <n v="23687"/>
    <n v="6"/>
    <n v="13"/>
    <n v="3"/>
    <n v="2"/>
    <n v="80"/>
    <n v="1"/>
    <n v="13"/>
    <n v="3"/>
    <n v="11"/>
    <n v="9"/>
    <n v="5"/>
    <n v="9"/>
  </r>
  <r>
    <x v="1"/>
    <s v="Travel_Rarely"/>
    <x v="0"/>
    <s v="Current Employees"/>
    <x v="1"/>
    <x v="2"/>
    <x v="248"/>
    <n v="340"/>
    <x v="0"/>
    <x v="1"/>
    <x v="1"/>
    <s v="No"/>
    <s v="Y"/>
    <n v="2"/>
    <n v="-2"/>
    <n v="0"/>
    <n v="37"/>
    <n v="0"/>
    <m/>
    <n v="0"/>
    <n v="1"/>
    <n v="1017"/>
    <n v="1"/>
    <x v="0"/>
    <n v="1"/>
    <n v="3"/>
    <n v="83"/>
    <n v="2"/>
    <n v="1"/>
    <n v="3"/>
    <n v="3920"/>
    <n v="18697"/>
    <n v="2"/>
    <n v="14"/>
    <n v="3"/>
    <n v="1"/>
    <n v="80"/>
    <n v="1"/>
    <n v="17"/>
    <n v="2"/>
    <n v="3"/>
    <n v="1"/>
    <n v="0"/>
    <n v="2"/>
  </r>
  <r>
    <x v="1"/>
    <s v="Travel_Frequently"/>
    <x v="1"/>
    <s v="Current Employees"/>
    <x v="1"/>
    <x v="0"/>
    <x v="249"/>
    <n v="341"/>
    <x v="1"/>
    <x v="3"/>
    <x v="1"/>
    <s v="No"/>
    <s v="Y"/>
    <n v="1"/>
    <n v="-2"/>
    <n v="0"/>
    <n v="45"/>
    <n v="0"/>
    <m/>
    <n v="0"/>
    <n v="1"/>
    <n v="1199"/>
    <n v="7"/>
    <x v="2"/>
    <n v="1"/>
    <n v="1"/>
    <n v="77"/>
    <n v="4"/>
    <n v="2"/>
    <n v="2"/>
    <n v="6434"/>
    <n v="5118"/>
    <n v="4"/>
    <n v="17"/>
    <n v="3"/>
    <n v="4"/>
    <n v="80"/>
    <n v="1"/>
    <n v="9"/>
    <n v="3"/>
    <n v="3"/>
    <n v="2"/>
    <n v="0"/>
    <n v="2"/>
  </r>
  <r>
    <x v="0"/>
    <s v="Travel_Frequently"/>
    <x v="0"/>
    <s v="Ex-Employees"/>
    <x v="1"/>
    <x v="2"/>
    <x v="250"/>
    <n v="342"/>
    <x v="1"/>
    <x v="3"/>
    <x v="2"/>
    <s v="No"/>
    <s v="Y"/>
    <n v="5"/>
    <n v="-2"/>
    <n v="0"/>
    <n v="37"/>
    <n v="1"/>
    <n v="1"/>
    <n v="1"/>
    <n v="0"/>
    <n v="504"/>
    <n v="10"/>
    <x v="3"/>
    <n v="1"/>
    <n v="1"/>
    <n v="61"/>
    <n v="3"/>
    <n v="3"/>
    <n v="3"/>
    <n v="10048"/>
    <n v="22573"/>
    <n v="6"/>
    <n v="11"/>
    <n v="3"/>
    <n v="2"/>
    <n v="80"/>
    <n v="2"/>
    <n v="17"/>
    <n v="3"/>
    <n v="1"/>
    <n v="0"/>
    <n v="0"/>
    <n v="0"/>
  </r>
  <r>
    <x v="1"/>
    <s v="Travel_Frequently"/>
    <x v="0"/>
    <s v="Current Employees"/>
    <x v="1"/>
    <x v="4"/>
    <x v="251"/>
    <n v="343"/>
    <x v="0"/>
    <x v="4"/>
    <x v="0"/>
    <s v="No"/>
    <s v="Y"/>
    <n v="1"/>
    <n v="-2"/>
    <n v="0"/>
    <n v="39"/>
    <n v="0"/>
    <m/>
    <n v="0"/>
    <n v="1"/>
    <n v="505"/>
    <n v="2"/>
    <x v="2"/>
    <n v="1"/>
    <n v="4"/>
    <n v="64"/>
    <n v="3"/>
    <n v="3"/>
    <n v="4"/>
    <n v="10938"/>
    <n v="6420"/>
    <n v="0"/>
    <n v="25"/>
    <n v="4"/>
    <n v="4"/>
    <n v="80"/>
    <n v="0"/>
    <n v="20"/>
    <n v="3"/>
    <n v="19"/>
    <n v="6"/>
    <n v="11"/>
    <n v="8"/>
  </r>
  <r>
    <x v="1"/>
    <s v="Travel_Rarely"/>
    <x v="2"/>
    <s v="Current Employees"/>
    <x v="1"/>
    <x v="0"/>
    <x v="252"/>
    <n v="346"/>
    <x v="1"/>
    <x v="1"/>
    <x v="0"/>
    <s v="No"/>
    <s v="Y"/>
    <n v="1"/>
    <n v="-2"/>
    <n v="0"/>
    <n v="29"/>
    <n v="0"/>
    <m/>
    <n v="0"/>
    <n v="1"/>
    <n v="665"/>
    <n v="15"/>
    <x v="3"/>
    <n v="1"/>
    <n v="3"/>
    <n v="60"/>
    <n v="3"/>
    <n v="1"/>
    <n v="2"/>
    <n v="2340"/>
    <n v="22673"/>
    <n v="1"/>
    <n v="19"/>
    <n v="3"/>
    <n v="1"/>
    <n v="80"/>
    <n v="0"/>
    <n v="6"/>
    <n v="3"/>
    <n v="6"/>
    <n v="5"/>
    <n v="1"/>
    <n v="5"/>
  </r>
  <r>
    <x v="1"/>
    <s v="Travel_Rarely"/>
    <x v="0"/>
    <s v="Current Employees"/>
    <x v="1"/>
    <x v="0"/>
    <x v="253"/>
    <n v="347"/>
    <x v="0"/>
    <x v="1"/>
    <x v="0"/>
    <s v="Yes"/>
    <s v="Y"/>
    <n v="1"/>
    <n v="-2"/>
    <n v="0"/>
    <n v="42"/>
    <n v="0"/>
    <m/>
    <n v="0"/>
    <n v="1"/>
    <n v="916"/>
    <n v="17"/>
    <x v="0"/>
    <n v="1"/>
    <n v="4"/>
    <n v="82"/>
    <n v="4"/>
    <n v="2"/>
    <n v="2"/>
    <n v="6545"/>
    <n v="23016"/>
    <n v="3"/>
    <n v="13"/>
    <n v="3"/>
    <n v="3"/>
    <n v="80"/>
    <n v="0"/>
    <n v="10"/>
    <n v="3"/>
    <n v="3"/>
    <n v="2"/>
    <n v="0"/>
    <n v="2"/>
  </r>
  <r>
    <x v="1"/>
    <s v="Travel_Rarely"/>
    <x v="2"/>
    <s v="Current Employees"/>
    <x v="0"/>
    <x v="3"/>
    <x v="254"/>
    <n v="349"/>
    <x v="1"/>
    <x v="0"/>
    <x v="2"/>
    <s v="No"/>
    <s v="Y"/>
    <n v="2"/>
    <n v="-2"/>
    <n v="0"/>
    <n v="29"/>
    <n v="0"/>
    <m/>
    <n v="0"/>
    <n v="1"/>
    <n v="1247"/>
    <n v="20"/>
    <x v="0"/>
    <n v="1"/>
    <n v="4"/>
    <n v="45"/>
    <n v="3"/>
    <n v="2"/>
    <n v="1"/>
    <n v="6931"/>
    <n v="10732"/>
    <n v="2"/>
    <n v="14"/>
    <n v="3"/>
    <n v="4"/>
    <n v="80"/>
    <n v="1"/>
    <n v="10"/>
    <n v="3"/>
    <n v="3"/>
    <n v="2"/>
    <n v="0"/>
    <n v="2"/>
  </r>
  <r>
    <x v="1"/>
    <s v="Travel_Rarely"/>
    <x v="2"/>
    <s v="Current Employees"/>
    <x v="1"/>
    <x v="0"/>
    <x v="255"/>
    <n v="350"/>
    <x v="0"/>
    <x v="3"/>
    <x v="1"/>
    <s v="No"/>
    <s v="Y"/>
    <n v="3"/>
    <n v="-2"/>
    <n v="0"/>
    <n v="25"/>
    <n v="0"/>
    <m/>
    <n v="0"/>
    <n v="1"/>
    <n v="685"/>
    <n v="1"/>
    <x v="3"/>
    <n v="1"/>
    <n v="1"/>
    <n v="62"/>
    <n v="3"/>
    <n v="2"/>
    <n v="2"/>
    <n v="4898"/>
    <n v="7505"/>
    <n v="0"/>
    <n v="12"/>
    <n v="3"/>
    <n v="4"/>
    <n v="80"/>
    <n v="2"/>
    <n v="5"/>
    <n v="3"/>
    <n v="4"/>
    <n v="2"/>
    <n v="1"/>
    <n v="2"/>
  </r>
  <r>
    <x v="1"/>
    <s v="Travel_Rarely"/>
    <x v="0"/>
    <s v="Current Employees"/>
    <x v="1"/>
    <x v="2"/>
    <x v="256"/>
    <n v="351"/>
    <x v="0"/>
    <x v="2"/>
    <x v="2"/>
    <s v="Yes"/>
    <s v="Y"/>
    <n v="4"/>
    <n v="-2"/>
    <n v="0"/>
    <n v="42"/>
    <n v="0"/>
    <m/>
    <n v="0"/>
    <n v="1"/>
    <n v="269"/>
    <n v="2"/>
    <x v="3"/>
    <n v="1"/>
    <n v="4"/>
    <n v="56"/>
    <n v="2"/>
    <n v="1"/>
    <n v="3"/>
    <n v="2593"/>
    <n v="8007"/>
    <n v="0"/>
    <n v="11"/>
    <n v="3"/>
    <n v="3"/>
    <n v="80"/>
    <n v="1"/>
    <n v="10"/>
    <n v="3"/>
    <n v="9"/>
    <n v="6"/>
    <n v="7"/>
    <n v="8"/>
  </r>
  <r>
    <x v="1"/>
    <s v="Travel_Rarely"/>
    <x v="0"/>
    <s v="Current Employees"/>
    <x v="1"/>
    <x v="2"/>
    <x v="257"/>
    <n v="352"/>
    <x v="1"/>
    <x v="7"/>
    <x v="2"/>
    <s v="No"/>
    <s v="Y"/>
    <n v="5"/>
    <n v="-2"/>
    <n v="0"/>
    <n v="40"/>
    <n v="0"/>
    <m/>
    <n v="0"/>
    <n v="1"/>
    <n v="1416"/>
    <n v="2"/>
    <x v="0"/>
    <n v="1"/>
    <n v="1"/>
    <n v="49"/>
    <n v="3"/>
    <n v="5"/>
    <n v="3"/>
    <n v="19436"/>
    <n v="5949"/>
    <n v="0"/>
    <n v="19"/>
    <n v="3"/>
    <n v="4"/>
    <n v="80"/>
    <n v="1"/>
    <n v="22"/>
    <n v="3"/>
    <n v="21"/>
    <n v="7"/>
    <n v="3"/>
    <n v="9"/>
  </r>
  <r>
    <x v="1"/>
    <s v="Travel_Rarely"/>
    <x v="1"/>
    <s v="Current Employees"/>
    <x v="1"/>
    <x v="0"/>
    <x v="258"/>
    <n v="353"/>
    <x v="1"/>
    <x v="1"/>
    <x v="1"/>
    <s v="No"/>
    <s v="Y"/>
    <n v="0"/>
    <n v="-2"/>
    <n v="0"/>
    <n v="51"/>
    <n v="0"/>
    <m/>
    <n v="0"/>
    <n v="1"/>
    <n v="833"/>
    <n v="1"/>
    <x v="3"/>
    <n v="1"/>
    <n v="3"/>
    <n v="96"/>
    <n v="3"/>
    <n v="1"/>
    <n v="2"/>
    <n v="2723"/>
    <n v="23231"/>
    <n v="1"/>
    <n v="11"/>
    <n v="3"/>
    <n v="2"/>
    <n v="80"/>
    <n v="0"/>
    <n v="1"/>
    <n v="2"/>
    <n v="1"/>
    <n v="0"/>
    <n v="0"/>
    <n v="0"/>
  </r>
  <r>
    <x v="0"/>
    <s v="Travel_Frequently"/>
    <x v="2"/>
    <s v="Ex-Employees"/>
    <x v="1"/>
    <x v="2"/>
    <x v="259"/>
    <n v="355"/>
    <x v="1"/>
    <x v="2"/>
    <x v="0"/>
    <s v="No"/>
    <s v="Y"/>
    <n v="2"/>
    <n v="-2"/>
    <n v="0"/>
    <n v="31"/>
    <n v="1"/>
    <n v="1"/>
    <n v="1"/>
    <n v="0"/>
    <n v="307"/>
    <n v="29"/>
    <x v="0"/>
    <n v="1"/>
    <n v="3"/>
    <n v="71"/>
    <n v="2"/>
    <n v="1"/>
    <n v="3"/>
    <n v="3479"/>
    <n v="11652"/>
    <n v="0"/>
    <n v="11"/>
    <n v="3"/>
    <n v="2"/>
    <n v="80"/>
    <n v="0"/>
    <n v="6"/>
    <n v="4"/>
    <n v="5"/>
    <n v="4"/>
    <n v="1"/>
    <n v="4"/>
  </r>
  <r>
    <x v="1"/>
    <s v="Travel_Frequently"/>
    <x v="2"/>
    <s v="Current Employees"/>
    <x v="1"/>
    <x v="0"/>
    <x v="260"/>
    <n v="359"/>
    <x v="1"/>
    <x v="2"/>
    <x v="1"/>
    <s v="No"/>
    <s v="Y"/>
    <n v="3"/>
    <n v="-2"/>
    <n v="0"/>
    <n v="32"/>
    <n v="0"/>
    <m/>
    <n v="0"/>
    <n v="1"/>
    <n v="1311"/>
    <n v="7"/>
    <x v="3"/>
    <n v="1"/>
    <n v="2"/>
    <n v="100"/>
    <n v="4"/>
    <n v="1"/>
    <n v="2"/>
    <n v="2794"/>
    <n v="26062"/>
    <n v="1"/>
    <n v="20"/>
    <n v="4"/>
    <n v="3"/>
    <n v="80"/>
    <n v="0"/>
    <n v="5"/>
    <n v="1"/>
    <n v="5"/>
    <n v="1"/>
    <n v="0"/>
    <n v="3"/>
  </r>
  <r>
    <x v="1"/>
    <s v="Non-Travel"/>
    <x v="0"/>
    <s v="Current Employees"/>
    <x v="0"/>
    <x v="0"/>
    <x v="261"/>
    <n v="361"/>
    <x v="1"/>
    <x v="0"/>
    <x v="1"/>
    <s v="No"/>
    <s v="Y"/>
    <n v="0"/>
    <n v="-2"/>
    <n v="0"/>
    <n v="38"/>
    <n v="0"/>
    <m/>
    <n v="0"/>
    <n v="1"/>
    <n v="1327"/>
    <n v="2"/>
    <x v="0"/>
    <n v="1"/>
    <n v="4"/>
    <n v="39"/>
    <n v="2"/>
    <n v="2"/>
    <n v="2"/>
    <n v="5249"/>
    <n v="19682"/>
    <n v="3"/>
    <n v="18"/>
    <n v="3"/>
    <n v="4"/>
    <n v="80"/>
    <n v="1"/>
    <n v="13"/>
    <n v="3"/>
    <n v="8"/>
    <n v="7"/>
    <n v="7"/>
    <n v="5"/>
  </r>
  <r>
    <x v="1"/>
    <s v="Travel_Rarely"/>
    <x v="2"/>
    <s v="Current Employees"/>
    <x v="1"/>
    <x v="4"/>
    <x v="262"/>
    <n v="362"/>
    <x v="1"/>
    <x v="2"/>
    <x v="0"/>
    <s v="No"/>
    <s v="Y"/>
    <n v="5"/>
    <n v="-2"/>
    <n v="0"/>
    <n v="32"/>
    <n v="0"/>
    <m/>
    <n v="0"/>
    <n v="1"/>
    <n v="128"/>
    <n v="2"/>
    <x v="1"/>
    <n v="1"/>
    <n v="4"/>
    <n v="84"/>
    <n v="2"/>
    <n v="2"/>
    <n v="4"/>
    <n v="2176"/>
    <n v="19737"/>
    <n v="4"/>
    <n v="13"/>
    <n v="3"/>
    <n v="4"/>
    <n v="80"/>
    <n v="0"/>
    <n v="9"/>
    <n v="3"/>
    <n v="6"/>
    <n v="2"/>
    <n v="0"/>
    <n v="4"/>
  </r>
  <r>
    <x v="1"/>
    <s v="Travel_Rarely"/>
    <x v="1"/>
    <s v="Current Employees"/>
    <x v="0"/>
    <x v="4"/>
    <x v="263"/>
    <n v="363"/>
    <x v="0"/>
    <x v="5"/>
    <x v="1"/>
    <s v="Yes"/>
    <s v="Y"/>
    <n v="2"/>
    <n v="-2"/>
    <n v="0"/>
    <n v="46"/>
    <n v="0"/>
    <m/>
    <n v="0"/>
    <n v="1"/>
    <n v="488"/>
    <n v="2"/>
    <x v="3"/>
    <n v="1"/>
    <n v="4"/>
    <n v="75"/>
    <n v="1"/>
    <n v="4"/>
    <n v="4"/>
    <n v="16872"/>
    <n v="14977"/>
    <n v="3"/>
    <n v="12"/>
    <n v="3"/>
    <n v="2"/>
    <n v="80"/>
    <n v="1"/>
    <n v="28"/>
    <n v="2"/>
    <n v="7"/>
    <n v="7"/>
    <n v="7"/>
    <n v="7"/>
  </r>
  <r>
    <x v="0"/>
    <s v="Travel_Rarely"/>
    <x v="2"/>
    <s v="Ex-Employees"/>
    <x v="1"/>
    <x v="0"/>
    <x v="264"/>
    <n v="364"/>
    <x v="1"/>
    <x v="2"/>
    <x v="0"/>
    <s v="No"/>
    <s v="Y"/>
    <n v="5"/>
    <n v="-2"/>
    <n v="0"/>
    <n v="28"/>
    <n v="1"/>
    <n v="1"/>
    <n v="1"/>
    <n v="0"/>
    <n v="529"/>
    <n v="2"/>
    <x v="2"/>
    <n v="1"/>
    <n v="1"/>
    <n v="79"/>
    <n v="3"/>
    <n v="1"/>
    <n v="2"/>
    <n v="3485"/>
    <n v="14935"/>
    <n v="2"/>
    <n v="11"/>
    <n v="3"/>
    <n v="3"/>
    <n v="80"/>
    <n v="0"/>
    <n v="5"/>
    <n v="1"/>
    <n v="0"/>
    <n v="0"/>
    <n v="0"/>
    <n v="0"/>
  </r>
  <r>
    <x v="1"/>
    <s v="Travel_Rarely"/>
    <x v="2"/>
    <s v="Current Employees"/>
    <x v="0"/>
    <x v="2"/>
    <x v="265"/>
    <n v="366"/>
    <x v="1"/>
    <x v="0"/>
    <x v="1"/>
    <s v="No"/>
    <s v="Y"/>
    <n v="2"/>
    <n v="-2"/>
    <n v="0"/>
    <n v="29"/>
    <n v="0"/>
    <m/>
    <n v="0"/>
    <n v="1"/>
    <n v="1210"/>
    <n v="2"/>
    <x v="3"/>
    <n v="1"/>
    <n v="1"/>
    <n v="78"/>
    <n v="2"/>
    <n v="2"/>
    <n v="3"/>
    <n v="6644"/>
    <n v="3687"/>
    <n v="2"/>
    <n v="19"/>
    <n v="3"/>
    <n v="2"/>
    <n v="80"/>
    <n v="2"/>
    <n v="10"/>
    <n v="3"/>
    <n v="0"/>
    <n v="0"/>
    <n v="0"/>
    <n v="0"/>
  </r>
  <r>
    <x v="1"/>
    <s v="Travel_Rarely"/>
    <x v="2"/>
    <s v="Current Employees"/>
    <x v="1"/>
    <x v="2"/>
    <x v="266"/>
    <n v="367"/>
    <x v="1"/>
    <x v="4"/>
    <x v="1"/>
    <s v="No"/>
    <s v="Y"/>
    <n v="2"/>
    <n v="-2"/>
    <n v="0"/>
    <n v="31"/>
    <n v="0"/>
    <m/>
    <n v="0"/>
    <n v="1"/>
    <n v="1463"/>
    <n v="23"/>
    <x v="3"/>
    <n v="1"/>
    <n v="2"/>
    <n v="64"/>
    <n v="2"/>
    <n v="2"/>
    <n v="4"/>
    <n v="5582"/>
    <n v="14408"/>
    <n v="0"/>
    <n v="21"/>
    <n v="4"/>
    <n v="2"/>
    <n v="80"/>
    <n v="1"/>
    <n v="10"/>
    <n v="3"/>
    <n v="9"/>
    <n v="0"/>
    <n v="7"/>
    <n v="8"/>
  </r>
  <r>
    <x v="1"/>
    <s v="Non-Travel"/>
    <x v="2"/>
    <s v="Current Employees"/>
    <x v="1"/>
    <x v="0"/>
    <x v="267"/>
    <n v="369"/>
    <x v="1"/>
    <x v="4"/>
    <x v="2"/>
    <s v="No"/>
    <s v="Y"/>
    <n v="2"/>
    <n v="-2"/>
    <n v="0"/>
    <n v="25"/>
    <n v="0"/>
    <m/>
    <n v="0"/>
    <n v="1"/>
    <n v="675"/>
    <n v="5"/>
    <x v="0"/>
    <n v="1"/>
    <n v="2"/>
    <n v="85"/>
    <n v="4"/>
    <n v="2"/>
    <n v="2"/>
    <n v="4000"/>
    <n v="18384"/>
    <n v="1"/>
    <n v="12"/>
    <n v="3"/>
    <n v="4"/>
    <n v="80"/>
    <n v="2"/>
    <n v="6"/>
    <n v="3"/>
    <n v="6"/>
    <n v="3"/>
    <n v="1"/>
    <n v="5"/>
  </r>
  <r>
    <x v="1"/>
    <s v="Travel_Rarely"/>
    <x v="1"/>
    <s v="Current Employees"/>
    <x v="1"/>
    <x v="2"/>
    <x v="268"/>
    <n v="372"/>
    <x v="1"/>
    <x v="4"/>
    <x v="1"/>
    <s v="Yes"/>
    <s v="Y"/>
    <n v="2"/>
    <n v="-2"/>
    <n v="0"/>
    <n v="45"/>
    <n v="0"/>
    <m/>
    <n v="0"/>
    <n v="1"/>
    <n v="1385"/>
    <n v="20"/>
    <x v="0"/>
    <n v="1"/>
    <n v="3"/>
    <n v="79"/>
    <n v="3"/>
    <n v="4"/>
    <n v="4"/>
    <n v="13496"/>
    <n v="7501"/>
    <n v="0"/>
    <n v="14"/>
    <n v="3"/>
    <n v="2"/>
    <n v="80"/>
    <n v="0"/>
    <n v="21"/>
    <n v="3"/>
    <n v="20"/>
    <n v="7"/>
    <n v="4"/>
    <n v="10"/>
  </r>
  <r>
    <x v="1"/>
    <s v="Travel_Rarely"/>
    <x v="0"/>
    <s v="Current Employees"/>
    <x v="1"/>
    <x v="0"/>
    <x v="269"/>
    <n v="373"/>
    <x v="1"/>
    <x v="2"/>
    <x v="1"/>
    <s v="No"/>
    <s v="Y"/>
    <n v="4"/>
    <n v="-2"/>
    <n v="0"/>
    <n v="36"/>
    <n v="0"/>
    <m/>
    <n v="0"/>
    <n v="1"/>
    <n v="1403"/>
    <n v="6"/>
    <x v="3"/>
    <n v="1"/>
    <n v="4"/>
    <n v="47"/>
    <n v="3"/>
    <n v="1"/>
    <n v="2"/>
    <n v="3210"/>
    <n v="20251"/>
    <n v="0"/>
    <n v="11"/>
    <n v="3"/>
    <n v="3"/>
    <n v="80"/>
    <n v="1"/>
    <n v="16"/>
    <n v="3"/>
    <n v="15"/>
    <n v="13"/>
    <n v="10"/>
    <n v="11"/>
  </r>
  <r>
    <x v="1"/>
    <s v="Travel_Rarely"/>
    <x v="3"/>
    <s v="Current Employees"/>
    <x v="1"/>
    <x v="2"/>
    <x v="270"/>
    <n v="374"/>
    <x v="1"/>
    <x v="5"/>
    <x v="0"/>
    <s v="Yes"/>
    <s v="Y"/>
    <n v="2"/>
    <n v="-2"/>
    <n v="0"/>
    <n v="55"/>
    <n v="0"/>
    <m/>
    <n v="0"/>
    <n v="1"/>
    <n v="452"/>
    <n v="1"/>
    <x v="3"/>
    <n v="1"/>
    <n v="4"/>
    <n v="81"/>
    <n v="3"/>
    <n v="5"/>
    <n v="3"/>
    <n v="19045"/>
    <n v="18938"/>
    <n v="0"/>
    <n v="14"/>
    <n v="3"/>
    <n v="3"/>
    <n v="80"/>
    <n v="0"/>
    <n v="37"/>
    <n v="3"/>
    <n v="36"/>
    <n v="10"/>
    <n v="4"/>
    <n v="13"/>
  </r>
  <r>
    <x v="0"/>
    <s v="Non-Travel"/>
    <x v="1"/>
    <s v="Ex-Employees"/>
    <x v="1"/>
    <x v="0"/>
    <x v="271"/>
    <n v="376"/>
    <x v="1"/>
    <x v="5"/>
    <x v="1"/>
    <s v="Yes"/>
    <s v="Y"/>
    <n v="2"/>
    <n v="-2"/>
    <n v="0"/>
    <n v="47"/>
    <n v="1"/>
    <n v="1"/>
    <n v="1"/>
    <n v="0"/>
    <n v="666"/>
    <n v="29"/>
    <x v="2"/>
    <n v="1"/>
    <n v="1"/>
    <n v="88"/>
    <n v="3"/>
    <n v="3"/>
    <n v="2"/>
    <n v="11849"/>
    <n v="10268"/>
    <n v="1"/>
    <n v="12"/>
    <n v="3"/>
    <n v="4"/>
    <n v="80"/>
    <n v="1"/>
    <n v="10"/>
    <n v="2"/>
    <n v="10"/>
    <n v="7"/>
    <n v="9"/>
    <n v="9"/>
  </r>
  <r>
    <x v="1"/>
    <s v="Travel_Rarely"/>
    <x v="2"/>
    <s v="Current Employees"/>
    <x v="1"/>
    <x v="2"/>
    <x v="272"/>
    <n v="377"/>
    <x v="1"/>
    <x v="1"/>
    <x v="1"/>
    <s v="No"/>
    <s v="Y"/>
    <n v="3"/>
    <n v="-2"/>
    <n v="0"/>
    <n v="28"/>
    <n v="0"/>
    <m/>
    <n v="0"/>
    <n v="1"/>
    <n v="1158"/>
    <n v="9"/>
    <x v="3"/>
    <n v="1"/>
    <n v="4"/>
    <n v="94"/>
    <n v="3"/>
    <n v="1"/>
    <n v="4"/>
    <n v="2070"/>
    <n v="2613"/>
    <n v="1"/>
    <n v="23"/>
    <n v="4"/>
    <n v="4"/>
    <n v="80"/>
    <n v="1"/>
    <n v="5"/>
    <n v="2"/>
    <n v="5"/>
    <n v="2"/>
    <n v="0"/>
    <n v="4"/>
  </r>
  <r>
    <x v="1"/>
    <s v="Travel_Rarely"/>
    <x v="0"/>
    <s v="Current Employees"/>
    <x v="0"/>
    <x v="2"/>
    <x v="273"/>
    <n v="378"/>
    <x v="1"/>
    <x v="0"/>
    <x v="1"/>
    <s v="No"/>
    <s v="Y"/>
    <n v="5"/>
    <n v="-2"/>
    <n v="0"/>
    <n v="37"/>
    <n v="0"/>
    <m/>
    <n v="0"/>
    <n v="1"/>
    <n v="228"/>
    <n v="6"/>
    <x v="2"/>
    <n v="1"/>
    <n v="3"/>
    <n v="98"/>
    <n v="3"/>
    <n v="2"/>
    <n v="4"/>
    <n v="6502"/>
    <n v="22825"/>
    <n v="4"/>
    <n v="14"/>
    <n v="3"/>
    <n v="2"/>
    <n v="80"/>
    <n v="1"/>
    <n v="7"/>
    <n v="4"/>
    <n v="5"/>
    <n v="4"/>
    <n v="0"/>
    <n v="1"/>
  </r>
  <r>
    <x v="1"/>
    <s v="Travel_Rarely"/>
    <x v="4"/>
    <s v="Current Employees"/>
    <x v="1"/>
    <x v="2"/>
    <x v="274"/>
    <n v="379"/>
    <x v="1"/>
    <x v="1"/>
    <x v="0"/>
    <s v="No"/>
    <s v="Y"/>
    <n v="4"/>
    <n v="-2"/>
    <n v="0"/>
    <n v="21"/>
    <n v="0"/>
    <m/>
    <n v="0"/>
    <n v="1"/>
    <n v="996"/>
    <n v="3"/>
    <x v="0"/>
    <n v="1"/>
    <n v="4"/>
    <n v="100"/>
    <n v="2"/>
    <n v="1"/>
    <n v="3"/>
    <n v="3230"/>
    <n v="10531"/>
    <n v="1"/>
    <n v="17"/>
    <n v="3"/>
    <n v="1"/>
    <n v="80"/>
    <n v="0"/>
    <n v="3"/>
    <n v="4"/>
    <n v="3"/>
    <n v="2"/>
    <n v="1"/>
    <n v="0"/>
  </r>
  <r>
    <x v="1"/>
    <s v="Non-Travel"/>
    <x v="0"/>
    <s v="Current Employees"/>
    <x v="1"/>
    <x v="2"/>
    <x v="275"/>
    <n v="380"/>
    <x v="0"/>
    <x v="7"/>
    <x v="2"/>
    <s v="Yes"/>
    <s v="Y"/>
    <n v="2"/>
    <n v="-2"/>
    <n v="0"/>
    <n v="37"/>
    <n v="0"/>
    <m/>
    <n v="0"/>
    <n v="1"/>
    <n v="728"/>
    <n v="1"/>
    <x v="2"/>
    <n v="1"/>
    <n v="1"/>
    <n v="80"/>
    <n v="3"/>
    <n v="3"/>
    <n v="4"/>
    <n v="13603"/>
    <n v="11677"/>
    <n v="2"/>
    <n v="18"/>
    <n v="3"/>
    <n v="1"/>
    <n v="80"/>
    <n v="2"/>
    <n v="15"/>
    <n v="3"/>
    <n v="5"/>
    <n v="2"/>
    <n v="0"/>
    <n v="2"/>
  </r>
  <r>
    <x v="1"/>
    <s v="Travel_Rarely"/>
    <x v="0"/>
    <s v="Current Employees"/>
    <x v="1"/>
    <x v="0"/>
    <x v="276"/>
    <n v="381"/>
    <x v="0"/>
    <x v="5"/>
    <x v="2"/>
    <s v="No"/>
    <s v="Y"/>
    <n v="6"/>
    <n v="-2"/>
    <n v="0"/>
    <n v="35"/>
    <n v="0"/>
    <m/>
    <n v="0"/>
    <n v="1"/>
    <n v="1315"/>
    <n v="22"/>
    <x v="3"/>
    <n v="1"/>
    <n v="2"/>
    <n v="71"/>
    <n v="4"/>
    <n v="3"/>
    <n v="2"/>
    <n v="11996"/>
    <n v="19100"/>
    <n v="7"/>
    <n v="18"/>
    <n v="3"/>
    <n v="2"/>
    <n v="80"/>
    <n v="1"/>
    <n v="10"/>
    <n v="2"/>
    <n v="7"/>
    <n v="7"/>
    <n v="6"/>
    <n v="2"/>
  </r>
  <r>
    <x v="1"/>
    <s v="Travel_Rarely"/>
    <x v="0"/>
    <s v="Current Employees"/>
    <x v="0"/>
    <x v="2"/>
    <x v="277"/>
    <n v="382"/>
    <x v="0"/>
    <x v="0"/>
    <x v="2"/>
    <s v="Yes"/>
    <s v="Y"/>
    <n v="3"/>
    <n v="-2"/>
    <n v="0"/>
    <n v="38"/>
    <n v="0"/>
    <m/>
    <n v="0"/>
    <n v="1"/>
    <n v="322"/>
    <n v="7"/>
    <x v="0"/>
    <n v="1"/>
    <n v="1"/>
    <n v="44"/>
    <n v="4"/>
    <n v="2"/>
    <n v="3"/>
    <n v="5605"/>
    <n v="19191"/>
    <n v="1"/>
    <n v="24"/>
    <n v="4"/>
    <n v="3"/>
    <n v="80"/>
    <n v="1"/>
    <n v="8"/>
    <n v="3"/>
    <n v="8"/>
    <n v="0"/>
    <n v="7"/>
    <n v="7"/>
  </r>
  <r>
    <x v="1"/>
    <s v="Travel_Frequently"/>
    <x v="2"/>
    <s v="Current Employees"/>
    <x v="1"/>
    <x v="0"/>
    <x v="278"/>
    <n v="384"/>
    <x v="0"/>
    <x v="3"/>
    <x v="2"/>
    <s v="No"/>
    <s v="Y"/>
    <n v="6"/>
    <n v="-2"/>
    <n v="0"/>
    <n v="26"/>
    <n v="0"/>
    <m/>
    <n v="0"/>
    <n v="1"/>
    <n v="1479"/>
    <n v="1"/>
    <x v="3"/>
    <n v="1"/>
    <n v="3"/>
    <n v="84"/>
    <n v="3"/>
    <n v="2"/>
    <n v="2"/>
    <n v="6397"/>
    <n v="26767"/>
    <n v="1"/>
    <n v="20"/>
    <n v="4"/>
    <n v="1"/>
    <n v="80"/>
    <n v="1"/>
    <n v="6"/>
    <n v="1"/>
    <n v="6"/>
    <n v="5"/>
    <n v="1"/>
    <n v="4"/>
  </r>
  <r>
    <x v="1"/>
    <s v="Travel_Rarely"/>
    <x v="1"/>
    <s v="Current Employees"/>
    <x v="1"/>
    <x v="0"/>
    <x v="279"/>
    <n v="385"/>
    <x v="1"/>
    <x v="7"/>
    <x v="2"/>
    <s v="No"/>
    <s v="Y"/>
    <n v="4"/>
    <n v="-2"/>
    <n v="0"/>
    <n v="50"/>
    <n v="0"/>
    <m/>
    <n v="0"/>
    <n v="1"/>
    <n v="797"/>
    <n v="4"/>
    <x v="1"/>
    <n v="1"/>
    <n v="1"/>
    <n v="96"/>
    <n v="3"/>
    <n v="5"/>
    <n v="2"/>
    <n v="19144"/>
    <n v="15815"/>
    <n v="3"/>
    <n v="14"/>
    <n v="3"/>
    <n v="1"/>
    <n v="80"/>
    <n v="2"/>
    <n v="28"/>
    <n v="2"/>
    <n v="10"/>
    <n v="4"/>
    <n v="1"/>
    <n v="6"/>
  </r>
  <r>
    <x v="1"/>
    <s v="Travel_Rarely"/>
    <x v="1"/>
    <s v="Current Employees"/>
    <x v="1"/>
    <x v="2"/>
    <x v="280"/>
    <n v="386"/>
    <x v="1"/>
    <x v="7"/>
    <x v="1"/>
    <s v="Yes"/>
    <s v="Y"/>
    <n v="5"/>
    <n v="-2"/>
    <n v="0"/>
    <n v="53"/>
    <n v="0"/>
    <m/>
    <n v="0"/>
    <n v="1"/>
    <n v="1070"/>
    <n v="3"/>
    <x v="2"/>
    <n v="1"/>
    <n v="3"/>
    <n v="45"/>
    <n v="3"/>
    <n v="4"/>
    <n v="3"/>
    <n v="17584"/>
    <n v="21016"/>
    <n v="3"/>
    <n v="16"/>
    <n v="3"/>
    <n v="4"/>
    <n v="80"/>
    <n v="3"/>
    <n v="21"/>
    <n v="2"/>
    <n v="5"/>
    <n v="3"/>
    <n v="1"/>
    <n v="3"/>
  </r>
  <r>
    <x v="1"/>
    <s v="Travel_Rarely"/>
    <x v="0"/>
    <s v="Current Employees"/>
    <x v="0"/>
    <x v="0"/>
    <x v="281"/>
    <n v="387"/>
    <x v="1"/>
    <x v="0"/>
    <x v="1"/>
    <s v="No"/>
    <s v="Y"/>
    <n v="3"/>
    <n v="-2"/>
    <n v="0"/>
    <n v="42"/>
    <n v="0"/>
    <m/>
    <n v="0"/>
    <n v="1"/>
    <n v="635"/>
    <n v="1"/>
    <x v="1"/>
    <n v="1"/>
    <n v="2"/>
    <n v="99"/>
    <n v="3"/>
    <n v="2"/>
    <n v="2"/>
    <n v="4907"/>
    <n v="24532"/>
    <n v="1"/>
    <n v="25"/>
    <n v="4"/>
    <n v="3"/>
    <n v="80"/>
    <n v="0"/>
    <n v="20"/>
    <n v="3"/>
    <n v="20"/>
    <n v="16"/>
    <n v="11"/>
    <n v="6"/>
  </r>
  <r>
    <x v="1"/>
    <s v="Travel_Frequently"/>
    <x v="2"/>
    <s v="Current Employees"/>
    <x v="0"/>
    <x v="0"/>
    <x v="282"/>
    <n v="388"/>
    <x v="1"/>
    <x v="0"/>
    <x v="0"/>
    <s v="No"/>
    <s v="Y"/>
    <n v="3"/>
    <n v="-2"/>
    <n v="0"/>
    <n v="29"/>
    <n v="0"/>
    <m/>
    <n v="0"/>
    <n v="1"/>
    <n v="442"/>
    <n v="2"/>
    <x v="0"/>
    <n v="1"/>
    <n v="2"/>
    <n v="44"/>
    <n v="3"/>
    <n v="2"/>
    <n v="2"/>
    <n v="4554"/>
    <n v="20260"/>
    <n v="1"/>
    <n v="18"/>
    <n v="3"/>
    <n v="1"/>
    <n v="80"/>
    <n v="0"/>
    <n v="10"/>
    <n v="2"/>
    <n v="10"/>
    <n v="7"/>
    <n v="0"/>
    <n v="9"/>
  </r>
  <r>
    <x v="1"/>
    <s v="Travel_Rarely"/>
    <x v="3"/>
    <s v="Current Employees"/>
    <x v="1"/>
    <x v="4"/>
    <x v="283"/>
    <n v="389"/>
    <x v="1"/>
    <x v="2"/>
    <x v="1"/>
    <s v="Yes"/>
    <s v="Y"/>
    <n v="4"/>
    <n v="-2"/>
    <n v="0"/>
    <n v="55"/>
    <n v="0"/>
    <m/>
    <n v="0"/>
    <n v="1"/>
    <n v="147"/>
    <n v="20"/>
    <x v="0"/>
    <n v="1"/>
    <n v="4"/>
    <n v="37"/>
    <n v="3"/>
    <n v="2"/>
    <n v="4"/>
    <n v="5415"/>
    <n v="15972"/>
    <n v="3"/>
    <n v="19"/>
    <n v="3"/>
    <n v="4"/>
    <n v="80"/>
    <n v="1"/>
    <n v="12"/>
    <n v="3"/>
    <n v="10"/>
    <n v="7"/>
    <n v="0"/>
    <n v="8"/>
  </r>
  <r>
    <x v="1"/>
    <s v="Travel_Frequently"/>
    <x v="2"/>
    <s v="Current Employees"/>
    <x v="1"/>
    <x v="2"/>
    <x v="284"/>
    <n v="390"/>
    <x v="1"/>
    <x v="4"/>
    <x v="1"/>
    <s v="Yes"/>
    <s v="Y"/>
    <n v="3"/>
    <n v="-2"/>
    <n v="0"/>
    <n v="26"/>
    <n v="0"/>
    <m/>
    <n v="0"/>
    <n v="1"/>
    <n v="496"/>
    <n v="11"/>
    <x v="0"/>
    <n v="1"/>
    <n v="1"/>
    <n v="60"/>
    <n v="3"/>
    <n v="2"/>
    <n v="3"/>
    <n v="4741"/>
    <n v="22722"/>
    <n v="1"/>
    <n v="13"/>
    <n v="3"/>
    <n v="3"/>
    <n v="80"/>
    <n v="1"/>
    <n v="5"/>
    <n v="3"/>
    <n v="5"/>
    <n v="3"/>
    <n v="3"/>
    <n v="3"/>
  </r>
  <r>
    <x v="1"/>
    <s v="Travel_Rarely"/>
    <x v="0"/>
    <s v="Current Employees"/>
    <x v="1"/>
    <x v="0"/>
    <x v="285"/>
    <n v="391"/>
    <x v="0"/>
    <x v="1"/>
    <x v="0"/>
    <s v="No"/>
    <s v="Y"/>
    <n v="3"/>
    <n v="-2"/>
    <n v="0"/>
    <n v="37"/>
    <n v="0"/>
    <m/>
    <n v="0"/>
    <n v="1"/>
    <n v="1372"/>
    <n v="1"/>
    <x v="3"/>
    <n v="1"/>
    <n v="4"/>
    <n v="42"/>
    <n v="3"/>
    <n v="1"/>
    <n v="2"/>
    <n v="2115"/>
    <n v="15881"/>
    <n v="1"/>
    <n v="12"/>
    <n v="3"/>
    <n v="2"/>
    <n v="80"/>
    <n v="0"/>
    <n v="17"/>
    <n v="3"/>
    <n v="17"/>
    <n v="12"/>
    <n v="5"/>
    <n v="7"/>
  </r>
  <r>
    <x v="0"/>
    <s v="Travel_Frequently"/>
    <x v="0"/>
    <s v="Ex-Employees"/>
    <x v="1"/>
    <x v="0"/>
    <x v="286"/>
    <n v="392"/>
    <x v="1"/>
    <x v="2"/>
    <x v="2"/>
    <s v="Yes"/>
    <s v="Y"/>
    <n v="0"/>
    <n v="-2"/>
    <n v="0"/>
    <n v="44"/>
    <n v="1"/>
    <n v="1"/>
    <n v="1"/>
    <n v="0"/>
    <n v="920"/>
    <n v="24"/>
    <x v="3"/>
    <n v="1"/>
    <n v="4"/>
    <n v="43"/>
    <n v="3"/>
    <n v="1"/>
    <n v="2"/>
    <n v="3161"/>
    <n v="19920"/>
    <n v="3"/>
    <n v="22"/>
    <n v="4"/>
    <n v="4"/>
    <n v="80"/>
    <n v="1"/>
    <n v="19"/>
    <n v="1"/>
    <n v="1"/>
    <n v="0"/>
    <n v="0"/>
    <n v="0"/>
  </r>
  <r>
    <x v="1"/>
    <s v="Travel_Rarely"/>
    <x v="0"/>
    <s v="Current Employees"/>
    <x v="1"/>
    <x v="0"/>
    <x v="287"/>
    <n v="393"/>
    <x v="1"/>
    <x v="4"/>
    <x v="2"/>
    <s v="No"/>
    <s v="Y"/>
    <n v="2"/>
    <n v="-2"/>
    <n v="0"/>
    <n v="38"/>
    <n v="0"/>
    <m/>
    <n v="0"/>
    <n v="1"/>
    <n v="688"/>
    <n v="23"/>
    <x v="2"/>
    <n v="1"/>
    <n v="4"/>
    <n v="82"/>
    <n v="3"/>
    <n v="2"/>
    <n v="2"/>
    <n v="5745"/>
    <n v="18899"/>
    <n v="9"/>
    <n v="14"/>
    <n v="3"/>
    <n v="2"/>
    <n v="80"/>
    <n v="1"/>
    <n v="10"/>
    <n v="3"/>
    <n v="2"/>
    <n v="2"/>
    <n v="1"/>
    <n v="2"/>
  </r>
  <r>
    <x v="0"/>
    <s v="Travel_Rarely"/>
    <x v="2"/>
    <s v="Ex-Employees"/>
    <x v="1"/>
    <x v="2"/>
    <x v="288"/>
    <n v="394"/>
    <x v="1"/>
    <x v="2"/>
    <x v="2"/>
    <s v="Yes"/>
    <s v="Y"/>
    <n v="2"/>
    <n v="-2"/>
    <n v="0"/>
    <n v="26"/>
    <n v="1"/>
    <n v="1"/>
    <n v="1"/>
    <n v="0"/>
    <n v="1449"/>
    <n v="16"/>
    <x v="2"/>
    <n v="1"/>
    <n v="1"/>
    <n v="45"/>
    <n v="3"/>
    <n v="1"/>
    <n v="3"/>
    <n v="2373"/>
    <n v="14180"/>
    <n v="2"/>
    <n v="13"/>
    <n v="3"/>
    <n v="4"/>
    <n v="80"/>
    <n v="1"/>
    <n v="5"/>
    <n v="3"/>
    <n v="3"/>
    <n v="2"/>
    <n v="0"/>
    <n v="2"/>
  </r>
  <r>
    <x v="1"/>
    <s v="Travel_Rarely"/>
    <x v="2"/>
    <s v="Current Employees"/>
    <x v="1"/>
    <x v="0"/>
    <x v="289"/>
    <n v="395"/>
    <x v="0"/>
    <x v="1"/>
    <x v="0"/>
    <s v="No"/>
    <s v="Y"/>
    <n v="3"/>
    <n v="-2"/>
    <n v="0"/>
    <n v="28"/>
    <n v="0"/>
    <m/>
    <n v="0"/>
    <n v="1"/>
    <n v="1117"/>
    <n v="8"/>
    <x v="0"/>
    <n v="1"/>
    <n v="4"/>
    <n v="66"/>
    <n v="3"/>
    <n v="1"/>
    <n v="2"/>
    <n v="3310"/>
    <n v="4488"/>
    <n v="1"/>
    <n v="21"/>
    <n v="4"/>
    <n v="4"/>
    <n v="80"/>
    <n v="0"/>
    <n v="5"/>
    <n v="3"/>
    <n v="5"/>
    <n v="3"/>
    <n v="0"/>
    <n v="2"/>
  </r>
  <r>
    <x v="1"/>
    <s v="Travel_Frequently"/>
    <x v="1"/>
    <s v="Current Employees"/>
    <x v="1"/>
    <x v="0"/>
    <x v="290"/>
    <n v="396"/>
    <x v="0"/>
    <x v="7"/>
    <x v="0"/>
    <s v="Yes"/>
    <s v="Y"/>
    <n v="4"/>
    <n v="-2"/>
    <n v="0"/>
    <n v="49"/>
    <n v="0"/>
    <m/>
    <n v="0"/>
    <n v="1"/>
    <n v="636"/>
    <n v="10"/>
    <x v="2"/>
    <n v="1"/>
    <n v="3"/>
    <n v="35"/>
    <n v="3"/>
    <n v="5"/>
    <n v="2"/>
    <n v="18665"/>
    <n v="25594"/>
    <n v="9"/>
    <n v="11"/>
    <n v="3"/>
    <n v="4"/>
    <n v="80"/>
    <n v="0"/>
    <n v="22"/>
    <n v="3"/>
    <n v="3"/>
    <n v="2"/>
    <n v="1"/>
    <n v="2"/>
  </r>
  <r>
    <x v="1"/>
    <s v="Travel_Rarely"/>
    <x v="0"/>
    <s v="Current Employees"/>
    <x v="1"/>
    <x v="4"/>
    <x v="291"/>
    <n v="397"/>
    <x v="1"/>
    <x v="1"/>
    <x v="0"/>
    <s v="No"/>
    <s v="Y"/>
    <n v="2"/>
    <n v="-2"/>
    <n v="0"/>
    <n v="36"/>
    <n v="0"/>
    <m/>
    <n v="0"/>
    <n v="1"/>
    <n v="506"/>
    <n v="3"/>
    <x v="3"/>
    <n v="1"/>
    <n v="4"/>
    <n v="30"/>
    <n v="3"/>
    <n v="2"/>
    <n v="4"/>
    <n v="4485"/>
    <n v="26285"/>
    <n v="4"/>
    <n v="12"/>
    <n v="3"/>
    <n v="4"/>
    <n v="80"/>
    <n v="0"/>
    <n v="10"/>
    <n v="3"/>
    <n v="8"/>
    <n v="0"/>
    <n v="7"/>
    <n v="7"/>
  </r>
  <r>
    <x v="1"/>
    <s v="Travel_Frequently"/>
    <x v="2"/>
    <s v="Current Employees"/>
    <x v="0"/>
    <x v="3"/>
    <x v="292"/>
    <n v="399"/>
    <x v="0"/>
    <x v="6"/>
    <x v="2"/>
    <s v="No"/>
    <s v="Y"/>
    <n v="5"/>
    <n v="-2"/>
    <n v="0"/>
    <n v="31"/>
    <n v="0"/>
    <m/>
    <n v="0"/>
    <n v="1"/>
    <n v="444"/>
    <n v="5"/>
    <x v="3"/>
    <n v="1"/>
    <n v="4"/>
    <n v="84"/>
    <n v="3"/>
    <n v="1"/>
    <n v="1"/>
    <n v="2789"/>
    <n v="3909"/>
    <n v="1"/>
    <n v="11"/>
    <n v="3"/>
    <n v="3"/>
    <n v="80"/>
    <n v="1"/>
    <n v="2"/>
    <n v="2"/>
    <n v="2"/>
    <n v="2"/>
    <n v="2"/>
    <n v="2"/>
  </r>
  <r>
    <x v="0"/>
    <s v="Travel_Rarely"/>
    <x v="2"/>
    <s v="Ex-Employees"/>
    <x v="0"/>
    <x v="3"/>
    <x v="293"/>
    <n v="401"/>
    <x v="1"/>
    <x v="0"/>
    <x v="0"/>
    <s v="Yes"/>
    <s v="Y"/>
    <n v="0"/>
    <n v="-2"/>
    <n v="0"/>
    <n v="26"/>
    <n v="1"/>
    <n v="1"/>
    <n v="1"/>
    <n v="0"/>
    <n v="950"/>
    <n v="4"/>
    <x v="2"/>
    <n v="1"/>
    <n v="4"/>
    <n v="48"/>
    <n v="2"/>
    <n v="2"/>
    <n v="1"/>
    <n v="5828"/>
    <n v="8450"/>
    <n v="1"/>
    <n v="12"/>
    <n v="3"/>
    <n v="2"/>
    <n v="80"/>
    <n v="0"/>
    <n v="8"/>
    <n v="3"/>
    <n v="8"/>
    <n v="7"/>
    <n v="7"/>
    <n v="4"/>
  </r>
  <r>
    <x v="1"/>
    <s v="Travel_Frequently"/>
    <x v="0"/>
    <s v="Current Employees"/>
    <x v="1"/>
    <x v="2"/>
    <x v="294"/>
    <n v="403"/>
    <x v="1"/>
    <x v="1"/>
    <x v="1"/>
    <s v="Yes"/>
    <s v="Y"/>
    <n v="3"/>
    <n v="-2"/>
    <n v="0"/>
    <n v="37"/>
    <n v="0"/>
    <m/>
    <n v="0"/>
    <n v="1"/>
    <n v="889"/>
    <n v="9"/>
    <x v="3"/>
    <n v="1"/>
    <n v="2"/>
    <n v="53"/>
    <n v="3"/>
    <n v="1"/>
    <n v="4"/>
    <n v="2326"/>
    <n v="11411"/>
    <n v="1"/>
    <n v="12"/>
    <n v="3"/>
    <n v="3"/>
    <n v="80"/>
    <n v="3"/>
    <n v="4"/>
    <n v="2"/>
    <n v="4"/>
    <n v="2"/>
    <n v="1"/>
    <n v="2"/>
  </r>
  <r>
    <x v="1"/>
    <s v="Travel_Frequently"/>
    <x v="0"/>
    <s v="Current Employees"/>
    <x v="0"/>
    <x v="3"/>
    <x v="295"/>
    <n v="404"/>
    <x v="0"/>
    <x v="0"/>
    <x v="1"/>
    <s v="No"/>
    <s v="Y"/>
    <n v="2"/>
    <n v="-2"/>
    <n v="0"/>
    <n v="42"/>
    <n v="0"/>
    <m/>
    <n v="0"/>
    <n v="1"/>
    <n v="555"/>
    <n v="26"/>
    <x v="3"/>
    <n v="1"/>
    <n v="3"/>
    <n v="77"/>
    <n v="3"/>
    <n v="4"/>
    <n v="1"/>
    <n v="13525"/>
    <n v="14864"/>
    <n v="5"/>
    <n v="14"/>
    <n v="3"/>
    <n v="4"/>
    <n v="80"/>
    <n v="1"/>
    <n v="23"/>
    <n v="4"/>
    <n v="20"/>
    <n v="4"/>
    <n v="4"/>
    <n v="8"/>
  </r>
  <r>
    <x v="0"/>
    <s v="Travel_Rarely"/>
    <x v="4"/>
    <s v="Ex-Employees"/>
    <x v="1"/>
    <x v="0"/>
    <x v="296"/>
    <n v="405"/>
    <x v="1"/>
    <x v="2"/>
    <x v="0"/>
    <s v="No"/>
    <s v="Y"/>
    <n v="2"/>
    <n v="-2"/>
    <n v="0"/>
    <n v="18"/>
    <n v="1"/>
    <n v="1"/>
    <n v="1"/>
    <n v="0"/>
    <n v="230"/>
    <n v="3"/>
    <x v="3"/>
    <n v="1"/>
    <n v="3"/>
    <n v="54"/>
    <n v="3"/>
    <n v="1"/>
    <n v="2"/>
    <n v="1420"/>
    <n v="25233"/>
    <n v="1"/>
    <n v="13"/>
    <n v="3"/>
    <n v="3"/>
    <n v="80"/>
    <n v="0"/>
    <n v="0"/>
    <n v="3"/>
    <n v="0"/>
    <n v="0"/>
    <n v="0"/>
    <n v="0"/>
  </r>
  <r>
    <x v="1"/>
    <s v="Travel_Rarely"/>
    <x v="0"/>
    <s v="Current Employees"/>
    <x v="0"/>
    <x v="3"/>
    <x v="297"/>
    <n v="406"/>
    <x v="1"/>
    <x v="0"/>
    <x v="1"/>
    <s v="No"/>
    <s v="Y"/>
    <n v="3"/>
    <n v="-2"/>
    <n v="0"/>
    <n v="35"/>
    <n v="0"/>
    <m/>
    <n v="0"/>
    <n v="1"/>
    <n v="1232"/>
    <n v="16"/>
    <x v="3"/>
    <n v="1"/>
    <n v="3"/>
    <n v="96"/>
    <n v="3"/>
    <n v="3"/>
    <n v="1"/>
    <n v="8020"/>
    <n v="5100"/>
    <n v="0"/>
    <n v="15"/>
    <n v="3"/>
    <n v="3"/>
    <n v="80"/>
    <n v="2"/>
    <n v="12"/>
    <n v="2"/>
    <n v="11"/>
    <n v="9"/>
    <n v="6"/>
    <n v="9"/>
  </r>
  <r>
    <x v="1"/>
    <s v="Travel_Frequently"/>
    <x v="0"/>
    <s v="Current Employees"/>
    <x v="1"/>
    <x v="0"/>
    <x v="298"/>
    <n v="407"/>
    <x v="1"/>
    <x v="2"/>
    <x v="1"/>
    <s v="No"/>
    <s v="Y"/>
    <n v="2"/>
    <n v="-2"/>
    <n v="0"/>
    <n v="36"/>
    <n v="0"/>
    <m/>
    <n v="0"/>
    <n v="1"/>
    <n v="566"/>
    <n v="18"/>
    <x v="2"/>
    <n v="1"/>
    <n v="3"/>
    <n v="81"/>
    <n v="4"/>
    <n v="1"/>
    <n v="2"/>
    <n v="3688"/>
    <n v="7122"/>
    <n v="4"/>
    <n v="18"/>
    <n v="3"/>
    <n v="4"/>
    <n v="80"/>
    <n v="2"/>
    <n v="4"/>
    <n v="3"/>
    <n v="1"/>
    <n v="0"/>
    <n v="0"/>
    <n v="0"/>
  </r>
  <r>
    <x v="1"/>
    <s v="Travel_Rarely"/>
    <x v="1"/>
    <s v="Current Employees"/>
    <x v="1"/>
    <x v="2"/>
    <x v="299"/>
    <n v="408"/>
    <x v="1"/>
    <x v="3"/>
    <x v="2"/>
    <s v="No"/>
    <s v="Y"/>
    <n v="3"/>
    <n v="-2"/>
    <n v="0"/>
    <n v="51"/>
    <n v="0"/>
    <m/>
    <n v="0"/>
    <n v="1"/>
    <n v="1302"/>
    <n v="2"/>
    <x v="3"/>
    <n v="1"/>
    <n v="4"/>
    <n v="84"/>
    <n v="1"/>
    <n v="2"/>
    <n v="3"/>
    <n v="5482"/>
    <n v="16321"/>
    <n v="5"/>
    <n v="18"/>
    <n v="3"/>
    <n v="4"/>
    <n v="80"/>
    <n v="1"/>
    <n v="13"/>
    <n v="3"/>
    <n v="4"/>
    <n v="1"/>
    <n v="1"/>
    <n v="2"/>
  </r>
  <r>
    <x v="1"/>
    <s v="Travel_Rarely"/>
    <x v="0"/>
    <s v="Current Employees"/>
    <x v="0"/>
    <x v="0"/>
    <x v="300"/>
    <n v="410"/>
    <x v="1"/>
    <x v="5"/>
    <x v="0"/>
    <s v="No"/>
    <s v="Y"/>
    <n v="2"/>
    <n v="-2"/>
    <n v="0"/>
    <n v="41"/>
    <n v="0"/>
    <m/>
    <n v="0"/>
    <n v="1"/>
    <n v="334"/>
    <n v="2"/>
    <x v="2"/>
    <n v="1"/>
    <n v="4"/>
    <n v="88"/>
    <n v="3"/>
    <n v="4"/>
    <n v="2"/>
    <n v="16015"/>
    <n v="15896"/>
    <n v="1"/>
    <n v="19"/>
    <n v="3"/>
    <n v="2"/>
    <n v="80"/>
    <n v="0"/>
    <n v="22"/>
    <n v="3"/>
    <n v="22"/>
    <n v="10"/>
    <n v="0"/>
    <n v="4"/>
  </r>
  <r>
    <x v="1"/>
    <s v="Travel_Rarely"/>
    <x v="4"/>
    <s v="Current Employees"/>
    <x v="0"/>
    <x v="2"/>
    <x v="301"/>
    <n v="411"/>
    <x v="0"/>
    <x v="6"/>
    <x v="0"/>
    <s v="No"/>
    <s v="Y"/>
    <n v="2"/>
    <n v="-2"/>
    <n v="0"/>
    <n v="18"/>
    <n v="0"/>
    <m/>
    <n v="0"/>
    <n v="1"/>
    <n v="812"/>
    <n v="10"/>
    <x v="3"/>
    <n v="1"/>
    <n v="4"/>
    <n v="69"/>
    <n v="2"/>
    <n v="1"/>
    <n v="3"/>
    <n v="1200"/>
    <n v="9724"/>
    <n v="1"/>
    <n v="12"/>
    <n v="3"/>
    <n v="1"/>
    <n v="80"/>
    <n v="0"/>
    <n v="0"/>
    <n v="3"/>
    <n v="0"/>
    <n v="0"/>
    <n v="0"/>
    <n v="0"/>
  </r>
  <r>
    <x v="1"/>
    <s v="Travel_Rarely"/>
    <x v="2"/>
    <s v="Current Employees"/>
    <x v="1"/>
    <x v="2"/>
    <x v="302"/>
    <n v="412"/>
    <x v="1"/>
    <x v="4"/>
    <x v="0"/>
    <s v="No"/>
    <s v="Y"/>
    <n v="2"/>
    <n v="-2"/>
    <n v="0"/>
    <n v="28"/>
    <n v="0"/>
    <m/>
    <n v="0"/>
    <n v="1"/>
    <n v="1476"/>
    <n v="16"/>
    <x v="0"/>
    <n v="1"/>
    <n v="2"/>
    <n v="68"/>
    <n v="4"/>
    <n v="2"/>
    <n v="3"/>
    <n v="5661"/>
    <n v="4824"/>
    <n v="0"/>
    <n v="19"/>
    <n v="3"/>
    <n v="3"/>
    <n v="80"/>
    <n v="0"/>
    <n v="9"/>
    <n v="3"/>
    <n v="8"/>
    <n v="3"/>
    <n v="0"/>
    <n v="7"/>
  </r>
  <r>
    <x v="1"/>
    <s v="Travel_Rarely"/>
    <x v="2"/>
    <s v="Current Employees"/>
    <x v="0"/>
    <x v="4"/>
    <x v="303"/>
    <n v="416"/>
    <x v="1"/>
    <x v="0"/>
    <x v="1"/>
    <s v="No"/>
    <s v="Y"/>
    <n v="3"/>
    <n v="-2"/>
    <n v="0"/>
    <n v="31"/>
    <n v="0"/>
    <m/>
    <n v="0"/>
    <n v="1"/>
    <n v="218"/>
    <n v="7"/>
    <x v="3"/>
    <n v="1"/>
    <n v="4"/>
    <n v="100"/>
    <n v="4"/>
    <n v="2"/>
    <n v="4"/>
    <n v="6929"/>
    <n v="12241"/>
    <n v="4"/>
    <n v="11"/>
    <n v="3"/>
    <n v="2"/>
    <n v="80"/>
    <n v="1"/>
    <n v="10"/>
    <n v="2"/>
    <n v="8"/>
    <n v="7"/>
    <n v="7"/>
    <n v="7"/>
  </r>
  <r>
    <x v="1"/>
    <s v="Travel_Rarely"/>
    <x v="0"/>
    <s v="Current Employees"/>
    <x v="1"/>
    <x v="2"/>
    <x v="304"/>
    <n v="417"/>
    <x v="1"/>
    <x v="4"/>
    <x v="2"/>
    <s v="No"/>
    <s v="Y"/>
    <n v="5"/>
    <n v="-2"/>
    <n v="0"/>
    <n v="39"/>
    <n v="0"/>
    <m/>
    <n v="0"/>
    <n v="1"/>
    <n v="1132"/>
    <n v="1"/>
    <x v="3"/>
    <n v="1"/>
    <n v="3"/>
    <n v="48"/>
    <n v="4"/>
    <n v="3"/>
    <n v="4"/>
    <n v="9613"/>
    <n v="10942"/>
    <n v="0"/>
    <n v="17"/>
    <n v="3"/>
    <n v="1"/>
    <n v="80"/>
    <n v="3"/>
    <n v="19"/>
    <n v="2"/>
    <n v="18"/>
    <n v="10"/>
    <n v="3"/>
    <n v="7"/>
  </r>
  <r>
    <x v="1"/>
    <s v="Non-Travel"/>
    <x v="0"/>
    <s v="Current Employees"/>
    <x v="1"/>
    <x v="0"/>
    <x v="305"/>
    <n v="419"/>
    <x v="0"/>
    <x v="2"/>
    <x v="1"/>
    <s v="No"/>
    <s v="Y"/>
    <n v="3"/>
    <n v="-2"/>
    <n v="0"/>
    <n v="36"/>
    <n v="0"/>
    <m/>
    <n v="0"/>
    <n v="1"/>
    <n v="1105"/>
    <n v="24"/>
    <x v="2"/>
    <n v="1"/>
    <n v="2"/>
    <n v="47"/>
    <n v="3"/>
    <n v="2"/>
    <n v="2"/>
    <n v="5674"/>
    <n v="6927"/>
    <n v="7"/>
    <n v="15"/>
    <n v="3"/>
    <n v="3"/>
    <n v="80"/>
    <n v="1"/>
    <n v="11"/>
    <n v="3"/>
    <n v="9"/>
    <n v="8"/>
    <n v="0"/>
    <n v="8"/>
  </r>
  <r>
    <x v="1"/>
    <s v="Travel_Rarely"/>
    <x v="2"/>
    <s v="Current Employees"/>
    <x v="0"/>
    <x v="0"/>
    <x v="306"/>
    <n v="420"/>
    <x v="1"/>
    <x v="0"/>
    <x v="1"/>
    <s v="No"/>
    <s v="Y"/>
    <n v="3"/>
    <n v="-2"/>
    <n v="0"/>
    <n v="32"/>
    <n v="0"/>
    <m/>
    <n v="0"/>
    <n v="1"/>
    <n v="906"/>
    <n v="7"/>
    <x v="3"/>
    <n v="1"/>
    <n v="4"/>
    <n v="91"/>
    <n v="2"/>
    <n v="2"/>
    <n v="2"/>
    <n v="5484"/>
    <n v="16985"/>
    <n v="1"/>
    <n v="14"/>
    <n v="3"/>
    <n v="3"/>
    <n v="80"/>
    <n v="1"/>
    <n v="13"/>
    <n v="2"/>
    <n v="13"/>
    <n v="8"/>
    <n v="4"/>
    <n v="8"/>
  </r>
  <r>
    <x v="1"/>
    <s v="Travel_Rarely"/>
    <x v="0"/>
    <s v="Current Employees"/>
    <x v="1"/>
    <x v="0"/>
    <x v="307"/>
    <n v="421"/>
    <x v="0"/>
    <x v="7"/>
    <x v="1"/>
    <s v="No"/>
    <s v="Y"/>
    <n v="2"/>
    <n v="-2"/>
    <n v="0"/>
    <n v="38"/>
    <n v="0"/>
    <m/>
    <n v="0"/>
    <n v="1"/>
    <n v="849"/>
    <n v="25"/>
    <x v="0"/>
    <n v="1"/>
    <n v="1"/>
    <n v="81"/>
    <n v="2"/>
    <n v="3"/>
    <n v="2"/>
    <n v="12061"/>
    <n v="26707"/>
    <n v="3"/>
    <n v="17"/>
    <n v="3"/>
    <n v="3"/>
    <n v="80"/>
    <n v="1"/>
    <n v="19"/>
    <n v="3"/>
    <n v="10"/>
    <n v="8"/>
    <n v="0"/>
    <n v="1"/>
  </r>
  <r>
    <x v="1"/>
    <s v="Non-Travel"/>
    <x v="3"/>
    <s v="Current Employees"/>
    <x v="1"/>
    <x v="0"/>
    <x v="308"/>
    <n v="422"/>
    <x v="1"/>
    <x v="4"/>
    <x v="2"/>
    <s v="Yes"/>
    <s v="Y"/>
    <n v="2"/>
    <n v="-2"/>
    <n v="0"/>
    <n v="58"/>
    <n v="0"/>
    <m/>
    <n v="0"/>
    <n v="1"/>
    <n v="390"/>
    <n v="1"/>
    <x v="2"/>
    <n v="1"/>
    <n v="4"/>
    <n v="32"/>
    <n v="1"/>
    <n v="2"/>
    <n v="2"/>
    <n v="5660"/>
    <n v="17056"/>
    <n v="2"/>
    <n v="13"/>
    <n v="3"/>
    <n v="4"/>
    <n v="80"/>
    <n v="1"/>
    <n v="12"/>
    <n v="3"/>
    <n v="5"/>
    <n v="3"/>
    <n v="1"/>
    <n v="2"/>
  </r>
  <r>
    <x v="1"/>
    <s v="Travel_Rarely"/>
    <x v="2"/>
    <s v="Current Employees"/>
    <x v="1"/>
    <x v="4"/>
    <x v="309"/>
    <n v="423"/>
    <x v="1"/>
    <x v="1"/>
    <x v="1"/>
    <s v="Yes"/>
    <s v="Y"/>
    <n v="4"/>
    <n v="-2"/>
    <n v="0"/>
    <n v="31"/>
    <n v="0"/>
    <m/>
    <n v="0"/>
    <n v="1"/>
    <n v="691"/>
    <n v="5"/>
    <x v="2"/>
    <n v="1"/>
    <n v="4"/>
    <n v="86"/>
    <n v="3"/>
    <n v="1"/>
    <n v="4"/>
    <n v="4821"/>
    <n v="10077"/>
    <n v="0"/>
    <n v="12"/>
    <n v="3"/>
    <n v="3"/>
    <n v="80"/>
    <n v="1"/>
    <n v="6"/>
    <n v="3"/>
    <n v="5"/>
    <n v="2"/>
    <n v="0"/>
    <n v="3"/>
  </r>
  <r>
    <x v="1"/>
    <s v="Travel_Rarely"/>
    <x v="2"/>
    <s v="Current Employees"/>
    <x v="2"/>
    <x v="5"/>
    <x v="310"/>
    <n v="424"/>
    <x v="1"/>
    <x v="8"/>
    <x v="1"/>
    <s v="No"/>
    <s v="Y"/>
    <n v="1"/>
    <n v="-2"/>
    <n v="0"/>
    <n v="31"/>
    <n v="0"/>
    <m/>
    <n v="0"/>
    <n v="1"/>
    <n v="106"/>
    <n v="2"/>
    <x v="3"/>
    <n v="1"/>
    <n v="1"/>
    <n v="62"/>
    <n v="2"/>
    <n v="2"/>
    <n v="3"/>
    <n v="6410"/>
    <n v="17822"/>
    <n v="3"/>
    <n v="12"/>
    <n v="3"/>
    <n v="4"/>
    <n v="80"/>
    <n v="0"/>
    <n v="9"/>
    <n v="3"/>
    <n v="2"/>
    <n v="2"/>
    <n v="1"/>
    <n v="0"/>
  </r>
  <r>
    <x v="1"/>
    <s v="Travel_Frequently"/>
    <x v="1"/>
    <s v="Current Employees"/>
    <x v="1"/>
    <x v="0"/>
    <x v="311"/>
    <n v="425"/>
    <x v="1"/>
    <x v="2"/>
    <x v="2"/>
    <s v="No"/>
    <s v="Y"/>
    <n v="2"/>
    <n v="-2"/>
    <n v="0"/>
    <n v="45"/>
    <n v="0"/>
    <m/>
    <n v="0"/>
    <n v="1"/>
    <n v="1249"/>
    <n v="7"/>
    <x v="3"/>
    <n v="1"/>
    <n v="1"/>
    <n v="97"/>
    <n v="3"/>
    <n v="3"/>
    <n v="2"/>
    <n v="5210"/>
    <n v="20308"/>
    <n v="1"/>
    <n v="18"/>
    <n v="3"/>
    <n v="1"/>
    <n v="80"/>
    <n v="1"/>
    <n v="24"/>
    <n v="3"/>
    <n v="24"/>
    <n v="9"/>
    <n v="9"/>
    <n v="11"/>
  </r>
  <r>
    <x v="1"/>
    <s v="Travel_Rarely"/>
    <x v="2"/>
    <s v="Current Employees"/>
    <x v="1"/>
    <x v="0"/>
    <x v="312"/>
    <n v="426"/>
    <x v="1"/>
    <x v="1"/>
    <x v="2"/>
    <s v="Yes"/>
    <s v="Y"/>
    <n v="2"/>
    <n v="-2"/>
    <n v="0"/>
    <n v="31"/>
    <n v="0"/>
    <m/>
    <n v="0"/>
    <n v="1"/>
    <n v="192"/>
    <n v="2"/>
    <x v="2"/>
    <n v="1"/>
    <n v="3"/>
    <n v="32"/>
    <n v="3"/>
    <n v="1"/>
    <n v="2"/>
    <n v="2695"/>
    <n v="7747"/>
    <n v="0"/>
    <n v="18"/>
    <n v="3"/>
    <n v="2"/>
    <n v="80"/>
    <n v="1"/>
    <n v="3"/>
    <n v="1"/>
    <n v="2"/>
    <n v="2"/>
    <n v="2"/>
    <n v="2"/>
  </r>
  <r>
    <x v="1"/>
    <s v="Travel_Frequently"/>
    <x v="2"/>
    <s v="Current Employees"/>
    <x v="1"/>
    <x v="0"/>
    <x v="313"/>
    <n v="428"/>
    <x v="0"/>
    <x v="5"/>
    <x v="1"/>
    <s v="No"/>
    <s v="Y"/>
    <n v="2"/>
    <n v="-2"/>
    <n v="0"/>
    <n v="33"/>
    <n v="0"/>
    <m/>
    <n v="0"/>
    <n v="1"/>
    <n v="553"/>
    <n v="5"/>
    <x v="2"/>
    <n v="1"/>
    <n v="4"/>
    <n v="74"/>
    <n v="3"/>
    <n v="3"/>
    <n v="2"/>
    <n v="11878"/>
    <n v="23364"/>
    <n v="6"/>
    <n v="11"/>
    <n v="3"/>
    <n v="2"/>
    <n v="80"/>
    <n v="2"/>
    <n v="12"/>
    <n v="3"/>
    <n v="10"/>
    <n v="6"/>
    <n v="8"/>
    <n v="8"/>
  </r>
  <r>
    <x v="1"/>
    <s v="Travel_Rarely"/>
    <x v="0"/>
    <s v="Current Employees"/>
    <x v="1"/>
    <x v="2"/>
    <x v="314"/>
    <n v="429"/>
    <x v="1"/>
    <x v="5"/>
    <x v="1"/>
    <s v="Yes"/>
    <s v="Y"/>
    <n v="3"/>
    <n v="-2"/>
    <n v="0"/>
    <n v="39"/>
    <n v="0"/>
    <m/>
    <n v="0"/>
    <n v="1"/>
    <n v="117"/>
    <n v="10"/>
    <x v="1"/>
    <n v="1"/>
    <n v="3"/>
    <n v="99"/>
    <n v="3"/>
    <n v="4"/>
    <n v="3"/>
    <n v="17068"/>
    <n v="5355"/>
    <n v="1"/>
    <n v="14"/>
    <n v="3"/>
    <n v="4"/>
    <n v="80"/>
    <n v="0"/>
    <n v="21"/>
    <n v="3"/>
    <n v="21"/>
    <n v="9"/>
    <n v="11"/>
    <n v="10"/>
  </r>
  <r>
    <x v="1"/>
    <s v="Travel_Frequently"/>
    <x v="0"/>
    <s v="Current Employees"/>
    <x v="1"/>
    <x v="0"/>
    <x v="315"/>
    <n v="430"/>
    <x v="0"/>
    <x v="2"/>
    <x v="0"/>
    <s v="No"/>
    <s v="Y"/>
    <n v="5"/>
    <n v="-2"/>
    <n v="0"/>
    <n v="43"/>
    <n v="0"/>
    <m/>
    <n v="0"/>
    <n v="1"/>
    <n v="185"/>
    <n v="10"/>
    <x v="2"/>
    <n v="1"/>
    <n v="3"/>
    <n v="33"/>
    <n v="3"/>
    <n v="1"/>
    <n v="2"/>
    <n v="2455"/>
    <n v="10675"/>
    <n v="0"/>
    <n v="19"/>
    <n v="3"/>
    <n v="1"/>
    <n v="80"/>
    <n v="0"/>
    <n v="9"/>
    <n v="3"/>
    <n v="8"/>
    <n v="7"/>
    <n v="1"/>
    <n v="7"/>
  </r>
  <r>
    <x v="1"/>
    <s v="Travel_Rarely"/>
    <x v="1"/>
    <s v="Current Employees"/>
    <x v="1"/>
    <x v="4"/>
    <x v="316"/>
    <n v="431"/>
    <x v="0"/>
    <x v="4"/>
    <x v="0"/>
    <s v="Yes"/>
    <s v="Y"/>
    <n v="2"/>
    <n v="-2"/>
    <n v="0"/>
    <n v="49"/>
    <n v="0"/>
    <m/>
    <n v="0"/>
    <n v="1"/>
    <n v="1091"/>
    <n v="1"/>
    <x v="0"/>
    <n v="1"/>
    <n v="4"/>
    <n v="90"/>
    <n v="2"/>
    <n v="4"/>
    <n v="4"/>
    <n v="13964"/>
    <n v="17810"/>
    <n v="7"/>
    <n v="12"/>
    <n v="3"/>
    <n v="4"/>
    <n v="80"/>
    <n v="0"/>
    <n v="25"/>
    <n v="3"/>
    <n v="7"/>
    <n v="1"/>
    <n v="0"/>
    <n v="7"/>
  </r>
  <r>
    <x v="0"/>
    <s v="Travel_Rarely"/>
    <x v="1"/>
    <s v="Ex-Employees"/>
    <x v="1"/>
    <x v="2"/>
    <x v="317"/>
    <n v="433"/>
    <x v="1"/>
    <x v="1"/>
    <x v="1"/>
    <s v="No"/>
    <s v="Y"/>
    <n v="3"/>
    <n v="-2"/>
    <n v="0"/>
    <n v="52"/>
    <n v="1"/>
    <n v="1"/>
    <n v="1"/>
    <n v="0"/>
    <n v="723"/>
    <n v="8"/>
    <x v="2"/>
    <n v="1"/>
    <n v="3"/>
    <n v="85"/>
    <n v="2"/>
    <n v="2"/>
    <n v="3"/>
    <n v="4941"/>
    <n v="17747"/>
    <n v="2"/>
    <n v="15"/>
    <n v="3"/>
    <n v="1"/>
    <n v="80"/>
    <n v="0"/>
    <n v="11"/>
    <n v="2"/>
    <n v="8"/>
    <n v="2"/>
    <n v="7"/>
    <n v="7"/>
  </r>
  <r>
    <x v="1"/>
    <s v="Travel_Rarely"/>
    <x v="2"/>
    <s v="Current Employees"/>
    <x v="1"/>
    <x v="0"/>
    <x v="318"/>
    <n v="434"/>
    <x v="0"/>
    <x v="1"/>
    <x v="0"/>
    <s v="Yes"/>
    <s v="Y"/>
    <n v="2"/>
    <n v="-2"/>
    <n v="0"/>
    <n v="27"/>
    <n v="0"/>
    <m/>
    <n v="0"/>
    <n v="1"/>
    <n v="1220"/>
    <n v="5"/>
    <x v="3"/>
    <n v="1"/>
    <n v="3"/>
    <n v="85"/>
    <n v="3"/>
    <n v="1"/>
    <n v="2"/>
    <n v="2478"/>
    <n v="20938"/>
    <n v="1"/>
    <n v="12"/>
    <n v="3"/>
    <n v="2"/>
    <n v="80"/>
    <n v="0"/>
    <n v="4"/>
    <n v="2"/>
    <n v="4"/>
    <n v="3"/>
    <n v="1"/>
    <n v="2"/>
  </r>
  <r>
    <x v="1"/>
    <s v="Travel_Rarely"/>
    <x v="2"/>
    <s v="Current Employees"/>
    <x v="0"/>
    <x v="4"/>
    <x v="319"/>
    <n v="436"/>
    <x v="0"/>
    <x v="0"/>
    <x v="1"/>
    <s v="Yes"/>
    <s v="Y"/>
    <n v="2"/>
    <n v="-2"/>
    <n v="0"/>
    <n v="32"/>
    <n v="0"/>
    <m/>
    <n v="0"/>
    <n v="1"/>
    <n v="588"/>
    <n v="8"/>
    <x v="0"/>
    <n v="1"/>
    <n v="4"/>
    <n v="65"/>
    <n v="2"/>
    <n v="2"/>
    <n v="4"/>
    <n v="5228"/>
    <n v="24624"/>
    <n v="1"/>
    <n v="11"/>
    <n v="3"/>
    <n v="4"/>
    <n v="80"/>
    <n v="0"/>
    <n v="13"/>
    <n v="3"/>
    <n v="13"/>
    <n v="12"/>
    <n v="11"/>
    <n v="9"/>
  </r>
  <r>
    <x v="1"/>
    <s v="Travel_Rarely"/>
    <x v="2"/>
    <s v="Current Employees"/>
    <x v="0"/>
    <x v="0"/>
    <x v="320"/>
    <n v="437"/>
    <x v="1"/>
    <x v="0"/>
    <x v="0"/>
    <s v="Yes"/>
    <s v="Y"/>
    <n v="3"/>
    <n v="-2"/>
    <n v="0"/>
    <n v="27"/>
    <n v="0"/>
    <m/>
    <n v="0"/>
    <n v="1"/>
    <n v="1377"/>
    <n v="2"/>
    <x v="3"/>
    <n v="1"/>
    <n v="4"/>
    <n v="74"/>
    <n v="3"/>
    <n v="2"/>
    <n v="2"/>
    <n v="4478"/>
    <n v="5242"/>
    <n v="1"/>
    <n v="11"/>
    <n v="3"/>
    <n v="1"/>
    <n v="80"/>
    <n v="0"/>
    <n v="5"/>
    <n v="3"/>
    <n v="5"/>
    <n v="4"/>
    <n v="0"/>
    <n v="4"/>
  </r>
  <r>
    <x v="1"/>
    <s v="Travel_Rarely"/>
    <x v="2"/>
    <s v="Current Employees"/>
    <x v="0"/>
    <x v="3"/>
    <x v="321"/>
    <n v="438"/>
    <x v="1"/>
    <x v="0"/>
    <x v="2"/>
    <s v="No"/>
    <s v="Y"/>
    <n v="3"/>
    <n v="-2"/>
    <n v="0"/>
    <n v="31"/>
    <n v="0"/>
    <m/>
    <n v="0"/>
    <n v="1"/>
    <n v="691"/>
    <n v="7"/>
    <x v="3"/>
    <n v="1"/>
    <n v="4"/>
    <n v="73"/>
    <n v="3"/>
    <n v="2"/>
    <n v="1"/>
    <n v="7547"/>
    <n v="7143"/>
    <n v="4"/>
    <n v="12"/>
    <n v="3"/>
    <n v="4"/>
    <n v="80"/>
    <n v="3"/>
    <n v="13"/>
    <n v="3"/>
    <n v="7"/>
    <n v="7"/>
    <n v="1"/>
    <n v="7"/>
  </r>
  <r>
    <x v="1"/>
    <s v="Travel_Rarely"/>
    <x v="2"/>
    <s v="Current Employees"/>
    <x v="1"/>
    <x v="2"/>
    <x v="322"/>
    <n v="439"/>
    <x v="0"/>
    <x v="1"/>
    <x v="0"/>
    <s v="No"/>
    <s v="Y"/>
    <n v="0"/>
    <n v="-2"/>
    <n v="0"/>
    <n v="32"/>
    <n v="0"/>
    <m/>
    <n v="0"/>
    <n v="1"/>
    <n v="1018"/>
    <n v="2"/>
    <x v="2"/>
    <n v="1"/>
    <n v="1"/>
    <n v="74"/>
    <n v="4"/>
    <n v="2"/>
    <n v="4"/>
    <n v="5055"/>
    <n v="10557"/>
    <n v="7"/>
    <n v="16"/>
    <n v="3"/>
    <n v="3"/>
    <n v="80"/>
    <n v="0"/>
    <n v="10"/>
    <n v="2"/>
    <n v="7"/>
    <n v="7"/>
    <n v="0"/>
    <n v="7"/>
  </r>
  <r>
    <x v="0"/>
    <s v="Travel_Rarely"/>
    <x v="2"/>
    <s v="Ex-Employees"/>
    <x v="1"/>
    <x v="2"/>
    <x v="323"/>
    <n v="440"/>
    <x v="1"/>
    <x v="1"/>
    <x v="1"/>
    <s v="Yes"/>
    <s v="Y"/>
    <n v="4"/>
    <n v="-2"/>
    <n v="0"/>
    <n v="28"/>
    <n v="1"/>
    <n v="1"/>
    <n v="1"/>
    <n v="0"/>
    <n v="1157"/>
    <n v="2"/>
    <x v="2"/>
    <n v="1"/>
    <n v="1"/>
    <n v="84"/>
    <n v="1"/>
    <n v="1"/>
    <n v="4"/>
    <n v="3464"/>
    <n v="24737"/>
    <n v="5"/>
    <n v="13"/>
    <n v="3"/>
    <n v="4"/>
    <n v="80"/>
    <n v="0"/>
    <n v="5"/>
    <n v="2"/>
    <n v="3"/>
    <n v="2"/>
    <n v="2"/>
    <n v="2"/>
  </r>
  <r>
    <x v="1"/>
    <s v="Travel_Rarely"/>
    <x v="2"/>
    <s v="Current Employees"/>
    <x v="1"/>
    <x v="2"/>
    <x v="324"/>
    <n v="441"/>
    <x v="0"/>
    <x v="1"/>
    <x v="1"/>
    <s v="No"/>
    <s v="Y"/>
    <n v="2"/>
    <n v="-2"/>
    <n v="0"/>
    <n v="30"/>
    <n v="0"/>
    <m/>
    <n v="0"/>
    <n v="1"/>
    <n v="1275"/>
    <n v="28"/>
    <x v="0"/>
    <n v="1"/>
    <n v="4"/>
    <n v="64"/>
    <n v="3"/>
    <n v="2"/>
    <n v="4"/>
    <n v="5775"/>
    <n v="11934"/>
    <n v="1"/>
    <n v="13"/>
    <n v="3"/>
    <n v="4"/>
    <n v="80"/>
    <n v="2"/>
    <n v="11"/>
    <n v="3"/>
    <n v="10"/>
    <n v="8"/>
    <n v="1"/>
    <n v="9"/>
  </r>
  <r>
    <x v="1"/>
    <s v="Travel_Frequently"/>
    <x v="2"/>
    <s v="Current Employees"/>
    <x v="1"/>
    <x v="0"/>
    <x v="325"/>
    <n v="442"/>
    <x v="0"/>
    <x v="3"/>
    <x v="1"/>
    <s v="No"/>
    <s v="Y"/>
    <n v="2"/>
    <n v="-2"/>
    <n v="0"/>
    <n v="31"/>
    <n v="0"/>
    <m/>
    <n v="0"/>
    <n v="1"/>
    <n v="798"/>
    <n v="7"/>
    <x v="0"/>
    <n v="1"/>
    <n v="3"/>
    <n v="48"/>
    <n v="2"/>
    <n v="3"/>
    <n v="2"/>
    <n v="8943"/>
    <n v="14034"/>
    <n v="1"/>
    <n v="24"/>
    <n v="4"/>
    <n v="1"/>
    <n v="80"/>
    <n v="1"/>
    <n v="10"/>
    <n v="3"/>
    <n v="10"/>
    <n v="9"/>
    <n v="8"/>
    <n v="9"/>
  </r>
  <r>
    <x v="1"/>
    <s v="Travel_Frequently"/>
    <x v="0"/>
    <s v="Current Employees"/>
    <x v="1"/>
    <x v="2"/>
    <x v="326"/>
    <n v="444"/>
    <x v="1"/>
    <x v="5"/>
    <x v="1"/>
    <s v="No"/>
    <s v="Y"/>
    <n v="2"/>
    <n v="-2"/>
    <n v="0"/>
    <n v="39"/>
    <n v="0"/>
    <m/>
    <n v="0"/>
    <n v="1"/>
    <n v="672"/>
    <n v="7"/>
    <x v="0"/>
    <n v="1"/>
    <n v="3"/>
    <n v="54"/>
    <n v="2"/>
    <n v="5"/>
    <n v="4"/>
    <n v="19272"/>
    <n v="21141"/>
    <n v="1"/>
    <n v="15"/>
    <n v="3"/>
    <n v="1"/>
    <n v="80"/>
    <n v="1"/>
    <n v="21"/>
    <n v="3"/>
    <n v="21"/>
    <n v="9"/>
    <n v="13"/>
    <n v="3"/>
  </r>
  <r>
    <x v="0"/>
    <s v="Travel_Rarely"/>
    <x v="0"/>
    <s v="Ex-Employees"/>
    <x v="0"/>
    <x v="2"/>
    <x v="327"/>
    <n v="445"/>
    <x v="0"/>
    <x v="0"/>
    <x v="1"/>
    <s v="Yes"/>
    <s v="Y"/>
    <n v="3"/>
    <n v="-2"/>
    <n v="0"/>
    <n v="39"/>
    <n v="1"/>
    <n v="1"/>
    <n v="1"/>
    <n v="0"/>
    <n v="1162"/>
    <n v="3"/>
    <x v="0"/>
    <n v="1"/>
    <n v="4"/>
    <n v="41"/>
    <n v="3"/>
    <n v="2"/>
    <n v="3"/>
    <n v="5238"/>
    <n v="17778"/>
    <n v="4"/>
    <n v="18"/>
    <n v="3"/>
    <n v="1"/>
    <n v="80"/>
    <n v="0"/>
    <n v="12"/>
    <n v="2"/>
    <n v="1"/>
    <n v="0"/>
    <n v="0"/>
    <n v="0"/>
  </r>
  <r>
    <x v="1"/>
    <s v="Travel_Frequently"/>
    <x v="2"/>
    <s v="Current Employees"/>
    <x v="0"/>
    <x v="3"/>
    <x v="328"/>
    <n v="446"/>
    <x v="1"/>
    <x v="0"/>
    <x v="0"/>
    <s v="No"/>
    <s v="Y"/>
    <n v="6"/>
    <n v="-2"/>
    <n v="0"/>
    <n v="33"/>
    <n v="0"/>
    <m/>
    <n v="0"/>
    <n v="1"/>
    <n v="508"/>
    <n v="10"/>
    <x v="3"/>
    <n v="1"/>
    <n v="2"/>
    <n v="46"/>
    <n v="2"/>
    <n v="2"/>
    <n v="1"/>
    <n v="4682"/>
    <n v="4317"/>
    <n v="3"/>
    <n v="14"/>
    <n v="3"/>
    <n v="3"/>
    <n v="80"/>
    <n v="0"/>
    <n v="9"/>
    <n v="2"/>
    <n v="7"/>
    <n v="7"/>
    <n v="0"/>
    <n v="1"/>
  </r>
  <r>
    <x v="1"/>
    <s v="Travel_Rarely"/>
    <x v="1"/>
    <s v="Current Employees"/>
    <x v="1"/>
    <x v="0"/>
    <x v="329"/>
    <n v="447"/>
    <x v="1"/>
    <x v="7"/>
    <x v="1"/>
    <s v="No"/>
    <s v="Y"/>
    <n v="2"/>
    <n v="-2"/>
    <n v="0"/>
    <n v="47"/>
    <n v="0"/>
    <m/>
    <n v="0"/>
    <n v="1"/>
    <n v="1482"/>
    <n v="5"/>
    <x v="4"/>
    <n v="1"/>
    <n v="4"/>
    <n v="42"/>
    <n v="3"/>
    <n v="5"/>
    <n v="2"/>
    <n v="18300"/>
    <n v="16375"/>
    <n v="4"/>
    <n v="11"/>
    <n v="3"/>
    <n v="2"/>
    <n v="80"/>
    <n v="1"/>
    <n v="21"/>
    <n v="3"/>
    <n v="3"/>
    <n v="2"/>
    <n v="1"/>
    <n v="1"/>
  </r>
  <r>
    <x v="1"/>
    <s v="Travel_Frequently"/>
    <x v="0"/>
    <s v="Current Employees"/>
    <x v="1"/>
    <x v="0"/>
    <x v="330"/>
    <n v="448"/>
    <x v="0"/>
    <x v="2"/>
    <x v="2"/>
    <s v="No"/>
    <s v="Y"/>
    <n v="3"/>
    <n v="-2"/>
    <n v="0"/>
    <n v="43"/>
    <n v="0"/>
    <m/>
    <n v="0"/>
    <n v="1"/>
    <n v="559"/>
    <n v="10"/>
    <x v="2"/>
    <n v="1"/>
    <n v="3"/>
    <n v="82"/>
    <n v="2"/>
    <n v="2"/>
    <n v="2"/>
    <n v="5257"/>
    <n v="6227"/>
    <n v="1"/>
    <n v="11"/>
    <n v="3"/>
    <n v="2"/>
    <n v="80"/>
    <n v="1"/>
    <n v="9"/>
    <n v="4"/>
    <n v="9"/>
    <n v="7"/>
    <n v="0"/>
    <n v="0"/>
  </r>
  <r>
    <x v="1"/>
    <s v="Non-Travel"/>
    <x v="2"/>
    <s v="Current Employees"/>
    <x v="0"/>
    <x v="3"/>
    <x v="331"/>
    <n v="449"/>
    <x v="1"/>
    <x v="0"/>
    <x v="1"/>
    <s v="Yes"/>
    <s v="Y"/>
    <n v="0"/>
    <n v="-2"/>
    <n v="0"/>
    <n v="27"/>
    <n v="0"/>
    <m/>
    <n v="0"/>
    <n v="1"/>
    <n v="210"/>
    <n v="1"/>
    <x v="1"/>
    <n v="1"/>
    <n v="3"/>
    <n v="73"/>
    <n v="3"/>
    <n v="2"/>
    <n v="1"/>
    <n v="6349"/>
    <n v="22107"/>
    <n v="0"/>
    <n v="13"/>
    <n v="3"/>
    <n v="4"/>
    <n v="80"/>
    <n v="1"/>
    <n v="6"/>
    <n v="3"/>
    <n v="5"/>
    <n v="4"/>
    <n v="1"/>
    <n v="4"/>
  </r>
  <r>
    <x v="1"/>
    <s v="Travel_Frequently"/>
    <x v="1"/>
    <s v="Current Employees"/>
    <x v="1"/>
    <x v="0"/>
    <x v="332"/>
    <n v="450"/>
    <x v="0"/>
    <x v="1"/>
    <x v="0"/>
    <s v="No"/>
    <s v="Y"/>
    <n v="4"/>
    <n v="-2"/>
    <n v="0"/>
    <n v="54"/>
    <n v="0"/>
    <m/>
    <n v="0"/>
    <n v="1"/>
    <n v="928"/>
    <n v="20"/>
    <x v="2"/>
    <n v="1"/>
    <n v="4"/>
    <n v="31"/>
    <n v="3"/>
    <n v="2"/>
    <n v="2"/>
    <n v="4869"/>
    <n v="16885"/>
    <n v="3"/>
    <n v="12"/>
    <n v="3"/>
    <n v="4"/>
    <n v="80"/>
    <n v="0"/>
    <n v="20"/>
    <n v="2"/>
    <n v="4"/>
    <n v="3"/>
    <n v="0"/>
    <n v="3"/>
  </r>
  <r>
    <x v="1"/>
    <s v="Travel_Rarely"/>
    <x v="0"/>
    <s v="Current Employees"/>
    <x v="1"/>
    <x v="0"/>
    <x v="333"/>
    <n v="451"/>
    <x v="0"/>
    <x v="4"/>
    <x v="1"/>
    <s v="No"/>
    <s v="Y"/>
    <n v="1"/>
    <n v="-2"/>
    <n v="0"/>
    <n v="43"/>
    <n v="0"/>
    <m/>
    <n v="0"/>
    <n v="1"/>
    <n v="1001"/>
    <n v="7"/>
    <x v="3"/>
    <n v="1"/>
    <n v="3"/>
    <n v="43"/>
    <n v="3"/>
    <n v="3"/>
    <n v="2"/>
    <n v="9985"/>
    <n v="9262"/>
    <n v="8"/>
    <n v="16"/>
    <n v="3"/>
    <n v="1"/>
    <n v="80"/>
    <n v="1"/>
    <n v="10"/>
    <n v="2"/>
    <n v="1"/>
    <n v="0"/>
    <n v="0"/>
    <n v="0"/>
  </r>
  <r>
    <x v="1"/>
    <s v="Travel_Rarely"/>
    <x v="1"/>
    <s v="Current Employees"/>
    <x v="1"/>
    <x v="1"/>
    <x v="334"/>
    <n v="452"/>
    <x v="1"/>
    <x v="1"/>
    <x v="1"/>
    <s v="No"/>
    <s v="Y"/>
    <n v="3"/>
    <n v="-2"/>
    <n v="0"/>
    <n v="45"/>
    <n v="0"/>
    <m/>
    <n v="0"/>
    <n v="1"/>
    <n v="549"/>
    <n v="8"/>
    <x v="2"/>
    <n v="1"/>
    <n v="4"/>
    <n v="75"/>
    <n v="3"/>
    <n v="2"/>
    <n v="4"/>
    <n v="3697"/>
    <n v="9278"/>
    <n v="9"/>
    <n v="14"/>
    <n v="3"/>
    <n v="1"/>
    <n v="80"/>
    <n v="2"/>
    <n v="12"/>
    <n v="3"/>
    <n v="10"/>
    <n v="9"/>
    <n v="9"/>
    <n v="8"/>
  </r>
  <r>
    <x v="1"/>
    <s v="Travel_Rarely"/>
    <x v="0"/>
    <s v="Current Employees"/>
    <x v="0"/>
    <x v="2"/>
    <x v="335"/>
    <n v="453"/>
    <x v="1"/>
    <x v="0"/>
    <x v="1"/>
    <s v="Yes"/>
    <s v="Y"/>
    <n v="2"/>
    <n v="-2"/>
    <n v="0"/>
    <n v="40"/>
    <n v="0"/>
    <m/>
    <n v="0"/>
    <n v="1"/>
    <n v="1124"/>
    <n v="1"/>
    <x v="0"/>
    <n v="1"/>
    <n v="2"/>
    <n v="57"/>
    <n v="1"/>
    <n v="2"/>
    <n v="4"/>
    <n v="7457"/>
    <n v="13273"/>
    <n v="2"/>
    <n v="22"/>
    <n v="4"/>
    <n v="3"/>
    <n v="80"/>
    <n v="3"/>
    <n v="6"/>
    <n v="2"/>
    <n v="4"/>
    <n v="3"/>
    <n v="0"/>
    <n v="2"/>
  </r>
  <r>
    <x v="0"/>
    <s v="Travel_Rarely"/>
    <x v="2"/>
    <s v="Ex-Employees"/>
    <x v="1"/>
    <x v="1"/>
    <x v="336"/>
    <n v="454"/>
    <x v="1"/>
    <x v="2"/>
    <x v="1"/>
    <s v="Yes"/>
    <s v="Y"/>
    <n v="4"/>
    <n v="-2"/>
    <n v="0"/>
    <n v="29"/>
    <n v="1"/>
    <n v="1"/>
    <n v="1"/>
    <n v="0"/>
    <n v="318"/>
    <n v="8"/>
    <x v="2"/>
    <n v="1"/>
    <n v="2"/>
    <n v="77"/>
    <n v="1"/>
    <n v="1"/>
    <n v="3"/>
    <n v="2119"/>
    <n v="4759"/>
    <n v="1"/>
    <n v="11"/>
    <n v="3"/>
    <n v="4"/>
    <n v="80"/>
    <n v="0"/>
    <n v="7"/>
    <n v="2"/>
    <n v="7"/>
    <n v="7"/>
    <n v="0"/>
    <n v="7"/>
  </r>
  <r>
    <x v="1"/>
    <s v="Travel_Rarely"/>
    <x v="2"/>
    <s v="Current Employees"/>
    <x v="1"/>
    <x v="1"/>
    <x v="337"/>
    <n v="455"/>
    <x v="1"/>
    <x v="2"/>
    <x v="0"/>
    <s v="No"/>
    <s v="Y"/>
    <n v="2"/>
    <n v="-2"/>
    <n v="0"/>
    <n v="29"/>
    <n v="0"/>
    <m/>
    <n v="0"/>
    <n v="1"/>
    <n v="738"/>
    <n v="9"/>
    <x v="4"/>
    <n v="1"/>
    <n v="2"/>
    <n v="30"/>
    <n v="2"/>
    <n v="1"/>
    <n v="4"/>
    <n v="3983"/>
    <n v="7621"/>
    <n v="0"/>
    <n v="17"/>
    <n v="3"/>
    <n v="3"/>
    <n v="80"/>
    <n v="0"/>
    <n v="4"/>
    <n v="3"/>
    <n v="3"/>
    <n v="2"/>
    <n v="2"/>
    <n v="2"/>
  </r>
  <r>
    <x v="1"/>
    <s v="Travel_Rarely"/>
    <x v="2"/>
    <s v="Current Employees"/>
    <x v="0"/>
    <x v="3"/>
    <x v="338"/>
    <n v="456"/>
    <x v="0"/>
    <x v="0"/>
    <x v="2"/>
    <s v="No"/>
    <s v="Y"/>
    <n v="2"/>
    <n v="-2"/>
    <n v="0"/>
    <n v="30"/>
    <n v="0"/>
    <m/>
    <n v="0"/>
    <n v="1"/>
    <n v="570"/>
    <n v="5"/>
    <x v="3"/>
    <n v="1"/>
    <n v="4"/>
    <n v="30"/>
    <n v="2"/>
    <n v="2"/>
    <n v="1"/>
    <n v="6118"/>
    <n v="5431"/>
    <n v="1"/>
    <n v="13"/>
    <n v="3"/>
    <n v="3"/>
    <n v="80"/>
    <n v="3"/>
    <n v="10"/>
    <n v="3"/>
    <n v="10"/>
    <n v="9"/>
    <n v="1"/>
    <n v="2"/>
  </r>
  <r>
    <x v="1"/>
    <s v="Travel_Rarely"/>
    <x v="2"/>
    <s v="Current Employees"/>
    <x v="0"/>
    <x v="3"/>
    <x v="339"/>
    <n v="458"/>
    <x v="0"/>
    <x v="0"/>
    <x v="1"/>
    <s v="No"/>
    <s v="Y"/>
    <n v="3"/>
    <n v="-2"/>
    <n v="0"/>
    <n v="27"/>
    <n v="0"/>
    <m/>
    <n v="0"/>
    <n v="1"/>
    <n v="1130"/>
    <n v="8"/>
    <x v="2"/>
    <n v="1"/>
    <n v="2"/>
    <n v="56"/>
    <n v="3"/>
    <n v="2"/>
    <n v="1"/>
    <n v="6214"/>
    <n v="3415"/>
    <n v="1"/>
    <n v="18"/>
    <n v="3"/>
    <n v="1"/>
    <n v="80"/>
    <n v="1"/>
    <n v="8"/>
    <n v="3"/>
    <n v="8"/>
    <n v="7"/>
    <n v="0"/>
    <n v="7"/>
  </r>
  <r>
    <x v="1"/>
    <s v="Travel_Rarely"/>
    <x v="0"/>
    <s v="Current Employees"/>
    <x v="1"/>
    <x v="2"/>
    <x v="340"/>
    <n v="460"/>
    <x v="1"/>
    <x v="3"/>
    <x v="2"/>
    <s v="No"/>
    <s v="Y"/>
    <n v="2"/>
    <n v="-2"/>
    <n v="0"/>
    <n v="37"/>
    <n v="0"/>
    <m/>
    <n v="0"/>
    <n v="1"/>
    <n v="1192"/>
    <n v="5"/>
    <x v="0"/>
    <n v="1"/>
    <n v="4"/>
    <n v="61"/>
    <n v="3"/>
    <n v="2"/>
    <n v="4"/>
    <n v="6347"/>
    <n v="23177"/>
    <n v="7"/>
    <n v="16"/>
    <n v="3"/>
    <n v="3"/>
    <n v="80"/>
    <n v="2"/>
    <n v="8"/>
    <n v="2"/>
    <n v="6"/>
    <n v="2"/>
    <n v="0"/>
    <n v="4"/>
  </r>
  <r>
    <x v="1"/>
    <s v="Travel_Rarely"/>
    <x v="0"/>
    <s v="Current Employees"/>
    <x v="1"/>
    <x v="0"/>
    <x v="341"/>
    <n v="461"/>
    <x v="1"/>
    <x v="7"/>
    <x v="2"/>
    <s v="Yes"/>
    <s v="Y"/>
    <n v="3"/>
    <n v="-2"/>
    <n v="0"/>
    <n v="38"/>
    <n v="0"/>
    <m/>
    <n v="0"/>
    <n v="1"/>
    <n v="343"/>
    <n v="15"/>
    <x v="0"/>
    <n v="1"/>
    <n v="3"/>
    <n v="92"/>
    <n v="2"/>
    <n v="3"/>
    <n v="2"/>
    <n v="11510"/>
    <n v="15682"/>
    <n v="0"/>
    <n v="14"/>
    <n v="3"/>
    <n v="2"/>
    <n v="80"/>
    <n v="1"/>
    <n v="12"/>
    <n v="3"/>
    <n v="11"/>
    <n v="10"/>
    <n v="2"/>
    <n v="9"/>
  </r>
  <r>
    <x v="1"/>
    <s v="Travel_Rarely"/>
    <x v="2"/>
    <s v="Current Employees"/>
    <x v="1"/>
    <x v="2"/>
    <x v="342"/>
    <n v="462"/>
    <x v="0"/>
    <x v="3"/>
    <x v="0"/>
    <s v="Yes"/>
    <s v="Y"/>
    <n v="2"/>
    <n v="-2"/>
    <n v="0"/>
    <n v="31"/>
    <n v="0"/>
    <m/>
    <n v="0"/>
    <n v="1"/>
    <n v="1232"/>
    <n v="7"/>
    <x v="2"/>
    <n v="1"/>
    <n v="3"/>
    <n v="39"/>
    <n v="3"/>
    <n v="3"/>
    <n v="4"/>
    <n v="7143"/>
    <n v="25713"/>
    <n v="1"/>
    <n v="14"/>
    <n v="3"/>
    <n v="3"/>
    <n v="80"/>
    <n v="0"/>
    <n v="11"/>
    <n v="2"/>
    <n v="11"/>
    <n v="9"/>
    <n v="4"/>
    <n v="10"/>
  </r>
  <r>
    <x v="1"/>
    <s v="Travel_Rarely"/>
    <x v="2"/>
    <s v="Current Employees"/>
    <x v="0"/>
    <x v="3"/>
    <x v="343"/>
    <n v="463"/>
    <x v="0"/>
    <x v="0"/>
    <x v="2"/>
    <s v="Yes"/>
    <s v="Y"/>
    <n v="2"/>
    <n v="-2"/>
    <n v="0"/>
    <n v="29"/>
    <n v="0"/>
    <m/>
    <n v="0"/>
    <n v="1"/>
    <n v="144"/>
    <n v="10"/>
    <x v="1"/>
    <n v="1"/>
    <n v="4"/>
    <n v="39"/>
    <n v="2"/>
    <n v="2"/>
    <n v="1"/>
    <n v="8268"/>
    <n v="11866"/>
    <n v="1"/>
    <n v="14"/>
    <n v="3"/>
    <n v="1"/>
    <n v="80"/>
    <n v="2"/>
    <n v="7"/>
    <n v="3"/>
    <n v="7"/>
    <n v="7"/>
    <n v="1"/>
    <n v="7"/>
  </r>
  <r>
    <x v="1"/>
    <s v="Travel_Rarely"/>
    <x v="0"/>
    <s v="Current Employees"/>
    <x v="1"/>
    <x v="4"/>
    <x v="344"/>
    <n v="464"/>
    <x v="1"/>
    <x v="3"/>
    <x v="0"/>
    <s v="No"/>
    <s v="Y"/>
    <n v="5"/>
    <n v="-2"/>
    <n v="0"/>
    <n v="35"/>
    <n v="0"/>
    <m/>
    <n v="0"/>
    <n v="1"/>
    <n v="1296"/>
    <n v="5"/>
    <x v="2"/>
    <n v="1"/>
    <n v="4"/>
    <n v="62"/>
    <n v="3"/>
    <n v="3"/>
    <n v="4"/>
    <n v="8095"/>
    <n v="18264"/>
    <n v="0"/>
    <n v="13"/>
    <n v="3"/>
    <n v="4"/>
    <n v="80"/>
    <n v="0"/>
    <n v="17"/>
    <n v="3"/>
    <n v="16"/>
    <n v="6"/>
    <n v="0"/>
    <n v="13"/>
  </r>
  <r>
    <x v="1"/>
    <s v="Travel_Rarely"/>
    <x v="4"/>
    <s v="Current Employees"/>
    <x v="1"/>
    <x v="0"/>
    <x v="345"/>
    <n v="465"/>
    <x v="1"/>
    <x v="1"/>
    <x v="2"/>
    <s v="No"/>
    <s v="Y"/>
    <n v="2"/>
    <n v="-2"/>
    <n v="0"/>
    <n v="23"/>
    <n v="0"/>
    <m/>
    <n v="0"/>
    <n v="1"/>
    <n v="1309"/>
    <n v="26"/>
    <x v="1"/>
    <n v="1"/>
    <n v="3"/>
    <n v="83"/>
    <n v="3"/>
    <n v="1"/>
    <n v="2"/>
    <n v="2904"/>
    <n v="16092"/>
    <n v="1"/>
    <n v="12"/>
    <n v="3"/>
    <n v="3"/>
    <n v="80"/>
    <n v="2"/>
    <n v="4"/>
    <n v="2"/>
    <n v="4"/>
    <n v="2"/>
    <n v="0"/>
    <n v="2"/>
  </r>
  <r>
    <x v="1"/>
    <s v="Travel_Rarely"/>
    <x v="0"/>
    <s v="Current Employees"/>
    <x v="1"/>
    <x v="2"/>
    <x v="346"/>
    <n v="466"/>
    <x v="1"/>
    <x v="3"/>
    <x v="0"/>
    <s v="Yes"/>
    <s v="Y"/>
    <n v="3"/>
    <n v="-2"/>
    <n v="0"/>
    <n v="41"/>
    <n v="0"/>
    <m/>
    <n v="0"/>
    <n v="1"/>
    <n v="483"/>
    <n v="6"/>
    <x v="3"/>
    <n v="1"/>
    <n v="4"/>
    <n v="95"/>
    <n v="2"/>
    <n v="2"/>
    <n v="3"/>
    <n v="6032"/>
    <n v="10110"/>
    <n v="6"/>
    <n v="15"/>
    <n v="3"/>
    <n v="4"/>
    <n v="80"/>
    <n v="0"/>
    <n v="8"/>
    <n v="3"/>
    <n v="5"/>
    <n v="4"/>
    <n v="1"/>
    <n v="2"/>
  </r>
  <r>
    <x v="1"/>
    <s v="Travel_Frequently"/>
    <x v="1"/>
    <s v="Current Employees"/>
    <x v="0"/>
    <x v="2"/>
    <x v="347"/>
    <n v="467"/>
    <x v="1"/>
    <x v="6"/>
    <x v="0"/>
    <s v="No"/>
    <s v="Y"/>
    <n v="3"/>
    <n v="-2"/>
    <n v="0"/>
    <n v="47"/>
    <n v="0"/>
    <m/>
    <n v="0"/>
    <n v="1"/>
    <n v="1309"/>
    <n v="4"/>
    <x v="1"/>
    <n v="1"/>
    <n v="2"/>
    <n v="99"/>
    <n v="3"/>
    <n v="2"/>
    <n v="3"/>
    <n v="2976"/>
    <n v="25751"/>
    <n v="3"/>
    <n v="19"/>
    <n v="3"/>
    <n v="1"/>
    <n v="80"/>
    <n v="0"/>
    <n v="5"/>
    <n v="3"/>
    <n v="0"/>
    <n v="0"/>
    <n v="0"/>
    <n v="0"/>
  </r>
  <r>
    <x v="1"/>
    <s v="Travel_Rarely"/>
    <x v="0"/>
    <s v="Current Employees"/>
    <x v="1"/>
    <x v="0"/>
    <x v="348"/>
    <n v="468"/>
    <x v="0"/>
    <x v="7"/>
    <x v="0"/>
    <s v="No"/>
    <s v="Y"/>
    <n v="2"/>
    <n v="-2"/>
    <n v="0"/>
    <n v="42"/>
    <n v="0"/>
    <m/>
    <n v="0"/>
    <n v="1"/>
    <n v="810"/>
    <n v="23"/>
    <x v="4"/>
    <n v="1"/>
    <n v="1"/>
    <n v="44"/>
    <n v="3"/>
    <n v="4"/>
    <n v="2"/>
    <n v="15992"/>
    <n v="15901"/>
    <n v="2"/>
    <n v="14"/>
    <n v="3"/>
    <n v="2"/>
    <n v="80"/>
    <n v="0"/>
    <n v="16"/>
    <n v="3"/>
    <n v="1"/>
    <n v="0"/>
    <n v="0"/>
    <n v="0"/>
  </r>
  <r>
    <x v="1"/>
    <s v="Non-Travel"/>
    <x v="2"/>
    <s v="Current Employees"/>
    <x v="0"/>
    <x v="0"/>
    <x v="349"/>
    <n v="469"/>
    <x v="1"/>
    <x v="0"/>
    <x v="1"/>
    <s v="No"/>
    <s v="Y"/>
    <n v="3"/>
    <n v="-2"/>
    <n v="0"/>
    <n v="29"/>
    <n v="0"/>
    <m/>
    <n v="0"/>
    <n v="1"/>
    <n v="746"/>
    <n v="2"/>
    <x v="3"/>
    <n v="1"/>
    <n v="4"/>
    <n v="61"/>
    <n v="3"/>
    <n v="2"/>
    <n v="2"/>
    <n v="4649"/>
    <n v="16928"/>
    <n v="1"/>
    <n v="14"/>
    <n v="3"/>
    <n v="1"/>
    <n v="80"/>
    <n v="1"/>
    <n v="4"/>
    <n v="2"/>
    <n v="4"/>
    <n v="3"/>
    <n v="0"/>
    <n v="2"/>
  </r>
  <r>
    <x v="1"/>
    <s v="Travel_Rarely"/>
    <x v="0"/>
    <s v="Current Employees"/>
    <x v="2"/>
    <x v="4"/>
    <x v="350"/>
    <n v="470"/>
    <x v="1"/>
    <x v="8"/>
    <x v="2"/>
    <s v="Yes"/>
    <s v="Y"/>
    <n v="5"/>
    <n v="-2"/>
    <n v="0"/>
    <n v="42"/>
    <n v="0"/>
    <m/>
    <n v="0"/>
    <n v="1"/>
    <n v="544"/>
    <n v="2"/>
    <x v="1"/>
    <n v="1"/>
    <n v="4"/>
    <n v="52"/>
    <n v="3"/>
    <n v="1"/>
    <n v="4"/>
    <n v="2696"/>
    <n v="24017"/>
    <n v="0"/>
    <n v="11"/>
    <n v="3"/>
    <n v="3"/>
    <n v="80"/>
    <n v="1"/>
    <n v="4"/>
    <n v="3"/>
    <n v="3"/>
    <n v="2"/>
    <n v="1"/>
    <n v="0"/>
  </r>
  <r>
    <x v="1"/>
    <s v="Travel_Rarely"/>
    <x v="2"/>
    <s v="Current Employees"/>
    <x v="1"/>
    <x v="2"/>
    <x v="351"/>
    <n v="471"/>
    <x v="0"/>
    <x v="2"/>
    <x v="1"/>
    <s v="No"/>
    <s v="Y"/>
    <n v="4"/>
    <n v="-2"/>
    <n v="0"/>
    <n v="32"/>
    <n v="0"/>
    <m/>
    <n v="0"/>
    <n v="1"/>
    <n v="1062"/>
    <n v="2"/>
    <x v="3"/>
    <n v="1"/>
    <n v="3"/>
    <n v="75"/>
    <n v="3"/>
    <n v="1"/>
    <n v="3"/>
    <n v="2370"/>
    <n v="3956"/>
    <n v="1"/>
    <n v="13"/>
    <n v="3"/>
    <n v="3"/>
    <n v="80"/>
    <n v="1"/>
    <n v="8"/>
    <n v="3"/>
    <n v="8"/>
    <n v="0"/>
    <n v="0"/>
    <n v="7"/>
  </r>
  <r>
    <x v="1"/>
    <s v="Travel_Rarely"/>
    <x v="1"/>
    <s v="Current Employees"/>
    <x v="0"/>
    <x v="2"/>
    <x v="352"/>
    <n v="473"/>
    <x v="0"/>
    <x v="5"/>
    <x v="1"/>
    <s v="No"/>
    <s v="Y"/>
    <n v="3"/>
    <n v="-2"/>
    <n v="0"/>
    <n v="48"/>
    <n v="0"/>
    <m/>
    <n v="0"/>
    <n v="1"/>
    <n v="530"/>
    <n v="29"/>
    <x v="1"/>
    <n v="1"/>
    <n v="1"/>
    <n v="91"/>
    <n v="3"/>
    <n v="3"/>
    <n v="3"/>
    <n v="12504"/>
    <n v="23978"/>
    <n v="3"/>
    <n v="21"/>
    <n v="4"/>
    <n v="2"/>
    <n v="80"/>
    <n v="1"/>
    <n v="15"/>
    <n v="1"/>
    <n v="0"/>
    <n v="0"/>
    <n v="0"/>
    <n v="0"/>
  </r>
  <r>
    <x v="1"/>
    <s v="Travel_Rarely"/>
    <x v="0"/>
    <s v="Current Employees"/>
    <x v="1"/>
    <x v="2"/>
    <x v="353"/>
    <n v="474"/>
    <x v="1"/>
    <x v="1"/>
    <x v="2"/>
    <s v="Yes"/>
    <s v="Y"/>
    <n v="2"/>
    <n v="-2"/>
    <n v="0"/>
    <n v="37"/>
    <n v="0"/>
    <m/>
    <n v="0"/>
    <n v="1"/>
    <n v="1319"/>
    <n v="6"/>
    <x v="3"/>
    <n v="1"/>
    <n v="3"/>
    <n v="51"/>
    <n v="4"/>
    <n v="2"/>
    <n v="3"/>
    <n v="5974"/>
    <n v="17001"/>
    <n v="4"/>
    <n v="13"/>
    <n v="3"/>
    <n v="1"/>
    <n v="80"/>
    <n v="2"/>
    <n v="13"/>
    <n v="3"/>
    <n v="7"/>
    <n v="7"/>
    <n v="6"/>
    <n v="7"/>
  </r>
  <r>
    <x v="1"/>
    <s v="Non-Travel"/>
    <x v="2"/>
    <s v="Current Employees"/>
    <x v="0"/>
    <x v="4"/>
    <x v="354"/>
    <n v="475"/>
    <x v="0"/>
    <x v="0"/>
    <x v="1"/>
    <s v="Yes"/>
    <s v="Y"/>
    <n v="2"/>
    <n v="-2"/>
    <n v="0"/>
    <n v="30"/>
    <n v="0"/>
    <m/>
    <n v="0"/>
    <n v="1"/>
    <n v="641"/>
    <n v="25"/>
    <x v="0"/>
    <n v="1"/>
    <n v="4"/>
    <n v="85"/>
    <n v="3"/>
    <n v="2"/>
    <n v="4"/>
    <n v="4736"/>
    <n v="6069"/>
    <n v="7"/>
    <n v="12"/>
    <n v="3"/>
    <n v="2"/>
    <n v="80"/>
    <n v="1"/>
    <n v="4"/>
    <n v="4"/>
    <n v="2"/>
    <n v="2"/>
    <n v="2"/>
    <n v="2"/>
  </r>
  <r>
    <x v="1"/>
    <s v="Travel_Rarely"/>
    <x v="2"/>
    <s v="Current Employees"/>
    <x v="0"/>
    <x v="0"/>
    <x v="355"/>
    <n v="476"/>
    <x v="1"/>
    <x v="0"/>
    <x v="1"/>
    <s v="No"/>
    <s v="Y"/>
    <n v="3"/>
    <n v="-2"/>
    <n v="0"/>
    <n v="26"/>
    <n v="0"/>
    <m/>
    <n v="0"/>
    <n v="1"/>
    <n v="933"/>
    <n v="1"/>
    <x v="3"/>
    <n v="1"/>
    <n v="3"/>
    <n v="57"/>
    <n v="3"/>
    <n v="2"/>
    <n v="2"/>
    <n v="5296"/>
    <n v="20156"/>
    <n v="1"/>
    <n v="17"/>
    <n v="3"/>
    <n v="2"/>
    <n v="80"/>
    <n v="1"/>
    <n v="8"/>
    <n v="3"/>
    <n v="8"/>
    <n v="7"/>
    <n v="7"/>
    <n v="7"/>
  </r>
  <r>
    <x v="1"/>
    <s v="Travel_Rarely"/>
    <x v="0"/>
    <s v="Current Employees"/>
    <x v="1"/>
    <x v="1"/>
    <x v="356"/>
    <n v="477"/>
    <x v="1"/>
    <x v="4"/>
    <x v="0"/>
    <s v="No"/>
    <s v="Y"/>
    <n v="6"/>
    <n v="-2"/>
    <n v="0"/>
    <n v="42"/>
    <n v="0"/>
    <m/>
    <n v="0"/>
    <n v="1"/>
    <n v="1332"/>
    <n v="2"/>
    <x v="2"/>
    <n v="1"/>
    <n v="1"/>
    <n v="98"/>
    <n v="2"/>
    <n v="2"/>
    <n v="4"/>
    <n v="6781"/>
    <n v="17078"/>
    <n v="3"/>
    <n v="23"/>
    <n v="4"/>
    <n v="2"/>
    <n v="80"/>
    <n v="0"/>
    <n v="14"/>
    <n v="3"/>
    <n v="1"/>
    <n v="0"/>
    <n v="0"/>
    <n v="0"/>
  </r>
  <r>
    <x v="0"/>
    <s v="Travel_Frequently"/>
    <x v="4"/>
    <s v="Ex-Employees"/>
    <x v="0"/>
    <x v="4"/>
    <x v="357"/>
    <n v="478"/>
    <x v="0"/>
    <x v="6"/>
    <x v="0"/>
    <s v="Yes"/>
    <s v="Y"/>
    <n v="3"/>
    <n v="-2"/>
    <n v="0"/>
    <n v="21"/>
    <n v="1"/>
    <n v="1"/>
    <n v="1"/>
    <n v="0"/>
    <n v="756"/>
    <n v="1"/>
    <x v="1"/>
    <n v="1"/>
    <n v="4"/>
    <n v="99"/>
    <n v="2"/>
    <n v="1"/>
    <n v="4"/>
    <n v="2174"/>
    <n v="9150"/>
    <n v="1"/>
    <n v="11"/>
    <n v="3"/>
    <n v="3"/>
    <n v="80"/>
    <n v="0"/>
    <n v="3"/>
    <n v="3"/>
    <n v="3"/>
    <n v="2"/>
    <n v="1"/>
    <n v="2"/>
  </r>
  <r>
    <x v="1"/>
    <s v="Non-Travel"/>
    <x v="0"/>
    <s v="Current Employees"/>
    <x v="0"/>
    <x v="2"/>
    <x v="358"/>
    <n v="479"/>
    <x v="0"/>
    <x v="0"/>
    <x v="0"/>
    <s v="No"/>
    <s v="Y"/>
    <n v="6"/>
    <n v="-2"/>
    <n v="0"/>
    <n v="36"/>
    <n v="0"/>
    <m/>
    <n v="0"/>
    <n v="1"/>
    <n v="845"/>
    <n v="1"/>
    <x v="4"/>
    <n v="1"/>
    <n v="4"/>
    <n v="45"/>
    <n v="3"/>
    <n v="2"/>
    <n v="4"/>
    <n v="6653"/>
    <n v="15276"/>
    <n v="4"/>
    <n v="15"/>
    <n v="3"/>
    <n v="2"/>
    <n v="80"/>
    <n v="0"/>
    <n v="7"/>
    <n v="3"/>
    <n v="1"/>
    <n v="0"/>
    <n v="0"/>
    <n v="0"/>
  </r>
  <r>
    <x v="1"/>
    <s v="Travel_Frequently"/>
    <x v="0"/>
    <s v="Current Employees"/>
    <x v="0"/>
    <x v="2"/>
    <x v="359"/>
    <n v="481"/>
    <x v="1"/>
    <x v="0"/>
    <x v="1"/>
    <s v="No"/>
    <s v="Y"/>
    <n v="2"/>
    <n v="-2"/>
    <n v="0"/>
    <n v="36"/>
    <n v="0"/>
    <m/>
    <n v="0"/>
    <n v="1"/>
    <n v="541"/>
    <n v="3"/>
    <x v="2"/>
    <n v="1"/>
    <n v="1"/>
    <n v="48"/>
    <n v="2"/>
    <n v="3"/>
    <n v="4"/>
    <n v="9699"/>
    <n v="7246"/>
    <n v="4"/>
    <n v="11"/>
    <n v="3"/>
    <n v="1"/>
    <n v="80"/>
    <n v="1"/>
    <n v="16"/>
    <n v="3"/>
    <n v="13"/>
    <n v="9"/>
    <n v="1"/>
    <n v="12"/>
  </r>
  <r>
    <x v="1"/>
    <s v="Travel_Rarely"/>
    <x v="3"/>
    <s v="Current Employees"/>
    <x v="1"/>
    <x v="2"/>
    <x v="360"/>
    <n v="482"/>
    <x v="1"/>
    <x v="4"/>
    <x v="1"/>
    <s v="No"/>
    <s v="Y"/>
    <n v="2"/>
    <n v="-2"/>
    <n v="0"/>
    <n v="57"/>
    <n v="0"/>
    <m/>
    <n v="0"/>
    <n v="1"/>
    <n v="593"/>
    <n v="1"/>
    <x v="2"/>
    <n v="1"/>
    <n v="4"/>
    <n v="88"/>
    <n v="3"/>
    <n v="2"/>
    <n v="3"/>
    <n v="6755"/>
    <n v="2967"/>
    <n v="2"/>
    <n v="11"/>
    <n v="3"/>
    <n v="3"/>
    <n v="80"/>
    <n v="0"/>
    <n v="15"/>
    <n v="3"/>
    <n v="3"/>
    <n v="2"/>
    <n v="1"/>
    <n v="2"/>
  </r>
  <r>
    <x v="1"/>
    <s v="Travel_Rarely"/>
    <x v="0"/>
    <s v="Current Employees"/>
    <x v="1"/>
    <x v="0"/>
    <x v="361"/>
    <n v="483"/>
    <x v="0"/>
    <x v="2"/>
    <x v="1"/>
    <s v="Yes"/>
    <s v="Y"/>
    <n v="3"/>
    <n v="-2"/>
    <n v="0"/>
    <n v="40"/>
    <n v="0"/>
    <m/>
    <n v="0"/>
    <n v="1"/>
    <n v="1171"/>
    <n v="10"/>
    <x v="2"/>
    <n v="1"/>
    <n v="4"/>
    <n v="46"/>
    <n v="4"/>
    <n v="1"/>
    <n v="2"/>
    <n v="2213"/>
    <n v="22495"/>
    <n v="3"/>
    <n v="13"/>
    <n v="3"/>
    <n v="3"/>
    <n v="80"/>
    <n v="1"/>
    <n v="10"/>
    <n v="3"/>
    <n v="7"/>
    <n v="7"/>
    <n v="1"/>
    <n v="7"/>
  </r>
  <r>
    <x v="1"/>
    <s v="Non-Travel"/>
    <x v="4"/>
    <s v="Current Employees"/>
    <x v="0"/>
    <x v="2"/>
    <x v="362"/>
    <n v="484"/>
    <x v="1"/>
    <x v="6"/>
    <x v="0"/>
    <s v="No"/>
    <s v="Y"/>
    <n v="3"/>
    <n v="-2"/>
    <n v="0"/>
    <n v="21"/>
    <n v="0"/>
    <m/>
    <n v="0"/>
    <n v="1"/>
    <n v="895"/>
    <n v="9"/>
    <x v="0"/>
    <n v="1"/>
    <n v="1"/>
    <n v="39"/>
    <n v="3"/>
    <n v="1"/>
    <n v="4"/>
    <n v="2610"/>
    <n v="2851"/>
    <n v="1"/>
    <n v="24"/>
    <n v="4"/>
    <n v="3"/>
    <n v="80"/>
    <n v="0"/>
    <n v="3"/>
    <n v="2"/>
    <n v="3"/>
    <n v="2"/>
    <n v="2"/>
    <n v="2"/>
  </r>
  <r>
    <x v="0"/>
    <s v="Travel_Rarely"/>
    <x v="2"/>
    <s v="Ex-Employees"/>
    <x v="0"/>
    <x v="3"/>
    <x v="363"/>
    <n v="485"/>
    <x v="0"/>
    <x v="6"/>
    <x v="0"/>
    <s v="Yes"/>
    <s v="Y"/>
    <n v="2"/>
    <n v="-2"/>
    <n v="0"/>
    <n v="33"/>
    <n v="1"/>
    <n v="1"/>
    <n v="1"/>
    <n v="0"/>
    <n v="350"/>
    <n v="5"/>
    <x v="3"/>
    <n v="1"/>
    <n v="4"/>
    <n v="34"/>
    <n v="3"/>
    <n v="1"/>
    <n v="1"/>
    <n v="2851"/>
    <n v="9150"/>
    <n v="1"/>
    <n v="13"/>
    <n v="3"/>
    <n v="2"/>
    <n v="80"/>
    <n v="0"/>
    <n v="1"/>
    <n v="3"/>
    <n v="1"/>
    <n v="0"/>
    <n v="0"/>
    <n v="0"/>
  </r>
  <r>
    <x v="1"/>
    <s v="Travel_Rarely"/>
    <x v="0"/>
    <s v="Current Employees"/>
    <x v="1"/>
    <x v="2"/>
    <x v="364"/>
    <n v="486"/>
    <x v="0"/>
    <x v="2"/>
    <x v="1"/>
    <s v="No"/>
    <s v="Y"/>
    <n v="3"/>
    <n v="-2"/>
    <n v="0"/>
    <n v="37"/>
    <n v="0"/>
    <m/>
    <n v="0"/>
    <n v="1"/>
    <n v="921"/>
    <n v="10"/>
    <x v="3"/>
    <n v="1"/>
    <n v="3"/>
    <n v="98"/>
    <n v="3"/>
    <n v="1"/>
    <n v="3"/>
    <n v="3452"/>
    <n v="17663"/>
    <n v="6"/>
    <n v="20"/>
    <n v="4"/>
    <n v="2"/>
    <n v="80"/>
    <n v="1"/>
    <n v="17"/>
    <n v="3"/>
    <n v="5"/>
    <n v="4"/>
    <n v="0"/>
    <n v="3"/>
  </r>
  <r>
    <x v="1"/>
    <s v="Non-Travel"/>
    <x v="1"/>
    <s v="Current Employees"/>
    <x v="1"/>
    <x v="2"/>
    <x v="365"/>
    <n v="487"/>
    <x v="0"/>
    <x v="3"/>
    <x v="1"/>
    <s v="No"/>
    <s v="Y"/>
    <n v="2"/>
    <n v="-2"/>
    <n v="0"/>
    <n v="46"/>
    <n v="0"/>
    <m/>
    <n v="0"/>
    <n v="1"/>
    <n v="1144"/>
    <n v="7"/>
    <x v="2"/>
    <n v="1"/>
    <n v="3"/>
    <n v="30"/>
    <n v="3"/>
    <n v="2"/>
    <n v="3"/>
    <n v="5258"/>
    <n v="16044"/>
    <n v="2"/>
    <n v="14"/>
    <n v="3"/>
    <n v="3"/>
    <n v="80"/>
    <n v="0"/>
    <n v="7"/>
    <n v="4"/>
    <n v="1"/>
    <n v="0"/>
    <n v="0"/>
    <n v="0"/>
  </r>
  <r>
    <x v="0"/>
    <s v="Travel_Frequently"/>
    <x v="0"/>
    <s v="Ex-Employees"/>
    <x v="0"/>
    <x v="3"/>
    <x v="366"/>
    <n v="488"/>
    <x v="1"/>
    <x v="0"/>
    <x v="0"/>
    <s v="No"/>
    <s v="Y"/>
    <n v="5"/>
    <n v="-2"/>
    <n v="0"/>
    <n v="41"/>
    <n v="1"/>
    <n v="1"/>
    <n v="1"/>
    <n v="0"/>
    <n v="143"/>
    <n v="4"/>
    <x v="3"/>
    <n v="1"/>
    <n v="1"/>
    <n v="56"/>
    <n v="3"/>
    <n v="2"/>
    <n v="1"/>
    <n v="9355"/>
    <n v="9558"/>
    <n v="1"/>
    <n v="18"/>
    <n v="3"/>
    <n v="3"/>
    <n v="80"/>
    <n v="0"/>
    <n v="8"/>
    <n v="3"/>
    <n v="8"/>
    <n v="7"/>
    <n v="7"/>
    <n v="7"/>
  </r>
  <r>
    <x v="1"/>
    <s v="Travel_Rarely"/>
    <x v="1"/>
    <s v="Current Employees"/>
    <x v="1"/>
    <x v="4"/>
    <x v="367"/>
    <n v="491"/>
    <x v="1"/>
    <x v="4"/>
    <x v="0"/>
    <s v="No"/>
    <s v="Y"/>
    <n v="2"/>
    <n v="-2"/>
    <n v="0"/>
    <n v="50"/>
    <n v="0"/>
    <m/>
    <n v="0"/>
    <n v="1"/>
    <n v="1046"/>
    <n v="10"/>
    <x v="3"/>
    <n v="1"/>
    <n v="4"/>
    <n v="100"/>
    <n v="2"/>
    <n v="3"/>
    <n v="4"/>
    <n v="10496"/>
    <n v="2755"/>
    <n v="6"/>
    <n v="15"/>
    <n v="3"/>
    <n v="4"/>
    <n v="80"/>
    <n v="0"/>
    <n v="20"/>
    <n v="3"/>
    <n v="4"/>
    <n v="3"/>
    <n v="1"/>
    <n v="3"/>
  </r>
  <r>
    <x v="0"/>
    <s v="Travel_Rarely"/>
    <x v="0"/>
    <s v="Ex-Employees"/>
    <x v="0"/>
    <x v="3"/>
    <x v="368"/>
    <n v="492"/>
    <x v="1"/>
    <x v="0"/>
    <x v="1"/>
    <s v="Yes"/>
    <s v="Y"/>
    <n v="6"/>
    <n v="-2"/>
    <n v="0"/>
    <n v="40"/>
    <n v="1"/>
    <n v="1"/>
    <n v="1"/>
    <n v="0"/>
    <n v="575"/>
    <n v="22"/>
    <x v="0"/>
    <n v="1"/>
    <n v="3"/>
    <n v="68"/>
    <n v="2"/>
    <n v="2"/>
    <n v="1"/>
    <n v="6380"/>
    <n v="6110"/>
    <n v="2"/>
    <n v="12"/>
    <n v="3"/>
    <n v="1"/>
    <n v="80"/>
    <n v="2"/>
    <n v="8"/>
    <n v="3"/>
    <n v="6"/>
    <n v="4"/>
    <n v="1"/>
    <n v="0"/>
  </r>
  <r>
    <x v="1"/>
    <s v="Travel_Rarely"/>
    <x v="2"/>
    <s v="Current Employees"/>
    <x v="1"/>
    <x v="0"/>
    <x v="369"/>
    <n v="493"/>
    <x v="1"/>
    <x v="1"/>
    <x v="0"/>
    <s v="Yes"/>
    <s v="Y"/>
    <n v="5"/>
    <n v="-2"/>
    <n v="0"/>
    <n v="31"/>
    <n v="0"/>
    <m/>
    <n v="0"/>
    <n v="1"/>
    <n v="408"/>
    <n v="9"/>
    <x v="2"/>
    <n v="1"/>
    <n v="3"/>
    <n v="42"/>
    <n v="2"/>
    <n v="1"/>
    <n v="2"/>
    <n v="2657"/>
    <n v="7551"/>
    <n v="0"/>
    <n v="16"/>
    <n v="3"/>
    <n v="4"/>
    <n v="80"/>
    <n v="0"/>
    <n v="3"/>
    <n v="3"/>
    <n v="2"/>
    <n v="2"/>
    <n v="2"/>
    <n v="2"/>
  </r>
  <r>
    <x v="0"/>
    <s v="Travel_Rarely"/>
    <x v="4"/>
    <s v="Ex-Employees"/>
    <x v="0"/>
    <x v="0"/>
    <x v="370"/>
    <n v="494"/>
    <x v="0"/>
    <x v="6"/>
    <x v="0"/>
    <s v="No"/>
    <s v="Y"/>
    <n v="0"/>
    <n v="-2"/>
    <n v="0"/>
    <n v="21"/>
    <n v="1"/>
    <n v="1"/>
    <n v="1"/>
    <n v="0"/>
    <n v="156"/>
    <n v="12"/>
    <x v="3"/>
    <n v="1"/>
    <n v="3"/>
    <n v="90"/>
    <n v="4"/>
    <n v="1"/>
    <n v="2"/>
    <n v="2716"/>
    <n v="25422"/>
    <n v="1"/>
    <n v="15"/>
    <n v="3"/>
    <n v="4"/>
    <n v="80"/>
    <n v="0"/>
    <n v="1"/>
    <n v="3"/>
    <n v="1"/>
    <n v="0"/>
    <n v="0"/>
    <n v="0"/>
  </r>
  <r>
    <x v="1"/>
    <s v="Travel_Rarely"/>
    <x v="2"/>
    <s v="Current Employees"/>
    <x v="1"/>
    <x v="0"/>
    <x v="371"/>
    <n v="495"/>
    <x v="1"/>
    <x v="1"/>
    <x v="0"/>
    <s v="No"/>
    <s v="Y"/>
    <n v="4"/>
    <n v="-2"/>
    <n v="0"/>
    <n v="29"/>
    <n v="0"/>
    <m/>
    <n v="0"/>
    <n v="1"/>
    <n v="1283"/>
    <n v="23"/>
    <x v="3"/>
    <n v="1"/>
    <n v="4"/>
    <n v="54"/>
    <n v="3"/>
    <n v="1"/>
    <n v="2"/>
    <n v="2201"/>
    <n v="18168"/>
    <n v="9"/>
    <n v="16"/>
    <n v="3"/>
    <n v="4"/>
    <n v="80"/>
    <n v="0"/>
    <n v="6"/>
    <n v="3"/>
    <n v="3"/>
    <n v="2"/>
    <n v="1"/>
    <n v="2"/>
  </r>
  <r>
    <x v="1"/>
    <s v="Travel_Rarely"/>
    <x v="0"/>
    <s v="Current Employees"/>
    <x v="1"/>
    <x v="0"/>
    <x v="372"/>
    <n v="496"/>
    <x v="1"/>
    <x v="4"/>
    <x v="0"/>
    <s v="No"/>
    <s v="Y"/>
    <n v="5"/>
    <n v="-2"/>
    <n v="0"/>
    <n v="35"/>
    <n v="0"/>
    <m/>
    <n v="0"/>
    <n v="1"/>
    <n v="755"/>
    <n v="9"/>
    <x v="2"/>
    <n v="1"/>
    <n v="3"/>
    <n v="97"/>
    <n v="2"/>
    <n v="2"/>
    <n v="2"/>
    <n v="6540"/>
    <n v="19394"/>
    <n v="9"/>
    <n v="19"/>
    <n v="3"/>
    <n v="3"/>
    <n v="80"/>
    <n v="0"/>
    <n v="10"/>
    <n v="3"/>
    <n v="1"/>
    <n v="1"/>
    <n v="0"/>
    <n v="0"/>
  </r>
  <r>
    <x v="1"/>
    <s v="Travel_Rarely"/>
    <x v="2"/>
    <s v="Current Employees"/>
    <x v="1"/>
    <x v="2"/>
    <x v="373"/>
    <n v="497"/>
    <x v="1"/>
    <x v="2"/>
    <x v="2"/>
    <s v="No"/>
    <s v="Y"/>
    <n v="2"/>
    <n v="-2"/>
    <n v="0"/>
    <n v="27"/>
    <n v="0"/>
    <m/>
    <n v="0"/>
    <n v="1"/>
    <n v="1469"/>
    <n v="1"/>
    <x v="0"/>
    <n v="1"/>
    <n v="4"/>
    <n v="82"/>
    <n v="3"/>
    <n v="1"/>
    <n v="3"/>
    <n v="3816"/>
    <n v="17881"/>
    <n v="1"/>
    <n v="11"/>
    <n v="3"/>
    <n v="2"/>
    <n v="80"/>
    <n v="1"/>
    <n v="5"/>
    <n v="3"/>
    <n v="5"/>
    <n v="2"/>
    <n v="0"/>
    <n v="4"/>
  </r>
  <r>
    <x v="1"/>
    <s v="Travel_Rarely"/>
    <x v="2"/>
    <s v="Current Employees"/>
    <x v="0"/>
    <x v="0"/>
    <x v="374"/>
    <n v="498"/>
    <x v="1"/>
    <x v="0"/>
    <x v="0"/>
    <s v="No"/>
    <s v="Y"/>
    <n v="1"/>
    <n v="-2"/>
    <n v="0"/>
    <n v="28"/>
    <n v="0"/>
    <m/>
    <n v="0"/>
    <n v="1"/>
    <n v="304"/>
    <n v="9"/>
    <x v="2"/>
    <n v="1"/>
    <n v="2"/>
    <n v="92"/>
    <n v="3"/>
    <n v="2"/>
    <n v="2"/>
    <n v="5253"/>
    <n v="20750"/>
    <n v="1"/>
    <n v="16"/>
    <n v="3"/>
    <n v="4"/>
    <n v="80"/>
    <n v="0"/>
    <n v="7"/>
    <n v="3"/>
    <n v="7"/>
    <n v="5"/>
    <n v="0"/>
    <n v="7"/>
  </r>
  <r>
    <x v="1"/>
    <s v="Travel_Rarely"/>
    <x v="1"/>
    <s v="Current Employees"/>
    <x v="1"/>
    <x v="1"/>
    <x v="375"/>
    <n v="499"/>
    <x v="1"/>
    <x v="4"/>
    <x v="0"/>
    <s v="No"/>
    <s v="Y"/>
    <n v="2"/>
    <n v="-2"/>
    <n v="0"/>
    <n v="49"/>
    <n v="0"/>
    <m/>
    <n v="0"/>
    <n v="1"/>
    <n v="1261"/>
    <n v="7"/>
    <x v="3"/>
    <n v="1"/>
    <n v="2"/>
    <n v="31"/>
    <n v="2"/>
    <n v="3"/>
    <n v="3"/>
    <n v="10965"/>
    <n v="12066"/>
    <n v="8"/>
    <n v="24"/>
    <n v="4"/>
    <n v="3"/>
    <n v="80"/>
    <n v="0"/>
    <n v="26"/>
    <n v="3"/>
    <n v="5"/>
    <n v="2"/>
    <n v="0"/>
    <n v="0"/>
  </r>
  <r>
    <x v="1"/>
    <s v="Travel_Rarely"/>
    <x v="1"/>
    <s v="Current Employees"/>
    <x v="0"/>
    <x v="0"/>
    <x v="376"/>
    <n v="500"/>
    <x v="0"/>
    <x v="0"/>
    <x v="1"/>
    <s v="No"/>
    <s v="Y"/>
    <n v="2"/>
    <n v="-2"/>
    <n v="0"/>
    <n v="51"/>
    <n v="0"/>
    <m/>
    <n v="0"/>
    <n v="1"/>
    <n v="1178"/>
    <n v="14"/>
    <x v="0"/>
    <n v="1"/>
    <n v="3"/>
    <n v="87"/>
    <n v="3"/>
    <n v="2"/>
    <n v="2"/>
    <n v="4936"/>
    <n v="14862"/>
    <n v="4"/>
    <n v="11"/>
    <n v="3"/>
    <n v="3"/>
    <n v="80"/>
    <n v="1"/>
    <n v="18"/>
    <n v="2"/>
    <n v="7"/>
    <n v="7"/>
    <n v="0"/>
    <n v="7"/>
  </r>
  <r>
    <x v="1"/>
    <s v="Travel_Rarely"/>
    <x v="0"/>
    <s v="Current Employees"/>
    <x v="1"/>
    <x v="0"/>
    <x v="377"/>
    <n v="501"/>
    <x v="0"/>
    <x v="1"/>
    <x v="1"/>
    <s v="No"/>
    <s v="Y"/>
    <n v="3"/>
    <n v="-2"/>
    <n v="0"/>
    <n v="36"/>
    <n v="0"/>
    <m/>
    <n v="0"/>
    <n v="1"/>
    <n v="329"/>
    <n v="2"/>
    <x v="3"/>
    <n v="1"/>
    <n v="4"/>
    <n v="96"/>
    <n v="3"/>
    <n v="1"/>
    <n v="2"/>
    <n v="2543"/>
    <n v="11868"/>
    <n v="4"/>
    <n v="13"/>
    <n v="3"/>
    <n v="2"/>
    <n v="80"/>
    <n v="1"/>
    <n v="6"/>
    <n v="3"/>
    <n v="2"/>
    <n v="2"/>
    <n v="2"/>
    <n v="2"/>
  </r>
  <r>
    <x v="0"/>
    <s v="Non-Travel"/>
    <x v="2"/>
    <s v="Ex-Employees"/>
    <x v="0"/>
    <x v="3"/>
    <x v="378"/>
    <n v="502"/>
    <x v="1"/>
    <x v="0"/>
    <x v="0"/>
    <s v="Yes"/>
    <s v="Y"/>
    <n v="3"/>
    <n v="-2"/>
    <n v="0"/>
    <n v="34"/>
    <n v="1"/>
    <n v="1"/>
    <n v="1"/>
    <n v="0"/>
    <n v="1362"/>
    <n v="19"/>
    <x v="3"/>
    <n v="1"/>
    <n v="1"/>
    <n v="67"/>
    <n v="4"/>
    <n v="2"/>
    <n v="1"/>
    <n v="5304"/>
    <n v="4652"/>
    <n v="8"/>
    <n v="13"/>
    <n v="3"/>
    <n v="2"/>
    <n v="80"/>
    <n v="0"/>
    <n v="9"/>
    <n v="2"/>
    <n v="5"/>
    <n v="2"/>
    <n v="0"/>
    <n v="4"/>
  </r>
  <r>
    <x v="1"/>
    <s v="Travel_Rarely"/>
    <x v="3"/>
    <s v="Current Employees"/>
    <x v="1"/>
    <x v="0"/>
    <x v="379"/>
    <n v="505"/>
    <x v="0"/>
    <x v="5"/>
    <x v="0"/>
    <s v="Yes"/>
    <s v="Y"/>
    <n v="2"/>
    <n v="-2"/>
    <n v="0"/>
    <n v="55"/>
    <n v="0"/>
    <m/>
    <n v="0"/>
    <n v="1"/>
    <n v="1311"/>
    <n v="2"/>
    <x v="3"/>
    <n v="1"/>
    <n v="3"/>
    <n v="97"/>
    <n v="3"/>
    <n v="4"/>
    <n v="2"/>
    <n v="16659"/>
    <n v="23258"/>
    <n v="2"/>
    <n v="13"/>
    <n v="3"/>
    <n v="3"/>
    <n v="80"/>
    <n v="0"/>
    <n v="30"/>
    <n v="3"/>
    <n v="5"/>
    <n v="4"/>
    <n v="1"/>
    <n v="2"/>
  </r>
  <r>
    <x v="1"/>
    <s v="Travel_Rarely"/>
    <x v="4"/>
    <s v="Current Employees"/>
    <x v="0"/>
    <x v="3"/>
    <x v="380"/>
    <n v="507"/>
    <x v="0"/>
    <x v="0"/>
    <x v="2"/>
    <s v="Yes"/>
    <s v="Y"/>
    <n v="2"/>
    <n v="-2"/>
    <n v="0"/>
    <n v="24"/>
    <n v="0"/>
    <m/>
    <n v="0"/>
    <n v="1"/>
    <n v="1371"/>
    <n v="10"/>
    <x v="2"/>
    <n v="1"/>
    <n v="4"/>
    <n v="77"/>
    <n v="3"/>
    <n v="2"/>
    <n v="1"/>
    <n v="4260"/>
    <n v="5915"/>
    <n v="1"/>
    <n v="12"/>
    <n v="3"/>
    <n v="4"/>
    <n v="80"/>
    <n v="1"/>
    <n v="5"/>
    <n v="4"/>
    <n v="5"/>
    <n v="2"/>
    <n v="0"/>
    <n v="3"/>
  </r>
  <r>
    <x v="1"/>
    <s v="Travel_Rarely"/>
    <x v="2"/>
    <s v="Current Employees"/>
    <x v="0"/>
    <x v="4"/>
    <x v="381"/>
    <n v="508"/>
    <x v="1"/>
    <x v="6"/>
    <x v="1"/>
    <s v="No"/>
    <s v="Y"/>
    <n v="3"/>
    <n v="-2"/>
    <n v="0"/>
    <n v="30"/>
    <n v="0"/>
    <m/>
    <n v="0"/>
    <n v="1"/>
    <n v="202"/>
    <n v="2"/>
    <x v="1"/>
    <n v="1"/>
    <n v="4"/>
    <n v="72"/>
    <n v="3"/>
    <n v="1"/>
    <n v="4"/>
    <n v="2476"/>
    <n v="17434"/>
    <n v="1"/>
    <n v="18"/>
    <n v="3"/>
    <n v="1"/>
    <n v="80"/>
    <n v="1"/>
    <n v="1"/>
    <n v="3"/>
    <n v="1"/>
    <n v="0"/>
    <n v="0"/>
    <n v="0"/>
  </r>
  <r>
    <x v="0"/>
    <s v="Travel_Frequently"/>
    <x v="2"/>
    <s v="Ex-Employees"/>
    <x v="1"/>
    <x v="4"/>
    <x v="382"/>
    <n v="510"/>
    <x v="1"/>
    <x v="1"/>
    <x v="0"/>
    <s v="No"/>
    <s v="Y"/>
    <n v="2"/>
    <n v="-2"/>
    <n v="0"/>
    <n v="26"/>
    <n v="1"/>
    <n v="1"/>
    <n v="1"/>
    <n v="0"/>
    <n v="575"/>
    <n v="3"/>
    <x v="1"/>
    <n v="1"/>
    <n v="4"/>
    <n v="73"/>
    <n v="3"/>
    <n v="1"/>
    <n v="4"/>
    <n v="3102"/>
    <n v="6582"/>
    <n v="0"/>
    <n v="22"/>
    <n v="4"/>
    <n v="3"/>
    <n v="80"/>
    <n v="0"/>
    <n v="7"/>
    <n v="3"/>
    <n v="6"/>
    <n v="4"/>
    <n v="0"/>
    <n v="4"/>
  </r>
  <r>
    <x v="1"/>
    <s v="Travel_Rarely"/>
    <x v="4"/>
    <s v="Current Employees"/>
    <x v="1"/>
    <x v="2"/>
    <x v="383"/>
    <n v="511"/>
    <x v="0"/>
    <x v="1"/>
    <x v="1"/>
    <s v="No"/>
    <s v="Y"/>
    <n v="1"/>
    <n v="-2"/>
    <n v="0"/>
    <n v="22"/>
    <n v="0"/>
    <m/>
    <n v="0"/>
    <n v="1"/>
    <n v="253"/>
    <n v="11"/>
    <x v="3"/>
    <n v="1"/>
    <n v="1"/>
    <n v="43"/>
    <n v="3"/>
    <n v="1"/>
    <n v="3"/>
    <n v="2244"/>
    <n v="24440"/>
    <n v="1"/>
    <n v="13"/>
    <n v="3"/>
    <n v="4"/>
    <n v="80"/>
    <n v="1"/>
    <n v="2"/>
    <n v="3"/>
    <n v="2"/>
    <n v="1"/>
    <n v="1"/>
    <n v="2"/>
  </r>
  <r>
    <x v="1"/>
    <s v="Travel_Rarely"/>
    <x v="0"/>
    <s v="Current Employees"/>
    <x v="0"/>
    <x v="2"/>
    <x v="384"/>
    <n v="513"/>
    <x v="1"/>
    <x v="0"/>
    <x v="1"/>
    <s v="No"/>
    <s v="Y"/>
    <n v="2"/>
    <n v="-2"/>
    <n v="0"/>
    <n v="36"/>
    <n v="0"/>
    <m/>
    <n v="0"/>
    <n v="1"/>
    <n v="164"/>
    <n v="2"/>
    <x v="0"/>
    <n v="1"/>
    <n v="2"/>
    <n v="61"/>
    <n v="2"/>
    <n v="3"/>
    <n v="3"/>
    <n v="7596"/>
    <n v="3809"/>
    <n v="1"/>
    <n v="13"/>
    <n v="3"/>
    <n v="2"/>
    <n v="80"/>
    <n v="2"/>
    <n v="10"/>
    <n v="3"/>
    <n v="10"/>
    <n v="9"/>
    <n v="9"/>
    <n v="0"/>
  </r>
  <r>
    <x v="0"/>
    <s v="Travel_Frequently"/>
    <x v="2"/>
    <s v="Ex-Employees"/>
    <x v="1"/>
    <x v="4"/>
    <x v="385"/>
    <n v="514"/>
    <x v="1"/>
    <x v="1"/>
    <x v="0"/>
    <s v="Yes"/>
    <s v="Y"/>
    <n v="4"/>
    <n v="-2"/>
    <n v="0"/>
    <n v="30"/>
    <n v="1"/>
    <n v="1"/>
    <n v="1"/>
    <n v="0"/>
    <n v="464"/>
    <n v="4"/>
    <x v="3"/>
    <n v="1"/>
    <n v="4"/>
    <n v="40"/>
    <n v="3"/>
    <n v="1"/>
    <n v="4"/>
    <n v="2285"/>
    <n v="3427"/>
    <n v="9"/>
    <n v="23"/>
    <n v="4"/>
    <n v="3"/>
    <n v="80"/>
    <n v="0"/>
    <n v="3"/>
    <n v="3"/>
    <n v="1"/>
    <n v="0"/>
    <n v="0"/>
    <n v="0"/>
  </r>
  <r>
    <x v="1"/>
    <s v="Travel_Rarely"/>
    <x v="0"/>
    <s v="Current Employees"/>
    <x v="1"/>
    <x v="0"/>
    <x v="386"/>
    <n v="515"/>
    <x v="0"/>
    <x v="2"/>
    <x v="2"/>
    <s v="No"/>
    <s v="Y"/>
    <n v="2"/>
    <n v="-2"/>
    <n v="0"/>
    <n v="37"/>
    <n v="0"/>
    <m/>
    <n v="0"/>
    <n v="1"/>
    <n v="1107"/>
    <n v="14"/>
    <x v="3"/>
    <n v="1"/>
    <n v="4"/>
    <n v="95"/>
    <n v="3"/>
    <n v="1"/>
    <n v="2"/>
    <n v="3034"/>
    <n v="26914"/>
    <n v="1"/>
    <n v="12"/>
    <n v="3"/>
    <n v="3"/>
    <n v="80"/>
    <n v="1"/>
    <n v="18"/>
    <n v="2"/>
    <n v="18"/>
    <n v="7"/>
    <n v="12"/>
    <n v="17"/>
  </r>
  <r>
    <x v="1"/>
    <s v="Travel_Rarely"/>
    <x v="0"/>
    <s v="Current Employees"/>
    <x v="0"/>
    <x v="3"/>
    <x v="387"/>
    <n v="516"/>
    <x v="0"/>
    <x v="0"/>
    <x v="2"/>
    <s v="No"/>
    <s v="Y"/>
    <n v="5"/>
    <n v="-2"/>
    <n v="0"/>
    <n v="40"/>
    <n v="0"/>
    <m/>
    <n v="0"/>
    <n v="1"/>
    <n v="759"/>
    <n v="2"/>
    <x v="0"/>
    <n v="1"/>
    <n v="4"/>
    <n v="46"/>
    <n v="3"/>
    <n v="2"/>
    <n v="1"/>
    <n v="5715"/>
    <n v="22553"/>
    <n v="7"/>
    <n v="12"/>
    <n v="3"/>
    <n v="3"/>
    <n v="80"/>
    <n v="2"/>
    <n v="8"/>
    <n v="3"/>
    <n v="5"/>
    <n v="4"/>
    <n v="1"/>
    <n v="3"/>
  </r>
  <r>
    <x v="1"/>
    <s v="Travel_Rarely"/>
    <x v="0"/>
    <s v="Current Employees"/>
    <x v="1"/>
    <x v="0"/>
    <x v="388"/>
    <n v="517"/>
    <x v="0"/>
    <x v="2"/>
    <x v="2"/>
    <s v="No"/>
    <s v="Y"/>
    <n v="5"/>
    <n v="-2"/>
    <n v="0"/>
    <n v="42"/>
    <n v="0"/>
    <m/>
    <n v="0"/>
    <n v="1"/>
    <n v="201"/>
    <n v="1"/>
    <x v="2"/>
    <n v="1"/>
    <n v="2"/>
    <n v="95"/>
    <n v="3"/>
    <n v="1"/>
    <n v="2"/>
    <n v="2576"/>
    <n v="20490"/>
    <n v="3"/>
    <n v="16"/>
    <n v="3"/>
    <n v="2"/>
    <n v="80"/>
    <n v="1"/>
    <n v="8"/>
    <n v="3"/>
    <n v="5"/>
    <n v="2"/>
    <n v="1"/>
    <n v="2"/>
  </r>
  <r>
    <x v="1"/>
    <s v="Travel_Rarely"/>
    <x v="0"/>
    <s v="Current Employees"/>
    <x v="1"/>
    <x v="0"/>
    <x v="389"/>
    <n v="518"/>
    <x v="1"/>
    <x v="3"/>
    <x v="0"/>
    <s v="Yes"/>
    <s v="Y"/>
    <n v="2"/>
    <n v="-2"/>
    <n v="0"/>
    <n v="37"/>
    <n v="0"/>
    <m/>
    <n v="0"/>
    <n v="1"/>
    <n v="1305"/>
    <n v="10"/>
    <x v="2"/>
    <n v="1"/>
    <n v="3"/>
    <n v="49"/>
    <n v="3"/>
    <n v="2"/>
    <n v="2"/>
    <n v="4197"/>
    <n v="21123"/>
    <n v="2"/>
    <n v="12"/>
    <n v="3"/>
    <n v="4"/>
    <n v="80"/>
    <n v="0"/>
    <n v="18"/>
    <n v="2"/>
    <n v="1"/>
    <n v="0"/>
    <n v="0"/>
    <n v="1"/>
  </r>
  <r>
    <x v="1"/>
    <s v="Travel_Rarely"/>
    <x v="0"/>
    <s v="Current Employees"/>
    <x v="1"/>
    <x v="0"/>
    <x v="390"/>
    <n v="520"/>
    <x v="1"/>
    <x v="7"/>
    <x v="2"/>
    <s v="No"/>
    <s v="Y"/>
    <n v="3"/>
    <n v="-2"/>
    <n v="0"/>
    <n v="43"/>
    <n v="0"/>
    <m/>
    <n v="0"/>
    <n v="1"/>
    <n v="982"/>
    <n v="12"/>
    <x v="3"/>
    <n v="1"/>
    <n v="1"/>
    <n v="59"/>
    <n v="2"/>
    <n v="4"/>
    <n v="2"/>
    <n v="14336"/>
    <n v="4345"/>
    <n v="1"/>
    <n v="11"/>
    <n v="3"/>
    <n v="3"/>
    <n v="80"/>
    <n v="1"/>
    <n v="25"/>
    <n v="3"/>
    <n v="25"/>
    <n v="10"/>
    <n v="3"/>
    <n v="9"/>
  </r>
  <r>
    <x v="1"/>
    <s v="Travel_Rarely"/>
    <x v="0"/>
    <s v="Current Employees"/>
    <x v="1"/>
    <x v="2"/>
    <x v="391"/>
    <n v="521"/>
    <x v="0"/>
    <x v="2"/>
    <x v="1"/>
    <s v="No"/>
    <s v="Y"/>
    <n v="3"/>
    <n v="-2"/>
    <n v="0"/>
    <n v="40"/>
    <n v="0"/>
    <m/>
    <n v="0"/>
    <n v="1"/>
    <n v="555"/>
    <n v="2"/>
    <x v="3"/>
    <n v="1"/>
    <n v="2"/>
    <n v="78"/>
    <n v="2"/>
    <n v="2"/>
    <n v="3"/>
    <n v="3448"/>
    <n v="13436"/>
    <n v="6"/>
    <n v="22"/>
    <n v="4"/>
    <n v="2"/>
    <n v="80"/>
    <n v="1"/>
    <n v="20"/>
    <n v="3"/>
    <n v="1"/>
    <n v="0"/>
    <n v="0"/>
    <n v="0"/>
  </r>
  <r>
    <x v="1"/>
    <s v="Travel_Rarely"/>
    <x v="1"/>
    <s v="Current Employees"/>
    <x v="1"/>
    <x v="2"/>
    <x v="392"/>
    <n v="522"/>
    <x v="1"/>
    <x v="7"/>
    <x v="1"/>
    <s v="No"/>
    <s v="Y"/>
    <n v="4"/>
    <n v="-2"/>
    <n v="0"/>
    <n v="54"/>
    <n v="0"/>
    <m/>
    <n v="0"/>
    <n v="1"/>
    <n v="821"/>
    <n v="5"/>
    <x v="0"/>
    <n v="1"/>
    <n v="1"/>
    <n v="86"/>
    <n v="3"/>
    <n v="5"/>
    <n v="3"/>
    <n v="19406"/>
    <n v="8509"/>
    <n v="4"/>
    <n v="11"/>
    <n v="3"/>
    <n v="3"/>
    <n v="80"/>
    <n v="1"/>
    <n v="24"/>
    <n v="2"/>
    <n v="4"/>
    <n v="2"/>
    <n v="1"/>
    <n v="2"/>
  </r>
  <r>
    <x v="1"/>
    <s v="Non-Travel"/>
    <x v="2"/>
    <s v="Current Employees"/>
    <x v="0"/>
    <x v="3"/>
    <x v="393"/>
    <n v="523"/>
    <x v="0"/>
    <x v="0"/>
    <x v="1"/>
    <s v="No"/>
    <s v="Y"/>
    <n v="3"/>
    <n v="-2"/>
    <n v="0"/>
    <n v="34"/>
    <n v="0"/>
    <m/>
    <n v="0"/>
    <n v="1"/>
    <n v="1381"/>
    <n v="4"/>
    <x v="2"/>
    <n v="1"/>
    <n v="3"/>
    <n v="72"/>
    <n v="3"/>
    <n v="2"/>
    <n v="1"/>
    <n v="6538"/>
    <n v="12740"/>
    <n v="9"/>
    <n v="15"/>
    <n v="3"/>
    <n v="1"/>
    <n v="80"/>
    <n v="1"/>
    <n v="6"/>
    <n v="3"/>
    <n v="3"/>
    <n v="2"/>
    <n v="1"/>
    <n v="2"/>
  </r>
  <r>
    <x v="1"/>
    <s v="Travel_Rarely"/>
    <x v="2"/>
    <s v="Current Employees"/>
    <x v="1"/>
    <x v="2"/>
    <x v="394"/>
    <n v="524"/>
    <x v="0"/>
    <x v="3"/>
    <x v="1"/>
    <s v="No"/>
    <s v="Y"/>
    <n v="5"/>
    <n v="-2"/>
    <n v="0"/>
    <n v="31"/>
    <n v="0"/>
    <m/>
    <n v="0"/>
    <n v="1"/>
    <n v="480"/>
    <n v="7"/>
    <x v="0"/>
    <n v="1"/>
    <n v="2"/>
    <n v="31"/>
    <n v="3"/>
    <n v="2"/>
    <n v="3"/>
    <n v="4306"/>
    <n v="4156"/>
    <n v="1"/>
    <n v="12"/>
    <n v="3"/>
    <n v="2"/>
    <n v="80"/>
    <n v="1"/>
    <n v="13"/>
    <n v="1"/>
    <n v="13"/>
    <n v="10"/>
    <n v="3"/>
    <n v="12"/>
  </r>
  <r>
    <x v="1"/>
    <s v="Travel_Frequently"/>
    <x v="0"/>
    <s v="Current Employees"/>
    <x v="1"/>
    <x v="2"/>
    <x v="395"/>
    <n v="525"/>
    <x v="1"/>
    <x v="2"/>
    <x v="1"/>
    <s v="No"/>
    <s v="Y"/>
    <n v="1"/>
    <n v="-2"/>
    <n v="0"/>
    <n v="43"/>
    <n v="0"/>
    <m/>
    <n v="0"/>
    <n v="1"/>
    <n v="313"/>
    <n v="21"/>
    <x v="3"/>
    <n v="1"/>
    <n v="4"/>
    <n v="61"/>
    <n v="3"/>
    <n v="1"/>
    <n v="4"/>
    <n v="2258"/>
    <n v="15238"/>
    <n v="7"/>
    <n v="20"/>
    <n v="4"/>
    <n v="1"/>
    <n v="80"/>
    <n v="1"/>
    <n v="8"/>
    <n v="3"/>
    <n v="3"/>
    <n v="2"/>
    <n v="1"/>
    <n v="2"/>
  </r>
  <r>
    <x v="1"/>
    <s v="Travel_Rarely"/>
    <x v="0"/>
    <s v="Current Employees"/>
    <x v="1"/>
    <x v="1"/>
    <x v="396"/>
    <n v="526"/>
    <x v="0"/>
    <x v="4"/>
    <x v="2"/>
    <s v="Yes"/>
    <s v="Y"/>
    <n v="3"/>
    <n v="-2"/>
    <n v="0"/>
    <n v="43"/>
    <n v="0"/>
    <m/>
    <n v="0"/>
    <n v="1"/>
    <n v="1473"/>
    <n v="8"/>
    <x v="2"/>
    <n v="1"/>
    <n v="3"/>
    <n v="74"/>
    <n v="3"/>
    <n v="2"/>
    <n v="3"/>
    <n v="4522"/>
    <n v="2227"/>
    <n v="4"/>
    <n v="14"/>
    <n v="3"/>
    <n v="4"/>
    <n v="80"/>
    <n v="0"/>
    <n v="8"/>
    <n v="3"/>
    <n v="5"/>
    <n v="2"/>
    <n v="0"/>
    <n v="2"/>
  </r>
  <r>
    <x v="1"/>
    <s v="Travel_Rarely"/>
    <x v="2"/>
    <s v="Current Employees"/>
    <x v="0"/>
    <x v="0"/>
    <x v="397"/>
    <n v="527"/>
    <x v="0"/>
    <x v="0"/>
    <x v="0"/>
    <s v="Yes"/>
    <s v="Y"/>
    <n v="3"/>
    <n v="-2"/>
    <n v="0"/>
    <n v="25"/>
    <n v="0"/>
    <m/>
    <n v="0"/>
    <n v="1"/>
    <n v="891"/>
    <n v="4"/>
    <x v="0"/>
    <n v="1"/>
    <n v="2"/>
    <n v="99"/>
    <n v="2"/>
    <n v="2"/>
    <n v="2"/>
    <n v="4487"/>
    <n v="12090"/>
    <n v="1"/>
    <n v="11"/>
    <n v="3"/>
    <n v="2"/>
    <n v="80"/>
    <n v="0"/>
    <n v="5"/>
    <n v="3"/>
    <n v="5"/>
    <n v="4"/>
    <n v="1"/>
    <n v="3"/>
  </r>
  <r>
    <x v="1"/>
    <s v="Non-Travel"/>
    <x v="0"/>
    <s v="Current Employees"/>
    <x v="1"/>
    <x v="2"/>
    <x v="398"/>
    <n v="529"/>
    <x v="0"/>
    <x v="1"/>
    <x v="1"/>
    <s v="Yes"/>
    <s v="Y"/>
    <n v="2"/>
    <n v="-2"/>
    <n v="0"/>
    <n v="37"/>
    <n v="0"/>
    <m/>
    <n v="0"/>
    <n v="1"/>
    <n v="1063"/>
    <n v="25"/>
    <x v="4"/>
    <n v="1"/>
    <n v="2"/>
    <n v="72"/>
    <n v="3"/>
    <n v="2"/>
    <n v="3"/>
    <n v="4449"/>
    <n v="23866"/>
    <n v="3"/>
    <n v="15"/>
    <n v="3"/>
    <n v="1"/>
    <n v="80"/>
    <n v="2"/>
    <n v="15"/>
    <n v="3"/>
    <n v="13"/>
    <n v="11"/>
    <n v="10"/>
    <n v="7"/>
  </r>
  <r>
    <x v="1"/>
    <s v="Travel_Rarely"/>
    <x v="2"/>
    <s v="Current Employees"/>
    <x v="1"/>
    <x v="0"/>
    <x v="399"/>
    <n v="530"/>
    <x v="1"/>
    <x v="2"/>
    <x v="1"/>
    <s v="No"/>
    <s v="Y"/>
    <n v="3"/>
    <n v="-2"/>
    <n v="0"/>
    <n v="31"/>
    <n v="0"/>
    <m/>
    <n v="0"/>
    <n v="1"/>
    <n v="329"/>
    <n v="1"/>
    <x v="0"/>
    <n v="1"/>
    <n v="4"/>
    <n v="98"/>
    <n v="2"/>
    <n v="1"/>
    <n v="2"/>
    <n v="2218"/>
    <n v="16193"/>
    <n v="1"/>
    <n v="12"/>
    <n v="3"/>
    <n v="3"/>
    <n v="80"/>
    <n v="1"/>
    <n v="4"/>
    <n v="3"/>
    <n v="4"/>
    <n v="2"/>
    <n v="3"/>
    <n v="2"/>
  </r>
  <r>
    <x v="1"/>
    <s v="Travel_Frequently"/>
    <x v="0"/>
    <s v="Current Employees"/>
    <x v="1"/>
    <x v="0"/>
    <x v="400"/>
    <n v="531"/>
    <x v="1"/>
    <x v="5"/>
    <x v="2"/>
    <s v="Yes"/>
    <s v="Y"/>
    <n v="3"/>
    <n v="-2"/>
    <n v="0"/>
    <n v="39"/>
    <n v="0"/>
    <m/>
    <n v="0"/>
    <n v="1"/>
    <n v="1218"/>
    <n v="1"/>
    <x v="1"/>
    <n v="1"/>
    <n v="2"/>
    <n v="52"/>
    <n v="3"/>
    <n v="5"/>
    <n v="2"/>
    <n v="19197"/>
    <n v="8213"/>
    <n v="1"/>
    <n v="14"/>
    <n v="3"/>
    <n v="3"/>
    <n v="80"/>
    <n v="1"/>
    <n v="21"/>
    <n v="3"/>
    <n v="21"/>
    <n v="8"/>
    <n v="1"/>
    <n v="6"/>
  </r>
  <r>
    <x v="1"/>
    <s v="Travel_Frequently"/>
    <x v="3"/>
    <s v="Current Employees"/>
    <x v="0"/>
    <x v="0"/>
    <x v="401"/>
    <n v="532"/>
    <x v="0"/>
    <x v="0"/>
    <x v="1"/>
    <s v="No"/>
    <s v="Y"/>
    <n v="0"/>
    <n v="-2"/>
    <n v="0"/>
    <n v="56"/>
    <n v="0"/>
    <m/>
    <n v="0"/>
    <n v="1"/>
    <n v="906"/>
    <n v="6"/>
    <x v="3"/>
    <n v="1"/>
    <n v="3"/>
    <n v="86"/>
    <n v="4"/>
    <n v="4"/>
    <n v="2"/>
    <n v="13212"/>
    <n v="18256"/>
    <n v="9"/>
    <n v="11"/>
    <n v="3"/>
    <n v="4"/>
    <n v="80"/>
    <n v="3"/>
    <n v="36"/>
    <n v="2"/>
    <n v="7"/>
    <n v="7"/>
    <n v="7"/>
    <n v="7"/>
  </r>
  <r>
    <x v="1"/>
    <s v="Travel_Rarely"/>
    <x v="2"/>
    <s v="Current Employees"/>
    <x v="0"/>
    <x v="4"/>
    <x v="402"/>
    <n v="533"/>
    <x v="0"/>
    <x v="0"/>
    <x v="0"/>
    <s v="No"/>
    <s v="Y"/>
    <n v="6"/>
    <n v="-2"/>
    <n v="0"/>
    <n v="30"/>
    <n v="0"/>
    <m/>
    <n v="0"/>
    <n v="1"/>
    <n v="1082"/>
    <n v="12"/>
    <x v="3"/>
    <n v="1"/>
    <n v="4"/>
    <n v="83"/>
    <n v="3"/>
    <n v="2"/>
    <n v="4"/>
    <n v="6577"/>
    <n v="19558"/>
    <n v="0"/>
    <n v="11"/>
    <n v="3"/>
    <n v="2"/>
    <n v="80"/>
    <n v="0"/>
    <n v="6"/>
    <n v="3"/>
    <n v="5"/>
    <n v="4"/>
    <n v="4"/>
    <n v="4"/>
  </r>
  <r>
    <x v="1"/>
    <s v="Travel_Rarely"/>
    <x v="0"/>
    <s v="Current Employees"/>
    <x v="0"/>
    <x v="3"/>
    <x v="403"/>
    <n v="534"/>
    <x v="1"/>
    <x v="0"/>
    <x v="1"/>
    <s v="No"/>
    <s v="Y"/>
    <n v="2"/>
    <n v="-2"/>
    <n v="0"/>
    <n v="41"/>
    <n v="0"/>
    <m/>
    <n v="0"/>
    <n v="1"/>
    <n v="645"/>
    <n v="1"/>
    <x v="3"/>
    <n v="1"/>
    <n v="2"/>
    <n v="49"/>
    <n v="4"/>
    <n v="3"/>
    <n v="1"/>
    <n v="8392"/>
    <n v="19566"/>
    <n v="1"/>
    <n v="16"/>
    <n v="3"/>
    <n v="3"/>
    <n v="80"/>
    <n v="1"/>
    <n v="10"/>
    <n v="3"/>
    <n v="10"/>
    <n v="7"/>
    <n v="0"/>
    <n v="7"/>
  </r>
  <r>
    <x v="1"/>
    <s v="Travel_Rarely"/>
    <x v="2"/>
    <s v="Current Employees"/>
    <x v="1"/>
    <x v="2"/>
    <x v="404"/>
    <n v="536"/>
    <x v="1"/>
    <x v="2"/>
    <x v="2"/>
    <s v="No"/>
    <s v="Y"/>
    <n v="2"/>
    <n v="-2"/>
    <n v="0"/>
    <n v="28"/>
    <n v="0"/>
    <m/>
    <n v="0"/>
    <n v="1"/>
    <n v="1300"/>
    <n v="17"/>
    <x v="0"/>
    <n v="1"/>
    <n v="3"/>
    <n v="79"/>
    <n v="3"/>
    <n v="2"/>
    <n v="3"/>
    <n v="4558"/>
    <n v="13535"/>
    <n v="1"/>
    <n v="12"/>
    <n v="3"/>
    <n v="4"/>
    <n v="80"/>
    <n v="1"/>
    <n v="10"/>
    <n v="3"/>
    <n v="10"/>
    <n v="0"/>
    <n v="1"/>
    <n v="8"/>
  </r>
  <r>
    <x v="0"/>
    <s v="Travel_Rarely"/>
    <x v="2"/>
    <s v="Ex-Employees"/>
    <x v="1"/>
    <x v="2"/>
    <x v="405"/>
    <n v="538"/>
    <x v="1"/>
    <x v="2"/>
    <x v="1"/>
    <s v="No"/>
    <s v="Y"/>
    <n v="5"/>
    <n v="-2"/>
    <n v="0"/>
    <n v="25"/>
    <n v="1"/>
    <n v="1"/>
    <n v="1"/>
    <n v="0"/>
    <n v="688"/>
    <n v="3"/>
    <x v="3"/>
    <n v="1"/>
    <n v="1"/>
    <n v="91"/>
    <n v="3"/>
    <n v="1"/>
    <n v="3"/>
    <n v="4031"/>
    <n v="9396"/>
    <n v="5"/>
    <n v="13"/>
    <n v="3"/>
    <n v="3"/>
    <n v="80"/>
    <n v="1"/>
    <n v="6"/>
    <n v="3"/>
    <n v="2"/>
    <n v="2"/>
    <n v="0"/>
    <n v="2"/>
  </r>
  <r>
    <x v="1"/>
    <s v="Travel_Rarely"/>
    <x v="1"/>
    <s v="Current Employees"/>
    <x v="1"/>
    <x v="2"/>
    <x v="406"/>
    <n v="543"/>
    <x v="1"/>
    <x v="3"/>
    <x v="1"/>
    <s v="Yes"/>
    <s v="Y"/>
    <n v="4"/>
    <n v="-2"/>
    <n v="0"/>
    <n v="52"/>
    <n v="0"/>
    <m/>
    <n v="0"/>
    <n v="1"/>
    <n v="319"/>
    <n v="3"/>
    <x v="3"/>
    <n v="1"/>
    <n v="4"/>
    <n v="39"/>
    <n v="2"/>
    <n v="3"/>
    <n v="3"/>
    <n v="7969"/>
    <n v="19609"/>
    <n v="2"/>
    <n v="14"/>
    <n v="3"/>
    <n v="3"/>
    <n v="80"/>
    <n v="0"/>
    <n v="28"/>
    <n v="3"/>
    <n v="5"/>
    <n v="4"/>
    <n v="0"/>
    <n v="4"/>
  </r>
  <r>
    <x v="1"/>
    <s v="Travel_Rarely"/>
    <x v="1"/>
    <s v="Current Employees"/>
    <x v="1"/>
    <x v="0"/>
    <x v="407"/>
    <n v="544"/>
    <x v="1"/>
    <x v="1"/>
    <x v="1"/>
    <s v="No"/>
    <s v="Y"/>
    <n v="3"/>
    <n v="-2"/>
    <n v="0"/>
    <n v="45"/>
    <n v="0"/>
    <m/>
    <n v="0"/>
    <n v="1"/>
    <n v="192"/>
    <n v="10"/>
    <x v="0"/>
    <n v="1"/>
    <n v="1"/>
    <n v="69"/>
    <n v="3"/>
    <n v="1"/>
    <n v="2"/>
    <n v="2654"/>
    <n v="9655"/>
    <n v="3"/>
    <n v="21"/>
    <n v="4"/>
    <n v="4"/>
    <n v="80"/>
    <n v="2"/>
    <n v="8"/>
    <n v="2"/>
    <n v="2"/>
    <n v="2"/>
    <n v="0"/>
    <n v="2"/>
  </r>
  <r>
    <x v="1"/>
    <s v="Travel_Rarely"/>
    <x v="1"/>
    <s v="Current Employees"/>
    <x v="1"/>
    <x v="0"/>
    <x v="408"/>
    <n v="546"/>
    <x v="0"/>
    <x v="5"/>
    <x v="1"/>
    <s v="No"/>
    <s v="Y"/>
    <n v="2"/>
    <n v="-2"/>
    <n v="0"/>
    <n v="52"/>
    <n v="0"/>
    <m/>
    <n v="0"/>
    <n v="1"/>
    <n v="1490"/>
    <n v="4"/>
    <x v="0"/>
    <n v="1"/>
    <n v="4"/>
    <n v="30"/>
    <n v="3"/>
    <n v="4"/>
    <n v="2"/>
    <n v="16555"/>
    <n v="10310"/>
    <n v="2"/>
    <n v="13"/>
    <n v="3"/>
    <n v="4"/>
    <n v="80"/>
    <n v="0"/>
    <n v="31"/>
    <n v="1"/>
    <n v="5"/>
    <n v="2"/>
    <n v="1"/>
    <n v="4"/>
  </r>
  <r>
    <x v="1"/>
    <s v="Travel_Frequently"/>
    <x v="0"/>
    <s v="Current Employees"/>
    <x v="1"/>
    <x v="0"/>
    <x v="409"/>
    <n v="547"/>
    <x v="0"/>
    <x v="1"/>
    <x v="2"/>
    <s v="No"/>
    <s v="Y"/>
    <n v="3"/>
    <n v="-2"/>
    <n v="0"/>
    <n v="42"/>
    <n v="0"/>
    <m/>
    <n v="0"/>
    <n v="1"/>
    <n v="532"/>
    <n v="29"/>
    <x v="0"/>
    <n v="1"/>
    <n v="1"/>
    <n v="92"/>
    <n v="3"/>
    <n v="2"/>
    <n v="2"/>
    <n v="4556"/>
    <n v="12932"/>
    <n v="2"/>
    <n v="11"/>
    <n v="3"/>
    <n v="2"/>
    <n v="80"/>
    <n v="1"/>
    <n v="19"/>
    <n v="3"/>
    <n v="5"/>
    <n v="4"/>
    <n v="0"/>
    <n v="2"/>
  </r>
  <r>
    <x v="1"/>
    <s v="Travel_Rarely"/>
    <x v="2"/>
    <s v="Current Employees"/>
    <x v="1"/>
    <x v="0"/>
    <x v="410"/>
    <n v="548"/>
    <x v="0"/>
    <x v="3"/>
    <x v="0"/>
    <s v="No"/>
    <s v="Y"/>
    <n v="2"/>
    <n v="-2"/>
    <n v="0"/>
    <n v="30"/>
    <n v="0"/>
    <m/>
    <n v="0"/>
    <n v="1"/>
    <n v="317"/>
    <n v="2"/>
    <x v="3"/>
    <n v="1"/>
    <n v="3"/>
    <n v="43"/>
    <n v="1"/>
    <n v="2"/>
    <n v="2"/>
    <n v="6091"/>
    <n v="24793"/>
    <n v="2"/>
    <n v="20"/>
    <n v="4"/>
    <n v="3"/>
    <n v="80"/>
    <n v="0"/>
    <n v="11"/>
    <n v="3"/>
    <n v="5"/>
    <n v="4"/>
    <n v="0"/>
    <n v="2"/>
  </r>
  <r>
    <x v="1"/>
    <s v="Travel_Rarely"/>
    <x v="3"/>
    <s v="Current Employees"/>
    <x v="1"/>
    <x v="0"/>
    <x v="411"/>
    <n v="549"/>
    <x v="0"/>
    <x v="5"/>
    <x v="1"/>
    <s v="No"/>
    <s v="Y"/>
    <n v="5"/>
    <n v="-2"/>
    <n v="0"/>
    <n v="60"/>
    <n v="0"/>
    <m/>
    <n v="0"/>
    <n v="1"/>
    <n v="422"/>
    <n v="7"/>
    <x v="3"/>
    <n v="1"/>
    <n v="1"/>
    <n v="41"/>
    <n v="3"/>
    <n v="5"/>
    <n v="2"/>
    <n v="19566"/>
    <n v="3854"/>
    <n v="5"/>
    <n v="11"/>
    <n v="3"/>
    <n v="4"/>
    <n v="80"/>
    <n v="0"/>
    <n v="33"/>
    <n v="1"/>
    <n v="29"/>
    <n v="8"/>
    <n v="11"/>
    <n v="10"/>
  </r>
  <r>
    <x v="1"/>
    <s v="Travel_Rarely"/>
    <x v="1"/>
    <s v="Current Employees"/>
    <x v="1"/>
    <x v="2"/>
    <x v="412"/>
    <n v="550"/>
    <x v="0"/>
    <x v="3"/>
    <x v="2"/>
    <s v="No"/>
    <s v="Y"/>
    <n v="5"/>
    <n v="-2"/>
    <n v="0"/>
    <n v="46"/>
    <n v="0"/>
    <m/>
    <n v="0"/>
    <n v="1"/>
    <n v="1485"/>
    <n v="18"/>
    <x v="3"/>
    <n v="1"/>
    <n v="3"/>
    <n v="87"/>
    <n v="3"/>
    <n v="2"/>
    <n v="3"/>
    <n v="4810"/>
    <n v="26314"/>
    <n v="2"/>
    <n v="14"/>
    <n v="3"/>
    <n v="3"/>
    <n v="80"/>
    <n v="1"/>
    <n v="19"/>
    <n v="2"/>
    <n v="10"/>
    <n v="7"/>
    <n v="0"/>
    <n v="8"/>
  </r>
  <r>
    <x v="1"/>
    <s v="Travel_Frequently"/>
    <x v="0"/>
    <s v="Current Employees"/>
    <x v="1"/>
    <x v="4"/>
    <x v="413"/>
    <n v="551"/>
    <x v="0"/>
    <x v="4"/>
    <x v="1"/>
    <s v="No"/>
    <s v="Y"/>
    <n v="4"/>
    <n v="-2"/>
    <n v="0"/>
    <n v="42"/>
    <n v="0"/>
    <m/>
    <n v="0"/>
    <n v="1"/>
    <n v="1368"/>
    <n v="28"/>
    <x v="2"/>
    <n v="1"/>
    <n v="4"/>
    <n v="88"/>
    <n v="2"/>
    <n v="2"/>
    <n v="4"/>
    <n v="4523"/>
    <n v="4386"/>
    <n v="0"/>
    <n v="11"/>
    <n v="3"/>
    <n v="4"/>
    <n v="80"/>
    <n v="3"/>
    <n v="7"/>
    <n v="4"/>
    <n v="6"/>
    <n v="5"/>
    <n v="0"/>
    <n v="4"/>
  </r>
  <r>
    <x v="0"/>
    <s v="Travel_Rarely"/>
    <x v="4"/>
    <s v="Ex-Employees"/>
    <x v="0"/>
    <x v="4"/>
    <x v="414"/>
    <n v="554"/>
    <x v="0"/>
    <x v="6"/>
    <x v="0"/>
    <s v="Yes"/>
    <s v="Y"/>
    <n v="4"/>
    <n v="-2"/>
    <n v="0"/>
    <n v="24"/>
    <n v="1"/>
    <n v="1"/>
    <n v="1"/>
    <n v="0"/>
    <n v="1448"/>
    <n v="1"/>
    <x v="1"/>
    <n v="1"/>
    <n v="4"/>
    <n v="62"/>
    <n v="3"/>
    <n v="1"/>
    <n v="4"/>
    <n v="3202"/>
    <n v="21972"/>
    <n v="1"/>
    <n v="16"/>
    <n v="3"/>
    <n v="2"/>
    <n v="80"/>
    <n v="0"/>
    <n v="6"/>
    <n v="3"/>
    <n v="5"/>
    <n v="3"/>
    <n v="1"/>
    <n v="4"/>
  </r>
  <r>
    <x v="0"/>
    <s v="Travel_Frequently"/>
    <x v="2"/>
    <s v="Ex-Employees"/>
    <x v="0"/>
    <x v="3"/>
    <x v="415"/>
    <n v="555"/>
    <x v="0"/>
    <x v="6"/>
    <x v="2"/>
    <s v="No"/>
    <s v="Y"/>
    <n v="3"/>
    <n v="-2"/>
    <n v="0"/>
    <n v="34"/>
    <n v="1"/>
    <n v="1"/>
    <n v="1"/>
    <n v="0"/>
    <n v="296"/>
    <n v="6"/>
    <x v="0"/>
    <n v="1"/>
    <n v="4"/>
    <n v="33"/>
    <n v="1"/>
    <n v="1"/>
    <n v="1"/>
    <n v="2351"/>
    <n v="12253"/>
    <n v="0"/>
    <n v="16"/>
    <n v="3"/>
    <n v="4"/>
    <n v="80"/>
    <n v="1"/>
    <n v="3"/>
    <n v="2"/>
    <n v="2"/>
    <n v="2"/>
    <n v="1"/>
    <n v="0"/>
  </r>
  <r>
    <x v="1"/>
    <s v="Travel_Frequently"/>
    <x v="0"/>
    <s v="Current Employees"/>
    <x v="1"/>
    <x v="0"/>
    <x v="416"/>
    <n v="556"/>
    <x v="1"/>
    <x v="2"/>
    <x v="1"/>
    <s v="Yes"/>
    <s v="Y"/>
    <n v="3"/>
    <n v="-2"/>
    <n v="0"/>
    <n v="38"/>
    <n v="0"/>
    <m/>
    <n v="0"/>
    <n v="1"/>
    <n v="1490"/>
    <n v="2"/>
    <x v="0"/>
    <n v="1"/>
    <n v="4"/>
    <n v="42"/>
    <n v="3"/>
    <n v="1"/>
    <n v="2"/>
    <n v="1702"/>
    <n v="12106"/>
    <n v="1"/>
    <n v="23"/>
    <n v="4"/>
    <n v="3"/>
    <n v="80"/>
    <n v="1"/>
    <n v="1"/>
    <n v="3"/>
    <n v="1"/>
    <n v="0"/>
    <n v="0"/>
    <n v="0"/>
  </r>
  <r>
    <x v="1"/>
    <s v="Travel_Rarely"/>
    <x v="0"/>
    <s v="Current Employees"/>
    <x v="0"/>
    <x v="0"/>
    <x v="417"/>
    <n v="558"/>
    <x v="0"/>
    <x v="5"/>
    <x v="1"/>
    <s v="No"/>
    <s v="Y"/>
    <n v="2"/>
    <n v="-2"/>
    <n v="0"/>
    <n v="40"/>
    <n v="0"/>
    <m/>
    <n v="0"/>
    <n v="1"/>
    <n v="1398"/>
    <n v="2"/>
    <x v="2"/>
    <n v="1"/>
    <n v="3"/>
    <n v="79"/>
    <n v="3"/>
    <n v="5"/>
    <n v="2"/>
    <n v="18041"/>
    <n v="13022"/>
    <n v="0"/>
    <n v="14"/>
    <n v="3"/>
    <n v="4"/>
    <n v="80"/>
    <n v="0"/>
    <n v="21"/>
    <n v="3"/>
    <n v="20"/>
    <n v="15"/>
    <n v="1"/>
    <n v="12"/>
  </r>
  <r>
    <x v="1"/>
    <s v="Travel_Rarely"/>
    <x v="2"/>
    <s v="Current Employees"/>
    <x v="1"/>
    <x v="0"/>
    <x v="418"/>
    <n v="560"/>
    <x v="0"/>
    <x v="1"/>
    <x v="2"/>
    <s v="No"/>
    <s v="Y"/>
    <n v="3"/>
    <n v="-2"/>
    <n v="0"/>
    <n v="26"/>
    <n v="0"/>
    <m/>
    <n v="0"/>
    <n v="1"/>
    <n v="1349"/>
    <n v="23"/>
    <x v="3"/>
    <n v="1"/>
    <n v="1"/>
    <n v="90"/>
    <n v="3"/>
    <n v="1"/>
    <n v="2"/>
    <n v="2886"/>
    <n v="3032"/>
    <n v="1"/>
    <n v="22"/>
    <n v="4"/>
    <n v="2"/>
    <n v="80"/>
    <n v="2"/>
    <n v="3"/>
    <n v="1"/>
    <n v="3"/>
    <n v="2"/>
    <n v="0"/>
    <n v="2"/>
  </r>
  <r>
    <x v="1"/>
    <s v="Non-Travel"/>
    <x v="2"/>
    <s v="Current Employees"/>
    <x v="1"/>
    <x v="0"/>
    <x v="419"/>
    <n v="562"/>
    <x v="1"/>
    <x v="2"/>
    <x v="1"/>
    <s v="No"/>
    <s v="Y"/>
    <n v="3"/>
    <n v="-2"/>
    <n v="0"/>
    <n v="30"/>
    <n v="0"/>
    <m/>
    <n v="0"/>
    <n v="1"/>
    <n v="1400"/>
    <n v="3"/>
    <x v="3"/>
    <n v="1"/>
    <n v="3"/>
    <n v="53"/>
    <n v="3"/>
    <n v="1"/>
    <n v="2"/>
    <n v="2097"/>
    <n v="16734"/>
    <n v="4"/>
    <n v="15"/>
    <n v="3"/>
    <n v="3"/>
    <n v="80"/>
    <n v="1"/>
    <n v="9"/>
    <n v="1"/>
    <n v="5"/>
    <n v="3"/>
    <n v="1"/>
    <n v="4"/>
  </r>
  <r>
    <x v="1"/>
    <s v="Travel_Rarely"/>
    <x v="2"/>
    <s v="Current Employees"/>
    <x v="1"/>
    <x v="2"/>
    <x v="420"/>
    <n v="564"/>
    <x v="1"/>
    <x v="7"/>
    <x v="1"/>
    <s v="No"/>
    <s v="Y"/>
    <n v="2"/>
    <n v="-2"/>
    <n v="0"/>
    <n v="29"/>
    <n v="0"/>
    <m/>
    <n v="0"/>
    <n v="1"/>
    <n v="986"/>
    <n v="3"/>
    <x v="2"/>
    <n v="1"/>
    <n v="2"/>
    <n v="93"/>
    <n v="2"/>
    <n v="3"/>
    <n v="3"/>
    <n v="11935"/>
    <n v="21526"/>
    <n v="1"/>
    <n v="18"/>
    <n v="3"/>
    <n v="3"/>
    <n v="80"/>
    <n v="0"/>
    <n v="10"/>
    <n v="3"/>
    <n v="10"/>
    <n v="2"/>
    <n v="0"/>
    <n v="7"/>
  </r>
  <r>
    <x v="0"/>
    <s v="Travel_Rarely"/>
    <x v="2"/>
    <s v="Ex-Employees"/>
    <x v="1"/>
    <x v="4"/>
    <x v="421"/>
    <n v="565"/>
    <x v="0"/>
    <x v="1"/>
    <x v="1"/>
    <s v="No"/>
    <s v="Y"/>
    <n v="2"/>
    <n v="-2"/>
    <n v="0"/>
    <n v="29"/>
    <n v="1"/>
    <n v="1"/>
    <n v="1"/>
    <n v="0"/>
    <n v="408"/>
    <n v="25"/>
    <x v="4"/>
    <n v="1"/>
    <n v="4"/>
    <n v="71"/>
    <n v="2"/>
    <n v="1"/>
    <n v="4"/>
    <n v="2546"/>
    <n v="18300"/>
    <n v="5"/>
    <n v="16"/>
    <n v="3"/>
    <n v="2"/>
    <n v="80"/>
    <n v="0"/>
    <n v="6"/>
    <n v="4"/>
    <n v="2"/>
    <n v="2"/>
    <n v="1"/>
    <n v="1"/>
  </r>
  <r>
    <x v="0"/>
    <s v="Travel_Rarely"/>
    <x v="4"/>
    <s v="Ex-Employees"/>
    <x v="2"/>
    <x v="4"/>
    <x v="422"/>
    <n v="566"/>
    <x v="1"/>
    <x v="8"/>
    <x v="0"/>
    <s v="No"/>
    <s v="Y"/>
    <n v="3"/>
    <n v="-2"/>
    <n v="0"/>
    <n v="19"/>
    <n v="1"/>
    <n v="1"/>
    <n v="1"/>
    <n v="0"/>
    <n v="489"/>
    <n v="2"/>
    <x v="0"/>
    <n v="1"/>
    <n v="4"/>
    <n v="52"/>
    <n v="2"/>
    <n v="1"/>
    <n v="4"/>
    <n v="2564"/>
    <n v="18437"/>
    <n v="1"/>
    <n v="12"/>
    <n v="3"/>
    <n v="3"/>
    <n v="80"/>
    <n v="0"/>
    <n v="1"/>
    <n v="4"/>
    <n v="1"/>
    <n v="0"/>
    <n v="0"/>
    <n v="0"/>
  </r>
  <r>
    <x v="1"/>
    <s v="Non-Travel"/>
    <x v="2"/>
    <s v="Current Employees"/>
    <x v="0"/>
    <x v="1"/>
    <x v="423"/>
    <n v="567"/>
    <x v="0"/>
    <x v="0"/>
    <x v="1"/>
    <s v="No"/>
    <s v="Y"/>
    <n v="3"/>
    <n v="-2"/>
    <n v="0"/>
    <n v="30"/>
    <n v="0"/>
    <m/>
    <n v="0"/>
    <n v="1"/>
    <n v="1398"/>
    <n v="22"/>
    <x v="2"/>
    <n v="1"/>
    <n v="3"/>
    <n v="69"/>
    <n v="3"/>
    <n v="3"/>
    <n v="3"/>
    <n v="8412"/>
    <n v="2890"/>
    <n v="0"/>
    <n v="11"/>
    <n v="3"/>
    <n v="3"/>
    <n v="80"/>
    <n v="0"/>
    <n v="10"/>
    <n v="3"/>
    <n v="9"/>
    <n v="8"/>
    <n v="7"/>
    <n v="8"/>
  </r>
  <r>
    <x v="1"/>
    <s v="Travel_Rarely"/>
    <x v="3"/>
    <s v="Current Employees"/>
    <x v="0"/>
    <x v="3"/>
    <x v="424"/>
    <n v="568"/>
    <x v="1"/>
    <x v="5"/>
    <x v="2"/>
    <s v="No"/>
    <s v="Y"/>
    <n v="3"/>
    <n v="-2"/>
    <n v="0"/>
    <n v="57"/>
    <n v="0"/>
    <m/>
    <n v="0"/>
    <n v="1"/>
    <n v="210"/>
    <n v="29"/>
    <x v="3"/>
    <n v="1"/>
    <n v="1"/>
    <n v="56"/>
    <n v="2"/>
    <n v="4"/>
    <n v="1"/>
    <n v="14118"/>
    <n v="22102"/>
    <n v="3"/>
    <n v="12"/>
    <n v="3"/>
    <n v="3"/>
    <n v="80"/>
    <n v="1"/>
    <n v="32"/>
    <n v="2"/>
    <n v="1"/>
    <n v="0"/>
    <n v="0"/>
    <n v="0"/>
  </r>
  <r>
    <x v="1"/>
    <s v="Travel_Rarely"/>
    <x v="1"/>
    <s v="Current Employees"/>
    <x v="1"/>
    <x v="0"/>
    <x v="425"/>
    <n v="569"/>
    <x v="1"/>
    <x v="5"/>
    <x v="1"/>
    <s v="No"/>
    <s v="Y"/>
    <n v="2"/>
    <n v="-2"/>
    <n v="0"/>
    <n v="50"/>
    <n v="0"/>
    <m/>
    <n v="0"/>
    <n v="1"/>
    <n v="1099"/>
    <n v="29"/>
    <x v="2"/>
    <n v="1"/>
    <n v="2"/>
    <n v="88"/>
    <n v="2"/>
    <n v="4"/>
    <n v="2"/>
    <n v="17046"/>
    <n v="9314"/>
    <n v="0"/>
    <n v="15"/>
    <n v="3"/>
    <n v="2"/>
    <n v="80"/>
    <n v="1"/>
    <n v="28"/>
    <n v="3"/>
    <n v="27"/>
    <n v="10"/>
    <n v="15"/>
    <n v="7"/>
  </r>
  <r>
    <x v="1"/>
    <s v="Non-Travel"/>
    <x v="2"/>
    <s v="Current Employees"/>
    <x v="1"/>
    <x v="2"/>
    <x v="426"/>
    <n v="571"/>
    <x v="0"/>
    <x v="2"/>
    <x v="0"/>
    <s v="No"/>
    <s v="Y"/>
    <n v="2"/>
    <n v="-2"/>
    <n v="0"/>
    <n v="30"/>
    <n v="0"/>
    <m/>
    <n v="0"/>
    <n v="1"/>
    <n v="1116"/>
    <n v="2"/>
    <x v="3"/>
    <n v="1"/>
    <n v="3"/>
    <n v="49"/>
    <n v="3"/>
    <n v="1"/>
    <n v="4"/>
    <n v="2564"/>
    <n v="7181"/>
    <n v="0"/>
    <n v="14"/>
    <n v="3"/>
    <n v="3"/>
    <n v="80"/>
    <n v="0"/>
    <n v="12"/>
    <n v="2"/>
    <n v="11"/>
    <n v="7"/>
    <n v="6"/>
    <n v="7"/>
  </r>
  <r>
    <x v="1"/>
    <s v="Travel_Frequently"/>
    <x v="3"/>
    <s v="Current Employees"/>
    <x v="0"/>
    <x v="3"/>
    <x v="427"/>
    <n v="573"/>
    <x v="0"/>
    <x v="0"/>
    <x v="1"/>
    <s v="No"/>
    <s v="Y"/>
    <n v="5"/>
    <n v="-2"/>
    <n v="0"/>
    <n v="60"/>
    <n v="0"/>
    <m/>
    <n v="0"/>
    <n v="1"/>
    <n v="1499"/>
    <n v="28"/>
    <x v="3"/>
    <n v="1"/>
    <n v="3"/>
    <n v="80"/>
    <n v="2"/>
    <n v="3"/>
    <n v="1"/>
    <n v="10266"/>
    <n v="2845"/>
    <n v="4"/>
    <n v="19"/>
    <n v="3"/>
    <n v="4"/>
    <n v="80"/>
    <n v="0"/>
    <n v="22"/>
    <n v="4"/>
    <n v="18"/>
    <n v="13"/>
    <n v="13"/>
    <n v="11"/>
  </r>
  <r>
    <x v="1"/>
    <s v="Travel_Rarely"/>
    <x v="1"/>
    <s v="Current Employees"/>
    <x v="1"/>
    <x v="2"/>
    <x v="428"/>
    <n v="574"/>
    <x v="0"/>
    <x v="3"/>
    <x v="2"/>
    <s v="No"/>
    <s v="Y"/>
    <n v="2"/>
    <n v="-2"/>
    <n v="0"/>
    <n v="47"/>
    <n v="0"/>
    <m/>
    <n v="0"/>
    <n v="1"/>
    <n v="983"/>
    <n v="2"/>
    <x v="0"/>
    <n v="1"/>
    <n v="1"/>
    <n v="65"/>
    <n v="3"/>
    <n v="2"/>
    <n v="4"/>
    <n v="5070"/>
    <n v="7389"/>
    <n v="5"/>
    <n v="13"/>
    <n v="3"/>
    <n v="3"/>
    <n v="80"/>
    <n v="3"/>
    <n v="20"/>
    <n v="3"/>
    <n v="5"/>
    <n v="0"/>
    <n v="0"/>
    <n v="4"/>
  </r>
  <r>
    <x v="1"/>
    <s v="Travel_Rarely"/>
    <x v="1"/>
    <s v="Current Employees"/>
    <x v="1"/>
    <x v="0"/>
    <x v="429"/>
    <n v="575"/>
    <x v="1"/>
    <x v="7"/>
    <x v="1"/>
    <s v="No"/>
    <s v="Y"/>
    <n v="2"/>
    <n v="-2"/>
    <n v="0"/>
    <n v="46"/>
    <n v="0"/>
    <m/>
    <n v="0"/>
    <n v="1"/>
    <n v="1009"/>
    <n v="2"/>
    <x v="3"/>
    <n v="1"/>
    <n v="1"/>
    <n v="51"/>
    <n v="3"/>
    <n v="4"/>
    <n v="2"/>
    <n v="17861"/>
    <n v="2288"/>
    <n v="6"/>
    <n v="13"/>
    <n v="3"/>
    <n v="3"/>
    <n v="80"/>
    <n v="0"/>
    <n v="26"/>
    <n v="1"/>
    <n v="3"/>
    <n v="2"/>
    <n v="0"/>
    <n v="1"/>
  </r>
  <r>
    <x v="1"/>
    <s v="Travel_Rarely"/>
    <x v="0"/>
    <s v="Current Employees"/>
    <x v="1"/>
    <x v="0"/>
    <x v="430"/>
    <n v="577"/>
    <x v="1"/>
    <x v="2"/>
    <x v="0"/>
    <s v="No"/>
    <s v="Y"/>
    <n v="2"/>
    <n v="-2"/>
    <n v="0"/>
    <n v="35"/>
    <n v="0"/>
    <m/>
    <n v="0"/>
    <n v="1"/>
    <n v="144"/>
    <n v="22"/>
    <x v="3"/>
    <n v="1"/>
    <n v="4"/>
    <n v="46"/>
    <n v="1"/>
    <n v="1"/>
    <n v="2"/>
    <n v="4230"/>
    <n v="19225"/>
    <n v="0"/>
    <n v="15"/>
    <n v="3"/>
    <n v="3"/>
    <n v="80"/>
    <n v="0"/>
    <n v="6"/>
    <n v="3"/>
    <n v="5"/>
    <n v="4"/>
    <n v="4"/>
    <n v="3"/>
  </r>
  <r>
    <x v="1"/>
    <s v="Travel_Rarely"/>
    <x v="1"/>
    <s v="Current Employees"/>
    <x v="1"/>
    <x v="0"/>
    <x v="431"/>
    <n v="578"/>
    <x v="0"/>
    <x v="2"/>
    <x v="0"/>
    <s v="No"/>
    <s v="Y"/>
    <n v="3"/>
    <n v="-2"/>
    <n v="0"/>
    <n v="54"/>
    <n v="0"/>
    <m/>
    <n v="0"/>
    <n v="1"/>
    <n v="548"/>
    <n v="8"/>
    <x v="2"/>
    <n v="1"/>
    <n v="3"/>
    <n v="42"/>
    <n v="3"/>
    <n v="2"/>
    <n v="2"/>
    <n v="3780"/>
    <n v="23428"/>
    <n v="7"/>
    <n v="11"/>
    <n v="3"/>
    <n v="3"/>
    <n v="80"/>
    <n v="0"/>
    <n v="19"/>
    <n v="3"/>
    <n v="1"/>
    <n v="0"/>
    <n v="0"/>
    <n v="0"/>
  </r>
  <r>
    <x v="1"/>
    <s v="Travel_Rarely"/>
    <x v="2"/>
    <s v="Current Employees"/>
    <x v="1"/>
    <x v="0"/>
    <x v="432"/>
    <n v="579"/>
    <x v="1"/>
    <x v="1"/>
    <x v="2"/>
    <s v="No"/>
    <s v="Y"/>
    <n v="3"/>
    <n v="-2"/>
    <n v="0"/>
    <n v="34"/>
    <n v="0"/>
    <m/>
    <n v="0"/>
    <n v="1"/>
    <n v="1303"/>
    <n v="2"/>
    <x v="2"/>
    <n v="1"/>
    <n v="4"/>
    <n v="62"/>
    <n v="2"/>
    <n v="1"/>
    <n v="2"/>
    <n v="2768"/>
    <n v="8416"/>
    <n v="3"/>
    <n v="12"/>
    <n v="3"/>
    <n v="3"/>
    <n v="80"/>
    <n v="1"/>
    <n v="14"/>
    <n v="3"/>
    <n v="7"/>
    <n v="3"/>
    <n v="5"/>
    <n v="7"/>
  </r>
  <r>
    <x v="1"/>
    <s v="Travel_Rarely"/>
    <x v="1"/>
    <s v="Current Employees"/>
    <x v="0"/>
    <x v="3"/>
    <x v="433"/>
    <n v="580"/>
    <x v="0"/>
    <x v="0"/>
    <x v="1"/>
    <s v="Yes"/>
    <s v="Y"/>
    <n v="3"/>
    <n v="-2"/>
    <n v="0"/>
    <n v="46"/>
    <n v="0"/>
    <m/>
    <n v="0"/>
    <n v="1"/>
    <n v="1125"/>
    <n v="10"/>
    <x v="3"/>
    <n v="1"/>
    <n v="3"/>
    <n v="94"/>
    <n v="2"/>
    <n v="3"/>
    <n v="1"/>
    <n v="9071"/>
    <n v="11563"/>
    <n v="2"/>
    <n v="19"/>
    <n v="3"/>
    <n v="3"/>
    <n v="80"/>
    <n v="1"/>
    <n v="15"/>
    <n v="3"/>
    <n v="3"/>
    <n v="2"/>
    <n v="1"/>
    <n v="2"/>
  </r>
  <r>
    <x v="1"/>
    <s v="Travel_Rarely"/>
    <x v="2"/>
    <s v="Current Employees"/>
    <x v="1"/>
    <x v="0"/>
    <x v="434"/>
    <n v="581"/>
    <x v="1"/>
    <x v="3"/>
    <x v="2"/>
    <s v="No"/>
    <s v="Y"/>
    <n v="6"/>
    <n v="-2"/>
    <n v="0"/>
    <n v="31"/>
    <n v="0"/>
    <m/>
    <n v="0"/>
    <n v="1"/>
    <n v="1274"/>
    <n v="9"/>
    <x v="1"/>
    <n v="1"/>
    <n v="3"/>
    <n v="33"/>
    <n v="3"/>
    <n v="3"/>
    <n v="2"/>
    <n v="10648"/>
    <n v="14394"/>
    <n v="1"/>
    <n v="25"/>
    <n v="4"/>
    <n v="4"/>
    <n v="80"/>
    <n v="1"/>
    <n v="13"/>
    <n v="4"/>
    <n v="13"/>
    <n v="8"/>
    <n v="0"/>
    <n v="8"/>
  </r>
  <r>
    <x v="0"/>
    <s v="Travel_Rarely"/>
    <x v="2"/>
    <s v="Ex-Employees"/>
    <x v="1"/>
    <x v="2"/>
    <x v="435"/>
    <n v="582"/>
    <x v="1"/>
    <x v="5"/>
    <x v="1"/>
    <s v="Yes"/>
    <s v="Y"/>
    <n v="2"/>
    <n v="-2"/>
    <n v="0"/>
    <n v="33"/>
    <n v="1"/>
    <n v="1"/>
    <n v="1"/>
    <n v="0"/>
    <n v="1277"/>
    <n v="15"/>
    <x v="1"/>
    <n v="1"/>
    <n v="2"/>
    <n v="56"/>
    <n v="3"/>
    <n v="3"/>
    <n v="3"/>
    <n v="13610"/>
    <n v="24619"/>
    <n v="7"/>
    <n v="12"/>
    <n v="3"/>
    <n v="4"/>
    <n v="80"/>
    <n v="0"/>
    <n v="15"/>
    <n v="4"/>
    <n v="7"/>
    <n v="6"/>
    <n v="7"/>
    <n v="7"/>
  </r>
  <r>
    <x v="0"/>
    <s v="Travel_Rarely"/>
    <x v="2"/>
    <s v="Ex-Employees"/>
    <x v="1"/>
    <x v="2"/>
    <x v="436"/>
    <n v="584"/>
    <x v="1"/>
    <x v="2"/>
    <x v="2"/>
    <s v="No"/>
    <s v="Y"/>
    <n v="2"/>
    <n v="-2"/>
    <n v="0"/>
    <n v="33"/>
    <n v="1"/>
    <n v="1"/>
    <n v="1"/>
    <n v="0"/>
    <n v="587"/>
    <n v="10"/>
    <x v="1"/>
    <n v="1"/>
    <n v="1"/>
    <n v="38"/>
    <n v="1"/>
    <n v="1"/>
    <n v="4"/>
    <n v="3408"/>
    <n v="6705"/>
    <n v="7"/>
    <n v="13"/>
    <n v="3"/>
    <n v="1"/>
    <n v="80"/>
    <n v="3"/>
    <n v="8"/>
    <n v="3"/>
    <n v="4"/>
    <n v="3"/>
    <n v="1"/>
    <n v="3"/>
  </r>
  <r>
    <x v="1"/>
    <s v="Travel_Rarely"/>
    <x v="2"/>
    <s v="Current Employees"/>
    <x v="0"/>
    <x v="3"/>
    <x v="437"/>
    <n v="585"/>
    <x v="1"/>
    <x v="6"/>
    <x v="0"/>
    <s v="No"/>
    <s v="Y"/>
    <n v="3"/>
    <n v="-2"/>
    <n v="0"/>
    <n v="30"/>
    <n v="0"/>
    <m/>
    <n v="0"/>
    <n v="1"/>
    <n v="413"/>
    <n v="7"/>
    <x v="1"/>
    <n v="1"/>
    <n v="4"/>
    <n v="57"/>
    <n v="3"/>
    <n v="1"/>
    <n v="1"/>
    <n v="2983"/>
    <n v="18398"/>
    <n v="0"/>
    <n v="14"/>
    <n v="3"/>
    <n v="1"/>
    <n v="80"/>
    <n v="0"/>
    <n v="4"/>
    <n v="3"/>
    <n v="3"/>
    <n v="2"/>
    <n v="1"/>
    <n v="2"/>
  </r>
  <r>
    <x v="1"/>
    <s v="Travel_Rarely"/>
    <x v="0"/>
    <s v="Current Employees"/>
    <x v="1"/>
    <x v="0"/>
    <x v="438"/>
    <n v="586"/>
    <x v="1"/>
    <x v="4"/>
    <x v="1"/>
    <s v="Yes"/>
    <s v="Y"/>
    <n v="2"/>
    <n v="-2"/>
    <n v="0"/>
    <n v="35"/>
    <n v="0"/>
    <m/>
    <n v="0"/>
    <n v="1"/>
    <n v="1276"/>
    <n v="16"/>
    <x v="3"/>
    <n v="1"/>
    <n v="4"/>
    <n v="72"/>
    <n v="3"/>
    <n v="3"/>
    <n v="2"/>
    <n v="7632"/>
    <n v="14295"/>
    <n v="4"/>
    <n v="12"/>
    <n v="3"/>
    <n v="3"/>
    <n v="80"/>
    <n v="0"/>
    <n v="10"/>
    <n v="3"/>
    <n v="8"/>
    <n v="7"/>
    <n v="0"/>
    <n v="0"/>
  </r>
  <r>
    <x v="0"/>
    <s v="Travel_Frequently"/>
    <x v="2"/>
    <s v="Ex-Employees"/>
    <x v="1"/>
    <x v="0"/>
    <x v="439"/>
    <n v="587"/>
    <x v="1"/>
    <x v="4"/>
    <x v="1"/>
    <s v="No"/>
    <s v="Y"/>
    <n v="2"/>
    <n v="-2"/>
    <n v="0"/>
    <n v="31"/>
    <n v="1"/>
    <n v="1"/>
    <n v="1"/>
    <n v="0"/>
    <n v="534"/>
    <n v="20"/>
    <x v="3"/>
    <n v="1"/>
    <n v="1"/>
    <n v="66"/>
    <n v="3"/>
    <n v="3"/>
    <n v="2"/>
    <n v="9824"/>
    <n v="22908"/>
    <n v="3"/>
    <n v="12"/>
    <n v="3"/>
    <n v="1"/>
    <n v="80"/>
    <n v="0"/>
    <n v="12"/>
    <n v="3"/>
    <n v="1"/>
    <n v="0"/>
    <n v="0"/>
    <n v="0"/>
  </r>
  <r>
    <x v="0"/>
    <s v="Travel_Frequently"/>
    <x v="2"/>
    <s v="Ex-Employees"/>
    <x v="2"/>
    <x v="5"/>
    <x v="440"/>
    <n v="590"/>
    <x v="0"/>
    <x v="8"/>
    <x v="2"/>
    <s v="Yes"/>
    <s v="Y"/>
    <n v="2"/>
    <n v="-2"/>
    <n v="0"/>
    <n v="34"/>
    <n v="1"/>
    <n v="1"/>
    <n v="1"/>
    <n v="0"/>
    <n v="988"/>
    <n v="23"/>
    <x v="3"/>
    <n v="1"/>
    <n v="2"/>
    <n v="43"/>
    <n v="3"/>
    <n v="3"/>
    <n v="3"/>
    <n v="9950"/>
    <n v="11533"/>
    <n v="9"/>
    <n v="15"/>
    <n v="3"/>
    <n v="3"/>
    <n v="80"/>
    <n v="3"/>
    <n v="11"/>
    <n v="3"/>
    <n v="3"/>
    <n v="2"/>
    <n v="0"/>
    <n v="2"/>
  </r>
  <r>
    <x v="1"/>
    <s v="Travel_Frequently"/>
    <x v="0"/>
    <s v="Current Employees"/>
    <x v="1"/>
    <x v="1"/>
    <x v="441"/>
    <n v="591"/>
    <x v="1"/>
    <x v="2"/>
    <x v="1"/>
    <s v="No"/>
    <s v="Y"/>
    <n v="4"/>
    <n v="-2"/>
    <n v="0"/>
    <n v="42"/>
    <n v="0"/>
    <m/>
    <n v="0"/>
    <n v="1"/>
    <n v="1474"/>
    <n v="5"/>
    <x v="0"/>
    <n v="1"/>
    <n v="2"/>
    <n v="97"/>
    <n v="3"/>
    <n v="1"/>
    <n v="3"/>
    <n v="2093"/>
    <n v="9260"/>
    <n v="4"/>
    <n v="17"/>
    <n v="3"/>
    <n v="4"/>
    <n v="80"/>
    <n v="1"/>
    <n v="8"/>
    <n v="3"/>
    <n v="2"/>
    <n v="2"/>
    <n v="2"/>
    <n v="0"/>
  </r>
  <r>
    <x v="1"/>
    <s v="Non-Travel"/>
    <x v="0"/>
    <s v="Current Employees"/>
    <x v="0"/>
    <x v="2"/>
    <x v="442"/>
    <n v="592"/>
    <x v="1"/>
    <x v="0"/>
    <x v="0"/>
    <s v="No"/>
    <s v="Y"/>
    <n v="3"/>
    <n v="-2"/>
    <n v="0"/>
    <n v="36"/>
    <n v="0"/>
    <m/>
    <n v="0"/>
    <n v="1"/>
    <n v="635"/>
    <n v="10"/>
    <x v="2"/>
    <n v="1"/>
    <n v="2"/>
    <n v="32"/>
    <n v="3"/>
    <n v="3"/>
    <n v="4"/>
    <n v="9980"/>
    <n v="15318"/>
    <n v="1"/>
    <n v="14"/>
    <n v="3"/>
    <n v="4"/>
    <n v="80"/>
    <n v="0"/>
    <n v="10"/>
    <n v="2"/>
    <n v="10"/>
    <n v="3"/>
    <n v="9"/>
    <n v="7"/>
  </r>
  <r>
    <x v="0"/>
    <s v="Travel_Frequently"/>
    <x v="4"/>
    <s v="Ex-Employees"/>
    <x v="1"/>
    <x v="4"/>
    <x v="443"/>
    <n v="593"/>
    <x v="1"/>
    <x v="2"/>
    <x v="0"/>
    <s v="No"/>
    <s v="Y"/>
    <n v="3"/>
    <n v="-2"/>
    <n v="0"/>
    <n v="22"/>
    <n v="1"/>
    <n v="1"/>
    <n v="1"/>
    <n v="0"/>
    <n v="1368"/>
    <n v="4"/>
    <x v="1"/>
    <n v="1"/>
    <n v="4"/>
    <n v="99"/>
    <n v="2"/>
    <n v="1"/>
    <n v="4"/>
    <n v="3894"/>
    <n v="9129"/>
    <n v="5"/>
    <n v="16"/>
    <n v="3"/>
    <n v="3"/>
    <n v="80"/>
    <n v="0"/>
    <n v="4"/>
    <n v="3"/>
    <n v="2"/>
    <n v="2"/>
    <n v="1"/>
    <n v="2"/>
  </r>
  <r>
    <x v="1"/>
    <s v="Travel_Rarely"/>
    <x v="1"/>
    <s v="Current Employees"/>
    <x v="0"/>
    <x v="3"/>
    <x v="444"/>
    <n v="595"/>
    <x v="0"/>
    <x v="0"/>
    <x v="1"/>
    <s v="No"/>
    <s v="Y"/>
    <n v="2"/>
    <n v="-2"/>
    <n v="0"/>
    <n v="48"/>
    <n v="0"/>
    <m/>
    <n v="0"/>
    <n v="1"/>
    <n v="163"/>
    <n v="2"/>
    <x v="4"/>
    <n v="1"/>
    <n v="2"/>
    <n v="37"/>
    <n v="3"/>
    <n v="2"/>
    <n v="1"/>
    <n v="4051"/>
    <n v="19658"/>
    <n v="2"/>
    <n v="14"/>
    <n v="3"/>
    <n v="1"/>
    <n v="80"/>
    <n v="1"/>
    <n v="14"/>
    <n v="3"/>
    <n v="9"/>
    <n v="7"/>
    <n v="6"/>
    <n v="7"/>
  </r>
  <r>
    <x v="1"/>
    <s v="Travel_Rarely"/>
    <x v="3"/>
    <s v="Current Employees"/>
    <x v="0"/>
    <x v="0"/>
    <x v="445"/>
    <n v="597"/>
    <x v="0"/>
    <x v="5"/>
    <x v="0"/>
    <s v="No"/>
    <s v="Y"/>
    <n v="2"/>
    <n v="-2"/>
    <n v="0"/>
    <n v="55"/>
    <n v="0"/>
    <m/>
    <n v="0"/>
    <n v="1"/>
    <n v="1117"/>
    <n v="18"/>
    <x v="4"/>
    <n v="1"/>
    <n v="1"/>
    <n v="83"/>
    <n v="3"/>
    <n v="4"/>
    <n v="2"/>
    <n v="16835"/>
    <n v="9873"/>
    <n v="3"/>
    <n v="23"/>
    <n v="4"/>
    <n v="4"/>
    <n v="80"/>
    <n v="0"/>
    <n v="37"/>
    <n v="3"/>
    <n v="10"/>
    <n v="9"/>
    <n v="7"/>
    <n v="7"/>
  </r>
  <r>
    <x v="1"/>
    <s v="Non-Travel"/>
    <x v="0"/>
    <s v="Current Employees"/>
    <x v="0"/>
    <x v="0"/>
    <x v="446"/>
    <n v="599"/>
    <x v="1"/>
    <x v="0"/>
    <x v="0"/>
    <s v="No"/>
    <s v="Y"/>
    <n v="3"/>
    <n v="-2"/>
    <n v="0"/>
    <n v="41"/>
    <n v="0"/>
    <m/>
    <n v="0"/>
    <n v="1"/>
    <n v="267"/>
    <n v="10"/>
    <x v="0"/>
    <n v="1"/>
    <n v="4"/>
    <n v="56"/>
    <n v="3"/>
    <n v="2"/>
    <n v="2"/>
    <n v="6230"/>
    <n v="13430"/>
    <n v="7"/>
    <n v="14"/>
    <n v="3"/>
    <n v="4"/>
    <n v="80"/>
    <n v="0"/>
    <n v="16"/>
    <n v="3"/>
    <n v="14"/>
    <n v="3"/>
    <n v="1"/>
    <n v="10"/>
  </r>
  <r>
    <x v="1"/>
    <s v="Travel_Rarely"/>
    <x v="0"/>
    <s v="Current Employees"/>
    <x v="0"/>
    <x v="3"/>
    <x v="447"/>
    <n v="600"/>
    <x v="1"/>
    <x v="0"/>
    <x v="1"/>
    <s v="No"/>
    <s v="Y"/>
    <n v="2"/>
    <n v="-2"/>
    <n v="0"/>
    <n v="35"/>
    <n v="0"/>
    <m/>
    <n v="0"/>
    <n v="1"/>
    <n v="619"/>
    <n v="1"/>
    <x v="3"/>
    <n v="1"/>
    <n v="2"/>
    <n v="85"/>
    <n v="3"/>
    <n v="2"/>
    <n v="1"/>
    <n v="4717"/>
    <n v="18659"/>
    <n v="9"/>
    <n v="11"/>
    <n v="3"/>
    <n v="3"/>
    <n v="80"/>
    <n v="0"/>
    <n v="15"/>
    <n v="3"/>
    <n v="11"/>
    <n v="9"/>
    <n v="6"/>
    <n v="9"/>
  </r>
  <r>
    <x v="1"/>
    <s v="Travel_Rarely"/>
    <x v="0"/>
    <s v="Current Employees"/>
    <x v="1"/>
    <x v="0"/>
    <x v="448"/>
    <n v="601"/>
    <x v="0"/>
    <x v="3"/>
    <x v="0"/>
    <s v="No"/>
    <s v="Y"/>
    <n v="3"/>
    <n v="-2"/>
    <n v="0"/>
    <n v="40"/>
    <n v="0"/>
    <m/>
    <n v="0"/>
    <n v="1"/>
    <n v="302"/>
    <n v="6"/>
    <x v="3"/>
    <n v="1"/>
    <n v="2"/>
    <n v="75"/>
    <n v="3"/>
    <n v="4"/>
    <n v="2"/>
    <n v="13237"/>
    <n v="20364"/>
    <n v="7"/>
    <n v="15"/>
    <n v="3"/>
    <n v="3"/>
    <n v="80"/>
    <n v="0"/>
    <n v="22"/>
    <n v="3"/>
    <n v="20"/>
    <n v="6"/>
    <n v="5"/>
    <n v="13"/>
  </r>
  <r>
    <x v="1"/>
    <s v="Travel_Frequently"/>
    <x v="0"/>
    <s v="Current Employees"/>
    <x v="1"/>
    <x v="0"/>
    <x v="449"/>
    <n v="602"/>
    <x v="0"/>
    <x v="2"/>
    <x v="1"/>
    <s v="No"/>
    <s v="Y"/>
    <n v="3"/>
    <n v="-2"/>
    <n v="0"/>
    <n v="39"/>
    <n v="0"/>
    <m/>
    <n v="0"/>
    <n v="1"/>
    <n v="443"/>
    <n v="8"/>
    <x v="1"/>
    <n v="1"/>
    <n v="3"/>
    <n v="48"/>
    <n v="3"/>
    <n v="1"/>
    <n v="2"/>
    <n v="3755"/>
    <n v="17872"/>
    <n v="1"/>
    <n v="11"/>
    <n v="3"/>
    <n v="1"/>
    <n v="80"/>
    <n v="1"/>
    <n v="8"/>
    <n v="3"/>
    <n v="8"/>
    <n v="3"/>
    <n v="0"/>
    <n v="7"/>
  </r>
  <r>
    <x v="1"/>
    <s v="Travel_Rarely"/>
    <x v="2"/>
    <s v="Current Employees"/>
    <x v="0"/>
    <x v="0"/>
    <x v="450"/>
    <n v="604"/>
    <x v="1"/>
    <x v="0"/>
    <x v="0"/>
    <s v="Yes"/>
    <s v="Y"/>
    <n v="2"/>
    <n v="-2"/>
    <n v="0"/>
    <n v="31"/>
    <n v="0"/>
    <m/>
    <n v="0"/>
    <n v="1"/>
    <n v="828"/>
    <n v="2"/>
    <x v="1"/>
    <n v="1"/>
    <n v="2"/>
    <n v="77"/>
    <n v="3"/>
    <n v="2"/>
    <n v="2"/>
    <n v="6582"/>
    <n v="8346"/>
    <n v="4"/>
    <n v="13"/>
    <n v="3"/>
    <n v="3"/>
    <n v="80"/>
    <n v="0"/>
    <n v="10"/>
    <n v="4"/>
    <n v="6"/>
    <n v="5"/>
    <n v="0"/>
    <n v="5"/>
  </r>
  <r>
    <x v="1"/>
    <s v="Travel_Rarely"/>
    <x v="0"/>
    <s v="Current Employees"/>
    <x v="1"/>
    <x v="2"/>
    <x v="451"/>
    <n v="605"/>
    <x v="1"/>
    <x v="3"/>
    <x v="1"/>
    <s v="Yes"/>
    <s v="Y"/>
    <n v="5"/>
    <n v="-2"/>
    <n v="0"/>
    <n v="42"/>
    <n v="0"/>
    <m/>
    <n v="0"/>
    <n v="1"/>
    <n v="319"/>
    <n v="24"/>
    <x v="3"/>
    <n v="1"/>
    <n v="4"/>
    <n v="56"/>
    <n v="3"/>
    <n v="3"/>
    <n v="3"/>
    <n v="7406"/>
    <n v="6950"/>
    <n v="1"/>
    <n v="21"/>
    <n v="4"/>
    <n v="4"/>
    <n v="80"/>
    <n v="1"/>
    <n v="10"/>
    <n v="2"/>
    <n v="10"/>
    <n v="9"/>
    <n v="5"/>
    <n v="8"/>
  </r>
  <r>
    <x v="1"/>
    <s v="Travel_Rarely"/>
    <x v="1"/>
    <s v="Current Employees"/>
    <x v="0"/>
    <x v="1"/>
    <x v="452"/>
    <n v="606"/>
    <x v="1"/>
    <x v="0"/>
    <x v="1"/>
    <s v="No"/>
    <s v="Y"/>
    <n v="3"/>
    <n v="-2"/>
    <n v="0"/>
    <n v="45"/>
    <n v="0"/>
    <m/>
    <n v="0"/>
    <n v="1"/>
    <n v="561"/>
    <n v="2"/>
    <x v="3"/>
    <n v="1"/>
    <n v="4"/>
    <n v="61"/>
    <n v="3"/>
    <n v="2"/>
    <n v="3"/>
    <n v="4805"/>
    <n v="16177"/>
    <n v="0"/>
    <n v="19"/>
    <n v="3"/>
    <n v="2"/>
    <n v="80"/>
    <n v="1"/>
    <n v="9"/>
    <n v="4"/>
    <n v="8"/>
    <n v="7"/>
    <n v="3"/>
    <n v="7"/>
  </r>
  <r>
    <x v="0"/>
    <s v="Travel_Frequently"/>
    <x v="2"/>
    <s v="Ex-Employees"/>
    <x v="2"/>
    <x v="0"/>
    <x v="453"/>
    <n v="608"/>
    <x v="0"/>
    <x v="8"/>
    <x v="2"/>
    <s v="Yes"/>
    <s v="Y"/>
    <n v="2"/>
    <n v="-2"/>
    <n v="0"/>
    <n v="26"/>
    <n v="1"/>
    <n v="1"/>
    <n v="1"/>
    <n v="0"/>
    <n v="426"/>
    <n v="17"/>
    <x v="2"/>
    <n v="1"/>
    <n v="2"/>
    <n v="58"/>
    <n v="3"/>
    <n v="1"/>
    <n v="2"/>
    <n v="2741"/>
    <n v="22808"/>
    <n v="0"/>
    <n v="11"/>
    <n v="3"/>
    <n v="2"/>
    <n v="80"/>
    <n v="1"/>
    <n v="8"/>
    <n v="2"/>
    <n v="7"/>
    <n v="7"/>
    <n v="1"/>
    <n v="0"/>
  </r>
  <r>
    <x v="1"/>
    <s v="Travel_Rarely"/>
    <x v="2"/>
    <s v="Current Employees"/>
    <x v="1"/>
    <x v="4"/>
    <x v="454"/>
    <n v="611"/>
    <x v="1"/>
    <x v="3"/>
    <x v="2"/>
    <s v="No"/>
    <s v="Y"/>
    <n v="2"/>
    <n v="-2"/>
    <n v="0"/>
    <n v="29"/>
    <n v="0"/>
    <m/>
    <n v="0"/>
    <n v="1"/>
    <n v="232"/>
    <n v="19"/>
    <x v="3"/>
    <n v="1"/>
    <n v="4"/>
    <n v="34"/>
    <n v="3"/>
    <n v="2"/>
    <n v="4"/>
    <n v="4262"/>
    <n v="22645"/>
    <n v="4"/>
    <n v="12"/>
    <n v="3"/>
    <n v="2"/>
    <n v="80"/>
    <n v="2"/>
    <n v="8"/>
    <n v="4"/>
    <n v="3"/>
    <n v="2"/>
    <n v="1"/>
    <n v="2"/>
  </r>
  <r>
    <x v="1"/>
    <s v="Travel_Rarely"/>
    <x v="2"/>
    <s v="Current Employees"/>
    <x v="1"/>
    <x v="2"/>
    <x v="455"/>
    <n v="612"/>
    <x v="0"/>
    <x v="7"/>
    <x v="2"/>
    <s v="No"/>
    <s v="Y"/>
    <n v="2"/>
    <n v="-2"/>
    <n v="0"/>
    <n v="33"/>
    <n v="0"/>
    <m/>
    <n v="0"/>
    <n v="1"/>
    <n v="922"/>
    <n v="1"/>
    <x v="4"/>
    <n v="1"/>
    <n v="1"/>
    <n v="95"/>
    <n v="4"/>
    <n v="4"/>
    <n v="3"/>
    <n v="16184"/>
    <n v="22578"/>
    <n v="4"/>
    <n v="19"/>
    <n v="3"/>
    <n v="3"/>
    <n v="80"/>
    <n v="1"/>
    <n v="10"/>
    <n v="3"/>
    <n v="6"/>
    <n v="1"/>
    <n v="0"/>
    <n v="5"/>
  </r>
  <r>
    <x v="1"/>
    <s v="Travel_Rarely"/>
    <x v="2"/>
    <s v="Current Employees"/>
    <x v="0"/>
    <x v="0"/>
    <x v="456"/>
    <n v="613"/>
    <x v="1"/>
    <x v="5"/>
    <x v="2"/>
    <s v="No"/>
    <s v="Y"/>
    <n v="3"/>
    <n v="-2"/>
    <n v="0"/>
    <n v="31"/>
    <n v="0"/>
    <m/>
    <n v="0"/>
    <n v="1"/>
    <n v="688"/>
    <n v="7"/>
    <x v="3"/>
    <n v="1"/>
    <n v="3"/>
    <n v="44"/>
    <n v="2"/>
    <n v="3"/>
    <n v="2"/>
    <n v="11557"/>
    <n v="25291"/>
    <n v="9"/>
    <n v="21"/>
    <n v="4"/>
    <n v="3"/>
    <n v="80"/>
    <n v="1"/>
    <n v="10"/>
    <n v="2"/>
    <n v="5"/>
    <n v="4"/>
    <n v="0"/>
    <n v="1"/>
  </r>
  <r>
    <x v="0"/>
    <s v="Travel_Frequently"/>
    <x v="4"/>
    <s v="Ex-Employees"/>
    <x v="0"/>
    <x v="3"/>
    <x v="457"/>
    <n v="614"/>
    <x v="1"/>
    <x v="6"/>
    <x v="0"/>
    <s v="Yes"/>
    <s v="Y"/>
    <n v="3"/>
    <n v="-2"/>
    <n v="0"/>
    <n v="18"/>
    <n v="1"/>
    <n v="1"/>
    <n v="1"/>
    <n v="0"/>
    <n v="1306"/>
    <n v="5"/>
    <x v="3"/>
    <n v="1"/>
    <n v="2"/>
    <n v="69"/>
    <n v="3"/>
    <n v="1"/>
    <n v="1"/>
    <n v="1878"/>
    <n v="8059"/>
    <n v="1"/>
    <n v="14"/>
    <n v="3"/>
    <n v="4"/>
    <n v="80"/>
    <n v="0"/>
    <n v="0"/>
    <n v="3"/>
    <n v="0"/>
    <n v="0"/>
    <n v="0"/>
    <n v="0"/>
  </r>
  <r>
    <x v="1"/>
    <s v="Non-Travel"/>
    <x v="0"/>
    <s v="Current Employees"/>
    <x v="0"/>
    <x v="1"/>
    <x v="458"/>
    <n v="615"/>
    <x v="1"/>
    <x v="0"/>
    <x v="2"/>
    <s v="No"/>
    <s v="Y"/>
    <n v="2"/>
    <n v="-2"/>
    <n v="0"/>
    <n v="40"/>
    <n v="0"/>
    <m/>
    <n v="0"/>
    <n v="1"/>
    <n v="1094"/>
    <n v="28"/>
    <x v="3"/>
    <n v="1"/>
    <n v="3"/>
    <n v="58"/>
    <n v="1"/>
    <n v="3"/>
    <n v="3"/>
    <n v="10932"/>
    <n v="11373"/>
    <n v="3"/>
    <n v="15"/>
    <n v="3"/>
    <n v="3"/>
    <n v="80"/>
    <n v="1"/>
    <n v="20"/>
    <n v="3"/>
    <n v="1"/>
    <n v="0"/>
    <n v="0"/>
    <n v="1"/>
  </r>
  <r>
    <x v="1"/>
    <s v="Non-Travel"/>
    <x v="0"/>
    <s v="Current Employees"/>
    <x v="1"/>
    <x v="1"/>
    <x v="459"/>
    <n v="616"/>
    <x v="0"/>
    <x v="4"/>
    <x v="0"/>
    <s v="Yes"/>
    <s v="Y"/>
    <n v="3"/>
    <n v="-2"/>
    <n v="0"/>
    <n v="41"/>
    <n v="0"/>
    <m/>
    <n v="0"/>
    <n v="1"/>
    <n v="509"/>
    <n v="2"/>
    <x v="2"/>
    <n v="1"/>
    <n v="1"/>
    <n v="62"/>
    <n v="2"/>
    <n v="2"/>
    <n v="3"/>
    <n v="6811"/>
    <n v="2112"/>
    <n v="2"/>
    <n v="17"/>
    <n v="3"/>
    <n v="1"/>
    <n v="80"/>
    <n v="0"/>
    <n v="10"/>
    <n v="3"/>
    <n v="8"/>
    <n v="7"/>
    <n v="0"/>
    <n v="7"/>
  </r>
  <r>
    <x v="1"/>
    <s v="Travel_Rarely"/>
    <x v="2"/>
    <s v="Current Employees"/>
    <x v="0"/>
    <x v="2"/>
    <x v="460"/>
    <n v="618"/>
    <x v="1"/>
    <x v="0"/>
    <x v="2"/>
    <s v="No"/>
    <s v="Y"/>
    <n v="5"/>
    <n v="-2"/>
    <n v="0"/>
    <n v="26"/>
    <n v="0"/>
    <m/>
    <n v="0"/>
    <n v="1"/>
    <n v="775"/>
    <n v="29"/>
    <x v="0"/>
    <n v="1"/>
    <n v="1"/>
    <n v="45"/>
    <n v="3"/>
    <n v="2"/>
    <n v="3"/>
    <n v="4306"/>
    <n v="4267"/>
    <n v="5"/>
    <n v="12"/>
    <n v="3"/>
    <n v="1"/>
    <n v="80"/>
    <n v="2"/>
    <n v="8"/>
    <n v="3"/>
    <n v="0"/>
    <n v="0"/>
    <n v="0"/>
    <n v="0"/>
  </r>
  <r>
    <x v="1"/>
    <s v="Travel_Rarely"/>
    <x v="0"/>
    <s v="Current Employees"/>
    <x v="0"/>
    <x v="2"/>
    <x v="461"/>
    <n v="620"/>
    <x v="0"/>
    <x v="0"/>
    <x v="0"/>
    <s v="No"/>
    <s v="Y"/>
    <n v="3"/>
    <n v="-2"/>
    <n v="0"/>
    <n v="35"/>
    <n v="0"/>
    <m/>
    <n v="0"/>
    <n v="1"/>
    <n v="195"/>
    <n v="1"/>
    <x v="3"/>
    <n v="1"/>
    <n v="1"/>
    <n v="80"/>
    <n v="3"/>
    <n v="2"/>
    <n v="3"/>
    <n v="4859"/>
    <n v="6698"/>
    <n v="1"/>
    <n v="16"/>
    <n v="3"/>
    <n v="4"/>
    <n v="80"/>
    <n v="0"/>
    <n v="5"/>
    <n v="3"/>
    <n v="5"/>
    <n v="4"/>
    <n v="0"/>
    <n v="3"/>
  </r>
  <r>
    <x v="1"/>
    <s v="Travel_Rarely"/>
    <x v="2"/>
    <s v="Current Employees"/>
    <x v="0"/>
    <x v="0"/>
    <x v="462"/>
    <n v="621"/>
    <x v="1"/>
    <x v="0"/>
    <x v="0"/>
    <s v="No"/>
    <s v="Y"/>
    <n v="3"/>
    <n v="-2"/>
    <n v="0"/>
    <n v="34"/>
    <n v="0"/>
    <m/>
    <n v="0"/>
    <n v="1"/>
    <n v="258"/>
    <n v="21"/>
    <x v="2"/>
    <n v="1"/>
    <n v="4"/>
    <n v="74"/>
    <n v="4"/>
    <n v="2"/>
    <n v="2"/>
    <n v="5337"/>
    <n v="19921"/>
    <n v="1"/>
    <n v="12"/>
    <n v="3"/>
    <n v="4"/>
    <n v="80"/>
    <n v="0"/>
    <n v="10"/>
    <n v="3"/>
    <n v="10"/>
    <n v="7"/>
    <n v="5"/>
    <n v="7"/>
  </r>
  <r>
    <x v="0"/>
    <s v="Travel_Rarely"/>
    <x v="2"/>
    <s v="Ex-Employees"/>
    <x v="1"/>
    <x v="4"/>
    <x v="463"/>
    <n v="622"/>
    <x v="1"/>
    <x v="2"/>
    <x v="0"/>
    <s v="Yes"/>
    <s v="Y"/>
    <n v="3"/>
    <n v="-2"/>
    <n v="0"/>
    <n v="26"/>
    <n v="1"/>
    <n v="1"/>
    <n v="1"/>
    <n v="0"/>
    <n v="471"/>
    <n v="24"/>
    <x v="3"/>
    <n v="1"/>
    <n v="4"/>
    <n v="66"/>
    <n v="1"/>
    <n v="1"/>
    <n v="4"/>
    <n v="2340"/>
    <n v="23213"/>
    <n v="1"/>
    <n v="18"/>
    <n v="3"/>
    <n v="2"/>
    <n v="80"/>
    <n v="0"/>
    <n v="1"/>
    <n v="1"/>
    <n v="1"/>
    <n v="0"/>
    <n v="0"/>
    <n v="0"/>
  </r>
  <r>
    <x v="1"/>
    <s v="Travel_Rarely"/>
    <x v="0"/>
    <s v="Current Employees"/>
    <x v="1"/>
    <x v="4"/>
    <x v="464"/>
    <n v="623"/>
    <x v="0"/>
    <x v="3"/>
    <x v="0"/>
    <s v="No"/>
    <s v="Y"/>
    <n v="3"/>
    <n v="-2"/>
    <n v="0"/>
    <n v="37"/>
    <n v="0"/>
    <m/>
    <n v="0"/>
    <n v="1"/>
    <n v="799"/>
    <n v="1"/>
    <x v="3"/>
    <n v="1"/>
    <n v="4"/>
    <n v="59"/>
    <n v="3"/>
    <n v="3"/>
    <n v="4"/>
    <n v="7491"/>
    <n v="23848"/>
    <n v="4"/>
    <n v="17"/>
    <n v="3"/>
    <n v="4"/>
    <n v="80"/>
    <n v="0"/>
    <n v="12"/>
    <n v="4"/>
    <n v="6"/>
    <n v="5"/>
    <n v="1"/>
    <n v="2"/>
  </r>
  <r>
    <x v="1"/>
    <s v="Travel_Frequently"/>
    <x v="1"/>
    <s v="Current Employees"/>
    <x v="1"/>
    <x v="2"/>
    <x v="465"/>
    <n v="624"/>
    <x v="0"/>
    <x v="4"/>
    <x v="1"/>
    <s v="No"/>
    <s v="Y"/>
    <n v="3"/>
    <n v="-2"/>
    <n v="0"/>
    <n v="46"/>
    <n v="0"/>
    <m/>
    <n v="0"/>
    <n v="1"/>
    <n v="1034"/>
    <n v="18"/>
    <x v="1"/>
    <n v="1"/>
    <n v="1"/>
    <n v="86"/>
    <n v="3"/>
    <n v="3"/>
    <n v="3"/>
    <n v="10527"/>
    <n v="8984"/>
    <n v="5"/>
    <n v="11"/>
    <n v="3"/>
    <n v="4"/>
    <n v="80"/>
    <n v="0"/>
    <n v="28"/>
    <n v="2"/>
    <n v="2"/>
    <n v="2"/>
    <n v="1"/>
    <n v="2"/>
  </r>
  <r>
    <x v="1"/>
    <s v="Travel_Rarely"/>
    <x v="0"/>
    <s v="Current Employees"/>
    <x v="0"/>
    <x v="0"/>
    <x v="466"/>
    <n v="625"/>
    <x v="0"/>
    <x v="5"/>
    <x v="1"/>
    <s v="No"/>
    <s v="Y"/>
    <n v="2"/>
    <n v="-2"/>
    <n v="0"/>
    <n v="41"/>
    <n v="0"/>
    <m/>
    <n v="0"/>
    <n v="1"/>
    <n v="1276"/>
    <n v="2"/>
    <x v="4"/>
    <n v="1"/>
    <n v="2"/>
    <n v="91"/>
    <n v="3"/>
    <n v="4"/>
    <n v="2"/>
    <n v="16595"/>
    <n v="5626"/>
    <n v="7"/>
    <n v="16"/>
    <n v="3"/>
    <n v="2"/>
    <n v="80"/>
    <n v="1"/>
    <n v="22"/>
    <n v="3"/>
    <n v="18"/>
    <n v="16"/>
    <n v="11"/>
    <n v="8"/>
  </r>
  <r>
    <x v="1"/>
    <s v="Non-Travel"/>
    <x v="0"/>
    <s v="Current Employees"/>
    <x v="0"/>
    <x v="2"/>
    <x v="467"/>
    <n v="626"/>
    <x v="1"/>
    <x v="0"/>
    <x v="2"/>
    <s v="No"/>
    <s v="Y"/>
    <n v="6"/>
    <n v="-2"/>
    <n v="0"/>
    <n v="37"/>
    <n v="0"/>
    <m/>
    <n v="0"/>
    <n v="1"/>
    <n v="142"/>
    <n v="9"/>
    <x v="2"/>
    <n v="1"/>
    <n v="1"/>
    <n v="69"/>
    <n v="3"/>
    <n v="3"/>
    <n v="3"/>
    <n v="8834"/>
    <n v="24666"/>
    <n v="1"/>
    <n v="13"/>
    <n v="3"/>
    <n v="4"/>
    <n v="80"/>
    <n v="1"/>
    <n v="9"/>
    <n v="3"/>
    <n v="9"/>
    <n v="5"/>
    <n v="7"/>
    <n v="7"/>
  </r>
  <r>
    <x v="1"/>
    <s v="Travel_Rarely"/>
    <x v="1"/>
    <s v="Current Employees"/>
    <x v="1"/>
    <x v="4"/>
    <x v="468"/>
    <n v="630"/>
    <x v="1"/>
    <x v="1"/>
    <x v="2"/>
    <s v="Yes"/>
    <s v="Y"/>
    <n v="3"/>
    <n v="-2"/>
    <n v="0"/>
    <n v="52"/>
    <n v="0"/>
    <m/>
    <n v="0"/>
    <n v="1"/>
    <n v="956"/>
    <n v="6"/>
    <x v="0"/>
    <n v="1"/>
    <n v="4"/>
    <n v="78"/>
    <n v="3"/>
    <n v="2"/>
    <n v="4"/>
    <n v="5577"/>
    <n v="22087"/>
    <n v="3"/>
    <n v="12"/>
    <n v="3"/>
    <n v="2"/>
    <n v="80"/>
    <n v="2"/>
    <n v="18"/>
    <n v="3"/>
    <n v="10"/>
    <n v="9"/>
    <n v="6"/>
    <n v="9"/>
  </r>
  <r>
    <x v="0"/>
    <s v="Non-Travel"/>
    <x v="2"/>
    <s v="Ex-Employees"/>
    <x v="0"/>
    <x v="1"/>
    <x v="469"/>
    <n v="631"/>
    <x v="1"/>
    <x v="0"/>
    <x v="1"/>
    <s v="No"/>
    <s v="Y"/>
    <n v="2"/>
    <n v="-2"/>
    <n v="0"/>
    <n v="32"/>
    <n v="1"/>
    <n v="1"/>
    <n v="1"/>
    <n v="0"/>
    <n v="1474"/>
    <n v="11"/>
    <x v="2"/>
    <n v="1"/>
    <n v="4"/>
    <n v="60"/>
    <n v="4"/>
    <n v="2"/>
    <n v="3"/>
    <n v="4707"/>
    <n v="23914"/>
    <n v="8"/>
    <n v="12"/>
    <n v="3"/>
    <n v="4"/>
    <n v="80"/>
    <n v="0"/>
    <n v="6"/>
    <n v="3"/>
    <n v="4"/>
    <n v="2"/>
    <n v="1"/>
    <n v="2"/>
  </r>
  <r>
    <x v="1"/>
    <s v="Travel_Frequently"/>
    <x v="4"/>
    <s v="Current Employees"/>
    <x v="0"/>
    <x v="2"/>
    <x v="470"/>
    <n v="632"/>
    <x v="1"/>
    <x v="6"/>
    <x v="1"/>
    <s v="No"/>
    <s v="Y"/>
    <n v="3"/>
    <n v="-2"/>
    <n v="0"/>
    <n v="24"/>
    <n v="0"/>
    <m/>
    <n v="0"/>
    <n v="1"/>
    <n v="535"/>
    <n v="24"/>
    <x v="3"/>
    <n v="1"/>
    <n v="4"/>
    <n v="38"/>
    <n v="3"/>
    <n v="1"/>
    <n v="4"/>
    <n v="2400"/>
    <n v="5530"/>
    <n v="0"/>
    <n v="13"/>
    <n v="3"/>
    <n v="3"/>
    <n v="80"/>
    <n v="2"/>
    <n v="3"/>
    <n v="3"/>
    <n v="2"/>
    <n v="2"/>
    <n v="2"/>
    <n v="1"/>
  </r>
  <r>
    <x v="1"/>
    <s v="Travel_Rarely"/>
    <x v="0"/>
    <s v="Current Employees"/>
    <x v="1"/>
    <x v="2"/>
    <x v="471"/>
    <n v="634"/>
    <x v="0"/>
    <x v="4"/>
    <x v="1"/>
    <s v="No"/>
    <s v="Y"/>
    <n v="4"/>
    <n v="-2"/>
    <n v="0"/>
    <n v="38"/>
    <n v="0"/>
    <m/>
    <n v="0"/>
    <n v="1"/>
    <n v="1495"/>
    <n v="10"/>
    <x v="3"/>
    <n v="1"/>
    <n v="3"/>
    <n v="76"/>
    <n v="3"/>
    <n v="2"/>
    <n v="3"/>
    <n v="9824"/>
    <n v="22174"/>
    <n v="3"/>
    <n v="19"/>
    <n v="3"/>
    <n v="3"/>
    <n v="80"/>
    <n v="1"/>
    <n v="18"/>
    <n v="3"/>
    <n v="1"/>
    <n v="0"/>
    <n v="0"/>
    <n v="0"/>
  </r>
  <r>
    <x v="1"/>
    <s v="Travel_Rarely"/>
    <x v="0"/>
    <s v="Current Employees"/>
    <x v="1"/>
    <x v="0"/>
    <x v="472"/>
    <n v="635"/>
    <x v="0"/>
    <x v="3"/>
    <x v="1"/>
    <s v="No"/>
    <s v="Y"/>
    <n v="2"/>
    <n v="-2"/>
    <n v="0"/>
    <n v="37"/>
    <n v="0"/>
    <m/>
    <n v="0"/>
    <n v="1"/>
    <n v="446"/>
    <n v="1"/>
    <x v="2"/>
    <n v="1"/>
    <n v="2"/>
    <n v="65"/>
    <n v="3"/>
    <n v="2"/>
    <n v="2"/>
    <n v="6447"/>
    <n v="15701"/>
    <n v="6"/>
    <n v="12"/>
    <n v="3"/>
    <n v="2"/>
    <n v="80"/>
    <n v="1"/>
    <n v="8"/>
    <n v="2"/>
    <n v="6"/>
    <n v="5"/>
    <n v="4"/>
    <n v="3"/>
  </r>
  <r>
    <x v="1"/>
    <s v="Travel_Rarely"/>
    <x v="1"/>
    <s v="Current Employees"/>
    <x v="1"/>
    <x v="0"/>
    <x v="473"/>
    <n v="638"/>
    <x v="1"/>
    <x v="7"/>
    <x v="2"/>
    <s v="Yes"/>
    <s v="Y"/>
    <n v="5"/>
    <n v="-2"/>
    <n v="0"/>
    <n v="49"/>
    <n v="0"/>
    <m/>
    <n v="0"/>
    <n v="1"/>
    <n v="1245"/>
    <n v="18"/>
    <x v="2"/>
    <n v="1"/>
    <n v="4"/>
    <n v="58"/>
    <n v="2"/>
    <n v="5"/>
    <n v="2"/>
    <n v="19502"/>
    <n v="2125"/>
    <n v="1"/>
    <n v="17"/>
    <n v="3"/>
    <n v="3"/>
    <n v="80"/>
    <n v="1"/>
    <n v="31"/>
    <n v="3"/>
    <n v="31"/>
    <n v="9"/>
    <n v="0"/>
    <n v="9"/>
  </r>
  <r>
    <x v="1"/>
    <s v="Travel_Rarely"/>
    <x v="4"/>
    <s v="Current Employees"/>
    <x v="1"/>
    <x v="2"/>
    <x v="474"/>
    <n v="639"/>
    <x v="1"/>
    <x v="1"/>
    <x v="1"/>
    <s v="Yes"/>
    <s v="Y"/>
    <n v="3"/>
    <n v="-2"/>
    <n v="0"/>
    <n v="24"/>
    <n v="0"/>
    <m/>
    <n v="0"/>
    <n v="1"/>
    <n v="691"/>
    <n v="23"/>
    <x v="3"/>
    <n v="1"/>
    <n v="2"/>
    <n v="89"/>
    <n v="4"/>
    <n v="1"/>
    <n v="4"/>
    <n v="2725"/>
    <n v="21630"/>
    <n v="1"/>
    <n v="11"/>
    <n v="3"/>
    <n v="2"/>
    <n v="80"/>
    <n v="2"/>
    <n v="6"/>
    <n v="3"/>
    <n v="6"/>
    <n v="5"/>
    <n v="1"/>
    <n v="4"/>
  </r>
  <r>
    <x v="1"/>
    <s v="Travel_Rarely"/>
    <x v="2"/>
    <s v="Current Employees"/>
    <x v="0"/>
    <x v="3"/>
    <x v="475"/>
    <n v="641"/>
    <x v="1"/>
    <x v="0"/>
    <x v="1"/>
    <s v="No"/>
    <s v="Y"/>
    <n v="5"/>
    <n v="-2"/>
    <n v="0"/>
    <n v="26"/>
    <n v="0"/>
    <m/>
    <n v="0"/>
    <n v="1"/>
    <n v="703"/>
    <n v="28"/>
    <x v="0"/>
    <n v="1"/>
    <n v="1"/>
    <n v="66"/>
    <n v="3"/>
    <n v="2"/>
    <n v="1"/>
    <n v="6272"/>
    <n v="7428"/>
    <n v="1"/>
    <n v="20"/>
    <n v="4"/>
    <n v="4"/>
    <n v="80"/>
    <n v="2"/>
    <n v="6"/>
    <n v="4"/>
    <n v="5"/>
    <n v="3"/>
    <n v="1"/>
    <n v="4"/>
  </r>
  <r>
    <x v="1"/>
    <s v="Travel_Rarely"/>
    <x v="4"/>
    <s v="Current Employees"/>
    <x v="1"/>
    <x v="1"/>
    <x v="476"/>
    <n v="643"/>
    <x v="1"/>
    <x v="2"/>
    <x v="1"/>
    <s v="No"/>
    <s v="Y"/>
    <n v="2"/>
    <n v="-2"/>
    <n v="0"/>
    <n v="24"/>
    <n v="0"/>
    <m/>
    <n v="0"/>
    <n v="1"/>
    <n v="823"/>
    <n v="17"/>
    <x v="0"/>
    <n v="1"/>
    <n v="4"/>
    <n v="94"/>
    <n v="2"/>
    <n v="1"/>
    <n v="3"/>
    <n v="2127"/>
    <n v="9100"/>
    <n v="1"/>
    <n v="21"/>
    <n v="4"/>
    <n v="4"/>
    <n v="80"/>
    <n v="1"/>
    <n v="1"/>
    <n v="3"/>
    <n v="1"/>
    <n v="0"/>
    <n v="0"/>
    <n v="0"/>
  </r>
  <r>
    <x v="1"/>
    <s v="Travel_Frequently"/>
    <x v="1"/>
    <s v="Current Employees"/>
    <x v="2"/>
    <x v="2"/>
    <x v="477"/>
    <n v="644"/>
    <x v="1"/>
    <x v="5"/>
    <x v="1"/>
    <s v="No"/>
    <s v="Y"/>
    <n v="2"/>
    <n v="-2"/>
    <n v="0"/>
    <n v="50"/>
    <n v="0"/>
    <m/>
    <n v="0"/>
    <n v="1"/>
    <n v="1246"/>
    <n v="3"/>
    <x v="3"/>
    <n v="1"/>
    <n v="1"/>
    <n v="99"/>
    <n v="3"/>
    <n v="5"/>
    <n v="3"/>
    <n v="18200"/>
    <n v="7999"/>
    <n v="1"/>
    <n v="11"/>
    <n v="3"/>
    <n v="3"/>
    <n v="80"/>
    <n v="1"/>
    <n v="32"/>
    <n v="3"/>
    <n v="32"/>
    <n v="5"/>
    <n v="10"/>
    <n v="7"/>
  </r>
  <r>
    <x v="1"/>
    <s v="Travel_Rarely"/>
    <x v="2"/>
    <s v="Current Employees"/>
    <x v="0"/>
    <x v="2"/>
    <x v="478"/>
    <n v="645"/>
    <x v="1"/>
    <x v="6"/>
    <x v="1"/>
    <s v="No"/>
    <s v="Y"/>
    <n v="1"/>
    <n v="-2"/>
    <n v="0"/>
    <n v="25"/>
    <n v="0"/>
    <m/>
    <n v="0"/>
    <n v="1"/>
    <n v="622"/>
    <n v="13"/>
    <x v="1"/>
    <n v="1"/>
    <n v="2"/>
    <n v="40"/>
    <n v="3"/>
    <n v="1"/>
    <n v="3"/>
    <n v="2096"/>
    <n v="26376"/>
    <n v="1"/>
    <n v="11"/>
    <n v="3"/>
    <n v="3"/>
    <n v="80"/>
    <n v="0"/>
    <n v="7"/>
    <n v="3"/>
    <n v="7"/>
    <n v="4"/>
    <n v="0"/>
    <n v="6"/>
  </r>
  <r>
    <x v="0"/>
    <s v="Travel_Frequently"/>
    <x v="4"/>
    <s v="Ex-Employees"/>
    <x v="1"/>
    <x v="0"/>
    <x v="479"/>
    <n v="647"/>
    <x v="0"/>
    <x v="2"/>
    <x v="1"/>
    <s v="Yes"/>
    <s v="Y"/>
    <n v="4"/>
    <n v="-2"/>
    <n v="0"/>
    <n v="24"/>
    <n v="1"/>
    <n v="1"/>
    <n v="1"/>
    <n v="0"/>
    <n v="1287"/>
    <n v="7"/>
    <x v="3"/>
    <n v="1"/>
    <n v="1"/>
    <n v="55"/>
    <n v="3"/>
    <n v="1"/>
    <n v="2"/>
    <n v="2886"/>
    <n v="14168"/>
    <n v="1"/>
    <n v="16"/>
    <n v="3"/>
    <n v="4"/>
    <n v="80"/>
    <n v="1"/>
    <n v="6"/>
    <n v="3"/>
    <n v="6"/>
    <n v="3"/>
    <n v="1"/>
    <n v="2"/>
  </r>
  <r>
    <x v="0"/>
    <s v="Travel_Frequently"/>
    <x v="2"/>
    <s v="Ex-Employees"/>
    <x v="0"/>
    <x v="0"/>
    <x v="480"/>
    <n v="648"/>
    <x v="1"/>
    <x v="6"/>
    <x v="1"/>
    <s v="No"/>
    <s v="Y"/>
    <n v="2"/>
    <n v="-2"/>
    <n v="0"/>
    <n v="30"/>
    <n v="1"/>
    <n v="1"/>
    <n v="1"/>
    <n v="0"/>
    <n v="448"/>
    <n v="12"/>
    <x v="2"/>
    <n v="1"/>
    <n v="2"/>
    <n v="74"/>
    <n v="2"/>
    <n v="1"/>
    <n v="2"/>
    <n v="2033"/>
    <n v="14470"/>
    <n v="1"/>
    <n v="18"/>
    <n v="3"/>
    <n v="3"/>
    <n v="80"/>
    <n v="1"/>
    <n v="1"/>
    <n v="4"/>
    <n v="1"/>
    <n v="0"/>
    <n v="0"/>
    <n v="0"/>
  </r>
  <r>
    <x v="1"/>
    <s v="Travel_Rarely"/>
    <x v="2"/>
    <s v="Current Employees"/>
    <x v="1"/>
    <x v="0"/>
    <x v="481"/>
    <n v="649"/>
    <x v="1"/>
    <x v="1"/>
    <x v="1"/>
    <s v="Yes"/>
    <s v="Y"/>
    <n v="3"/>
    <n v="-2"/>
    <n v="0"/>
    <n v="34"/>
    <n v="0"/>
    <m/>
    <n v="0"/>
    <n v="1"/>
    <n v="254"/>
    <n v="1"/>
    <x v="0"/>
    <n v="1"/>
    <n v="2"/>
    <n v="83"/>
    <n v="2"/>
    <n v="1"/>
    <n v="2"/>
    <n v="3622"/>
    <n v="22794"/>
    <n v="1"/>
    <n v="13"/>
    <n v="3"/>
    <n v="4"/>
    <n v="80"/>
    <n v="1"/>
    <n v="6"/>
    <n v="3"/>
    <n v="6"/>
    <n v="5"/>
    <n v="1"/>
    <n v="3"/>
  </r>
  <r>
    <x v="0"/>
    <s v="Travel_Rarely"/>
    <x v="2"/>
    <s v="Ex-Employees"/>
    <x v="0"/>
    <x v="2"/>
    <x v="482"/>
    <n v="650"/>
    <x v="1"/>
    <x v="0"/>
    <x v="2"/>
    <s v="No"/>
    <s v="Y"/>
    <n v="2"/>
    <n v="-2"/>
    <n v="0"/>
    <n v="31"/>
    <n v="1"/>
    <n v="1"/>
    <n v="1"/>
    <n v="0"/>
    <n v="1365"/>
    <n v="13"/>
    <x v="2"/>
    <n v="1"/>
    <n v="2"/>
    <n v="46"/>
    <n v="3"/>
    <n v="2"/>
    <n v="3"/>
    <n v="4233"/>
    <n v="11512"/>
    <n v="2"/>
    <n v="17"/>
    <n v="3"/>
    <n v="3"/>
    <n v="80"/>
    <n v="0"/>
    <n v="9"/>
    <n v="1"/>
    <n v="3"/>
    <n v="1"/>
    <n v="1"/>
    <n v="2"/>
  </r>
  <r>
    <x v="1"/>
    <s v="Travel_Rarely"/>
    <x v="0"/>
    <s v="Current Employees"/>
    <x v="1"/>
    <x v="1"/>
    <x v="483"/>
    <n v="652"/>
    <x v="1"/>
    <x v="2"/>
    <x v="0"/>
    <s v="No"/>
    <s v="Y"/>
    <n v="3"/>
    <n v="-2"/>
    <n v="0"/>
    <n v="35"/>
    <n v="0"/>
    <m/>
    <n v="0"/>
    <n v="1"/>
    <n v="538"/>
    <n v="25"/>
    <x v="0"/>
    <n v="1"/>
    <n v="1"/>
    <n v="54"/>
    <n v="2"/>
    <n v="2"/>
    <n v="4"/>
    <n v="3681"/>
    <n v="14004"/>
    <n v="4"/>
    <n v="14"/>
    <n v="3"/>
    <n v="4"/>
    <n v="80"/>
    <n v="0"/>
    <n v="9"/>
    <n v="3"/>
    <n v="3"/>
    <n v="2"/>
    <n v="0"/>
    <n v="2"/>
  </r>
  <r>
    <x v="1"/>
    <s v="Travel_Rarely"/>
    <x v="2"/>
    <s v="Current Employees"/>
    <x v="0"/>
    <x v="2"/>
    <x v="484"/>
    <n v="653"/>
    <x v="1"/>
    <x v="0"/>
    <x v="2"/>
    <s v="No"/>
    <s v="Y"/>
    <n v="4"/>
    <n v="-2"/>
    <n v="0"/>
    <n v="31"/>
    <n v="0"/>
    <m/>
    <n v="0"/>
    <n v="1"/>
    <n v="525"/>
    <n v="6"/>
    <x v="2"/>
    <n v="1"/>
    <n v="1"/>
    <n v="66"/>
    <n v="4"/>
    <n v="2"/>
    <n v="4"/>
    <n v="5460"/>
    <n v="6219"/>
    <n v="4"/>
    <n v="22"/>
    <n v="4"/>
    <n v="4"/>
    <n v="80"/>
    <n v="2"/>
    <n v="13"/>
    <n v="4"/>
    <n v="7"/>
    <n v="7"/>
    <n v="5"/>
    <n v="7"/>
  </r>
  <r>
    <x v="1"/>
    <s v="Travel_Rarely"/>
    <x v="2"/>
    <s v="Current Employees"/>
    <x v="1"/>
    <x v="2"/>
    <x v="485"/>
    <n v="655"/>
    <x v="0"/>
    <x v="1"/>
    <x v="2"/>
    <s v="No"/>
    <s v="Y"/>
    <n v="5"/>
    <n v="-2"/>
    <n v="0"/>
    <n v="27"/>
    <n v="0"/>
    <m/>
    <n v="0"/>
    <n v="1"/>
    <n v="798"/>
    <n v="6"/>
    <x v="2"/>
    <n v="1"/>
    <n v="1"/>
    <n v="66"/>
    <n v="2"/>
    <n v="1"/>
    <n v="3"/>
    <n v="2187"/>
    <n v="5013"/>
    <n v="0"/>
    <n v="12"/>
    <n v="3"/>
    <n v="3"/>
    <n v="80"/>
    <n v="2"/>
    <n v="6"/>
    <n v="2"/>
    <n v="5"/>
    <n v="3"/>
    <n v="0"/>
    <n v="3"/>
  </r>
  <r>
    <x v="1"/>
    <s v="Travel_Rarely"/>
    <x v="0"/>
    <s v="Current Employees"/>
    <x v="0"/>
    <x v="3"/>
    <x v="486"/>
    <n v="656"/>
    <x v="1"/>
    <x v="0"/>
    <x v="1"/>
    <s v="Yes"/>
    <s v="Y"/>
    <n v="3"/>
    <n v="-2"/>
    <n v="0"/>
    <n v="37"/>
    <n v="0"/>
    <m/>
    <n v="0"/>
    <n v="1"/>
    <n v="558"/>
    <n v="2"/>
    <x v="3"/>
    <n v="1"/>
    <n v="4"/>
    <n v="75"/>
    <n v="3"/>
    <n v="2"/>
    <n v="1"/>
    <n v="9602"/>
    <n v="3010"/>
    <n v="4"/>
    <n v="11"/>
    <n v="3"/>
    <n v="3"/>
    <n v="80"/>
    <n v="1"/>
    <n v="17"/>
    <n v="2"/>
    <n v="3"/>
    <n v="0"/>
    <n v="1"/>
    <n v="0"/>
  </r>
  <r>
    <x v="1"/>
    <s v="Travel_Rarely"/>
    <x v="4"/>
    <s v="Current Employees"/>
    <x v="1"/>
    <x v="0"/>
    <x v="487"/>
    <n v="657"/>
    <x v="0"/>
    <x v="1"/>
    <x v="0"/>
    <s v="No"/>
    <s v="Y"/>
    <n v="0"/>
    <n v="-2"/>
    <n v="0"/>
    <n v="20"/>
    <n v="0"/>
    <m/>
    <n v="0"/>
    <n v="1"/>
    <n v="959"/>
    <n v="1"/>
    <x v="3"/>
    <n v="1"/>
    <n v="4"/>
    <n v="83"/>
    <n v="2"/>
    <n v="1"/>
    <n v="2"/>
    <n v="2836"/>
    <n v="11757"/>
    <n v="1"/>
    <n v="13"/>
    <n v="3"/>
    <n v="4"/>
    <n v="80"/>
    <n v="0"/>
    <n v="1"/>
    <n v="4"/>
    <n v="1"/>
    <n v="0"/>
    <n v="0"/>
    <n v="0"/>
  </r>
  <r>
    <x v="1"/>
    <s v="Travel_Rarely"/>
    <x v="0"/>
    <s v="Current Employees"/>
    <x v="1"/>
    <x v="0"/>
    <x v="488"/>
    <n v="659"/>
    <x v="0"/>
    <x v="4"/>
    <x v="1"/>
    <s v="No"/>
    <s v="Y"/>
    <n v="4"/>
    <n v="-2"/>
    <n v="0"/>
    <n v="42"/>
    <n v="0"/>
    <m/>
    <n v="0"/>
    <n v="1"/>
    <n v="622"/>
    <n v="2"/>
    <x v="2"/>
    <n v="1"/>
    <n v="3"/>
    <n v="81"/>
    <n v="3"/>
    <n v="2"/>
    <n v="2"/>
    <n v="4089"/>
    <n v="5718"/>
    <n v="1"/>
    <n v="13"/>
    <n v="3"/>
    <n v="2"/>
    <n v="80"/>
    <n v="2"/>
    <n v="10"/>
    <n v="3"/>
    <n v="10"/>
    <n v="2"/>
    <n v="2"/>
    <n v="2"/>
  </r>
  <r>
    <x v="1"/>
    <s v="Travel_Rarely"/>
    <x v="0"/>
    <s v="Current Employees"/>
    <x v="1"/>
    <x v="1"/>
    <x v="489"/>
    <n v="661"/>
    <x v="1"/>
    <x v="7"/>
    <x v="2"/>
    <s v="Yes"/>
    <s v="Y"/>
    <n v="3"/>
    <n v="-2"/>
    <n v="0"/>
    <n v="43"/>
    <n v="0"/>
    <m/>
    <n v="0"/>
    <n v="1"/>
    <n v="782"/>
    <n v="6"/>
    <x v="2"/>
    <n v="1"/>
    <n v="2"/>
    <n v="50"/>
    <n v="2"/>
    <n v="4"/>
    <n v="4"/>
    <n v="16627"/>
    <n v="2671"/>
    <n v="4"/>
    <n v="14"/>
    <n v="3"/>
    <n v="3"/>
    <n v="80"/>
    <n v="1"/>
    <n v="21"/>
    <n v="2"/>
    <n v="1"/>
    <n v="0"/>
    <n v="0"/>
    <n v="0"/>
  </r>
  <r>
    <x v="1"/>
    <s v="Travel_Rarely"/>
    <x v="0"/>
    <s v="Current Employees"/>
    <x v="1"/>
    <x v="0"/>
    <x v="490"/>
    <n v="662"/>
    <x v="0"/>
    <x v="1"/>
    <x v="0"/>
    <s v="No"/>
    <s v="Y"/>
    <n v="3"/>
    <n v="-2"/>
    <n v="0"/>
    <n v="38"/>
    <n v="0"/>
    <m/>
    <n v="0"/>
    <n v="1"/>
    <n v="362"/>
    <n v="1"/>
    <x v="1"/>
    <n v="1"/>
    <n v="3"/>
    <n v="43"/>
    <n v="3"/>
    <n v="1"/>
    <n v="2"/>
    <n v="2619"/>
    <n v="14561"/>
    <n v="3"/>
    <n v="17"/>
    <n v="3"/>
    <n v="4"/>
    <n v="80"/>
    <n v="0"/>
    <n v="8"/>
    <n v="2"/>
    <n v="0"/>
    <n v="0"/>
    <n v="0"/>
    <n v="0"/>
  </r>
  <r>
    <x v="1"/>
    <s v="Travel_Frequently"/>
    <x v="0"/>
    <s v="Current Employees"/>
    <x v="1"/>
    <x v="2"/>
    <x v="491"/>
    <n v="663"/>
    <x v="1"/>
    <x v="2"/>
    <x v="2"/>
    <s v="Yes"/>
    <s v="Y"/>
    <n v="3"/>
    <n v="-2"/>
    <n v="0"/>
    <n v="43"/>
    <n v="0"/>
    <m/>
    <n v="0"/>
    <n v="1"/>
    <n v="1001"/>
    <n v="9"/>
    <x v="4"/>
    <n v="1"/>
    <n v="4"/>
    <n v="72"/>
    <n v="3"/>
    <n v="2"/>
    <n v="3"/>
    <n v="5679"/>
    <n v="19627"/>
    <n v="3"/>
    <n v="13"/>
    <n v="3"/>
    <n v="2"/>
    <n v="80"/>
    <n v="1"/>
    <n v="10"/>
    <n v="3"/>
    <n v="8"/>
    <n v="7"/>
    <n v="4"/>
    <n v="7"/>
  </r>
  <r>
    <x v="1"/>
    <s v="Travel_Rarely"/>
    <x v="1"/>
    <s v="Current Employees"/>
    <x v="1"/>
    <x v="0"/>
    <x v="492"/>
    <n v="664"/>
    <x v="0"/>
    <x v="5"/>
    <x v="1"/>
    <s v="No"/>
    <s v="Y"/>
    <n v="3"/>
    <n v="-2"/>
    <n v="0"/>
    <n v="48"/>
    <n v="0"/>
    <m/>
    <n v="0"/>
    <n v="1"/>
    <n v="1236"/>
    <n v="1"/>
    <x v="2"/>
    <n v="1"/>
    <n v="4"/>
    <n v="40"/>
    <n v="2"/>
    <n v="4"/>
    <n v="2"/>
    <n v="15402"/>
    <n v="17997"/>
    <n v="7"/>
    <n v="11"/>
    <n v="3"/>
    <n v="1"/>
    <n v="80"/>
    <n v="1"/>
    <n v="21"/>
    <n v="1"/>
    <n v="3"/>
    <n v="2"/>
    <n v="0"/>
    <n v="2"/>
  </r>
  <r>
    <x v="1"/>
    <s v="Travel_Rarely"/>
    <x v="0"/>
    <s v="Current Employees"/>
    <x v="2"/>
    <x v="0"/>
    <x v="493"/>
    <n v="665"/>
    <x v="0"/>
    <x v="8"/>
    <x v="0"/>
    <s v="No"/>
    <s v="Y"/>
    <n v="1"/>
    <n v="-2"/>
    <n v="0"/>
    <n v="44"/>
    <n v="0"/>
    <m/>
    <n v="0"/>
    <n v="1"/>
    <n v="1112"/>
    <n v="1"/>
    <x v="2"/>
    <n v="1"/>
    <n v="1"/>
    <n v="50"/>
    <n v="2"/>
    <n v="2"/>
    <n v="2"/>
    <n v="5985"/>
    <n v="26894"/>
    <n v="4"/>
    <n v="11"/>
    <n v="3"/>
    <n v="2"/>
    <n v="80"/>
    <n v="0"/>
    <n v="10"/>
    <n v="4"/>
    <n v="2"/>
    <n v="2"/>
    <n v="0"/>
    <n v="2"/>
  </r>
  <r>
    <x v="1"/>
    <s v="Travel_Rarely"/>
    <x v="2"/>
    <s v="Current Employees"/>
    <x v="0"/>
    <x v="4"/>
    <x v="494"/>
    <n v="666"/>
    <x v="0"/>
    <x v="6"/>
    <x v="2"/>
    <s v="Yes"/>
    <s v="Y"/>
    <n v="3"/>
    <n v="-2"/>
    <n v="0"/>
    <n v="34"/>
    <n v="0"/>
    <m/>
    <n v="0"/>
    <n v="1"/>
    <n v="204"/>
    <n v="14"/>
    <x v="3"/>
    <n v="1"/>
    <n v="4"/>
    <n v="31"/>
    <n v="3"/>
    <n v="1"/>
    <n v="4"/>
    <n v="2579"/>
    <n v="2912"/>
    <n v="1"/>
    <n v="18"/>
    <n v="3"/>
    <n v="4"/>
    <n v="80"/>
    <n v="2"/>
    <n v="8"/>
    <n v="3"/>
    <n v="8"/>
    <n v="2"/>
    <n v="0"/>
    <n v="6"/>
  </r>
  <r>
    <x v="0"/>
    <s v="Travel_Rarely"/>
    <x v="2"/>
    <s v="Ex-Employees"/>
    <x v="0"/>
    <x v="3"/>
    <x v="495"/>
    <n v="667"/>
    <x v="1"/>
    <x v="6"/>
    <x v="2"/>
    <s v="No"/>
    <s v="Y"/>
    <n v="3"/>
    <n v="-2"/>
    <n v="0"/>
    <n v="27"/>
    <n v="1"/>
    <n v="1"/>
    <n v="1"/>
    <n v="0"/>
    <n v="1420"/>
    <n v="2"/>
    <x v="1"/>
    <n v="1"/>
    <n v="3"/>
    <n v="85"/>
    <n v="3"/>
    <n v="1"/>
    <n v="1"/>
    <n v="3041"/>
    <n v="16346"/>
    <n v="0"/>
    <n v="11"/>
    <n v="3"/>
    <n v="2"/>
    <n v="80"/>
    <n v="1"/>
    <n v="5"/>
    <n v="3"/>
    <n v="4"/>
    <n v="3"/>
    <n v="0"/>
    <n v="2"/>
  </r>
  <r>
    <x v="1"/>
    <s v="Travel_Rarely"/>
    <x v="4"/>
    <s v="Current Employees"/>
    <x v="0"/>
    <x v="4"/>
    <x v="496"/>
    <n v="669"/>
    <x v="1"/>
    <x v="6"/>
    <x v="0"/>
    <s v="No"/>
    <s v="Y"/>
    <n v="2"/>
    <n v="-2"/>
    <n v="0"/>
    <n v="21"/>
    <n v="0"/>
    <m/>
    <n v="0"/>
    <n v="1"/>
    <n v="1343"/>
    <n v="22"/>
    <x v="1"/>
    <n v="1"/>
    <n v="4"/>
    <n v="49"/>
    <n v="3"/>
    <n v="1"/>
    <n v="4"/>
    <n v="3447"/>
    <n v="24444"/>
    <n v="1"/>
    <n v="11"/>
    <n v="3"/>
    <n v="3"/>
    <n v="80"/>
    <n v="0"/>
    <n v="3"/>
    <n v="3"/>
    <n v="3"/>
    <n v="2"/>
    <n v="1"/>
    <n v="2"/>
  </r>
  <r>
    <x v="1"/>
    <s v="Travel_Rarely"/>
    <x v="0"/>
    <s v="Current Employees"/>
    <x v="1"/>
    <x v="1"/>
    <x v="497"/>
    <n v="671"/>
    <x v="1"/>
    <x v="5"/>
    <x v="1"/>
    <s v="Yes"/>
    <s v="Y"/>
    <n v="2"/>
    <n v="-2"/>
    <n v="0"/>
    <n v="44"/>
    <n v="0"/>
    <m/>
    <n v="0"/>
    <n v="1"/>
    <n v="1315"/>
    <n v="3"/>
    <x v="2"/>
    <n v="1"/>
    <n v="4"/>
    <n v="35"/>
    <n v="3"/>
    <n v="5"/>
    <n v="4"/>
    <n v="19513"/>
    <n v="9358"/>
    <n v="4"/>
    <n v="12"/>
    <n v="3"/>
    <n v="1"/>
    <n v="80"/>
    <n v="1"/>
    <n v="26"/>
    <n v="4"/>
    <n v="2"/>
    <n v="2"/>
    <n v="0"/>
    <n v="1"/>
  </r>
  <r>
    <x v="1"/>
    <s v="Travel_Rarely"/>
    <x v="4"/>
    <s v="Current Employees"/>
    <x v="1"/>
    <x v="2"/>
    <x v="498"/>
    <n v="675"/>
    <x v="1"/>
    <x v="1"/>
    <x v="1"/>
    <s v="No"/>
    <s v="Y"/>
    <n v="3"/>
    <n v="-2"/>
    <n v="0"/>
    <n v="22"/>
    <n v="0"/>
    <m/>
    <n v="0"/>
    <n v="1"/>
    <n v="604"/>
    <n v="6"/>
    <x v="1"/>
    <n v="1"/>
    <n v="1"/>
    <n v="69"/>
    <n v="3"/>
    <n v="1"/>
    <n v="3"/>
    <n v="2773"/>
    <n v="12145"/>
    <n v="0"/>
    <n v="20"/>
    <n v="4"/>
    <n v="4"/>
    <n v="80"/>
    <n v="0"/>
    <n v="3"/>
    <n v="3"/>
    <n v="2"/>
    <n v="2"/>
    <n v="2"/>
    <n v="2"/>
  </r>
  <r>
    <x v="1"/>
    <s v="Travel_Rarely"/>
    <x v="2"/>
    <s v="Current Employees"/>
    <x v="0"/>
    <x v="3"/>
    <x v="499"/>
    <n v="677"/>
    <x v="1"/>
    <x v="0"/>
    <x v="2"/>
    <s v="No"/>
    <s v="Y"/>
    <n v="3"/>
    <n v="-2"/>
    <n v="0"/>
    <n v="33"/>
    <n v="0"/>
    <m/>
    <n v="0"/>
    <n v="1"/>
    <n v="1216"/>
    <n v="8"/>
    <x v="2"/>
    <n v="1"/>
    <n v="3"/>
    <n v="39"/>
    <n v="3"/>
    <n v="2"/>
    <n v="1"/>
    <n v="7104"/>
    <n v="20431"/>
    <n v="0"/>
    <n v="12"/>
    <n v="3"/>
    <n v="4"/>
    <n v="80"/>
    <n v="0"/>
    <n v="6"/>
    <n v="3"/>
    <n v="5"/>
    <n v="0"/>
    <n v="1"/>
    <n v="2"/>
  </r>
  <r>
    <x v="1"/>
    <s v="Travel_Rarely"/>
    <x v="2"/>
    <s v="Current Employees"/>
    <x v="1"/>
    <x v="0"/>
    <x v="500"/>
    <n v="679"/>
    <x v="0"/>
    <x v="1"/>
    <x v="1"/>
    <s v="Yes"/>
    <s v="Y"/>
    <n v="2"/>
    <n v="-2"/>
    <n v="0"/>
    <n v="32"/>
    <n v="0"/>
    <m/>
    <n v="0"/>
    <n v="1"/>
    <n v="646"/>
    <n v="9"/>
    <x v="2"/>
    <n v="1"/>
    <n v="1"/>
    <n v="92"/>
    <n v="3"/>
    <n v="2"/>
    <n v="2"/>
    <n v="6322"/>
    <n v="18089"/>
    <n v="1"/>
    <n v="12"/>
    <n v="3"/>
    <n v="4"/>
    <n v="80"/>
    <n v="1"/>
    <n v="6"/>
    <n v="2"/>
    <n v="6"/>
    <n v="4"/>
    <n v="0"/>
    <n v="5"/>
  </r>
  <r>
    <x v="1"/>
    <s v="Travel_Frequently"/>
    <x v="2"/>
    <s v="Current Employees"/>
    <x v="1"/>
    <x v="2"/>
    <x v="501"/>
    <n v="680"/>
    <x v="0"/>
    <x v="1"/>
    <x v="2"/>
    <s v="No"/>
    <s v="Y"/>
    <n v="2"/>
    <n v="-2"/>
    <n v="0"/>
    <n v="30"/>
    <n v="0"/>
    <m/>
    <n v="0"/>
    <n v="1"/>
    <n v="160"/>
    <n v="3"/>
    <x v="3"/>
    <n v="1"/>
    <n v="3"/>
    <n v="71"/>
    <n v="3"/>
    <n v="1"/>
    <n v="3"/>
    <n v="2083"/>
    <n v="22653"/>
    <n v="1"/>
    <n v="20"/>
    <n v="4"/>
    <n v="3"/>
    <n v="80"/>
    <n v="1"/>
    <n v="1"/>
    <n v="3"/>
    <n v="1"/>
    <n v="0"/>
    <n v="0"/>
    <n v="0"/>
  </r>
  <r>
    <x v="1"/>
    <s v="Travel_Rarely"/>
    <x v="1"/>
    <s v="Current Employees"/>
    <x v="0"/>
    <x v="2"/>
    <x v="502"/>
    <n v="682"/>
    <x v="0"/>
    <x v="0"/>
    <x v="0"/>
    <s v="No"/>
    <s v="Y"/>
    <n v="2"/>
    <n v="-2"/>
    <n v="0"/>
    <n v="53"/>
    <n v="0"/>
    <m/>
    <n v="0"/>
    <n v="1"/>
    <n v="238"/>
    <n v="1"/>
    <x v="1"/>
    <n v="1"/>
    <n v="4"/>
    <n v="34"/>
    <n v="3"/>
    <n v="2"/>
    <n v="3"/>
    <n v="8381"/>
    <n v="7507"/>
    <n v="7"/>
    <n v="20"/>
    <n v="4"/>
    <n v="4"/>
    <n v="80"/>
    <n v="0"/>
    <n v="18"/>
    <n v="4"/>
    <n v="14"/>
    <n v="7"/>
    <n v="8"/>
    <n v="10"/>
  </r>
  <r>
    <x v="1"/>
    <s v="Travel_Rarely"/>
    <x v="2"/>
    <s v="Current Employees"/>
    <x v="1"/>
    <x v="0"/>
    <x v="503"/>
    <n v="683"/>
    <x v="1"/>
    <x v="1"/>
    <x v="1"/>
    <s v="No"/>
    <s v="Y"/>
    <n v="4"/>
    <n v="-2"/>
    <n v="0"/>
    <n v="34"/>
    <n v="0"/>
    <m/>
    <n v="0"/>
    <n v="1"/>
    <n v="1397"/>
    <n v="1"/>
    <x v="4"/>
    <n v="1"/>
    <n v="2"/>
    <n v="42"/>
    <n v="3"/>
    <n v="1"/>
    <n v="2"/>
    <n v="2691"/>
    <n v="7660"/>
    <n v="1"/>
    <n v="12"/>
    <n v="3"/>
    <n v="4"/>
    <n v="80"/>
    <n v="1"/>
    <n v="10"/>
    <n v="2"/>
    <n v="10"/>
    <n v="9"/>
    <n v="8"/>
    <n v="8"/>
  </r>
  <r>
    <x v="0"/>
    <s v="Travel_Frequently"/>
    <x v="1"/>
    <s v="Ex-Employees"/>
    <x v="0"/>
    <x v="0"/>
    <x v="504"/>
    <n v="684"/>
    <x v="0"/>
    <x v="0"/>
    <x v="1"/>
    <s v="No"/>
    <s v="Y"/>
    <n v="4"/>
    <n v="-2"/>
    <n v="0"/>
    <n v="45"/>
    <n v="1"/>
    <n v="1"/>
    <n v="1"/>
    <n v="0"/>
    <n v="306"/>
    <n v="26"/>
    <x v="2"/>
    <n v="1"/>
    <n v="1"/>
    <n v="100"/>
    <n v="3"/>
    <n v="2"/>
    <n v="2"/>
    <n v="4286"/>
    <n v="5630"/>
    <n v="2"/>
    <n v="14"/>
    <n v="3"/>
    <n v="4"/>
    <n v="80"/>
    <n v="2"/>
    <n v="5"/>
    <n v="3"/>
    <n v="1"/>
    <n v="1"/>
    <n v="0"/>
    <n v="0"/>
  </r>
  <r>
    <x v="1"/>
    <s v="Travel_Rarely"/>
    <x v="2"/>
    <s v="Current Employees"/>
    <x v="1"/>
    <x v="0"/>
    <x v="505"/>
    <n v="686"/>
    <x v="0"/>
    <x v="2"/>
    <x v="1"/>
    <s v="Yes"/>
    <s v="Y"/>
    <n v="2"/>
    <n v="-2"/>
    <n v="0"/>
    <n v="26"/>
    <n v="0"/>
    <m/>
    <n v="0"/>
    <n v="1"/>
    <n v="991"/>
    <n v="6"/>
    <x v="3"/>
    <n v="1"/>
    <n v="3"/>
    <n v="71"/>
    <n v="3"/>
    <n v="1"/>
    <n v="2"/>
    <n v="2659"/>
    <n v="17759"/>
    <n v="1"/>
    <n v="13"/>
    <n v="3"/>
    <n v="3"/>
    <n v="80"/>
    <n v="1"/>
    <n v="3"/>
    <n v="3"/>
    <n v="3"/>
    <n v="2"/>
    <n v="0"/>
    <n v="2"/>
  </r>
  <r>
    <x v="1"/>
    <s v="Travel_Rarely"/>
    <x v="0"/>
    <s v="Current Employees"/>
    <x v="1"/>
    <x v="1"/>
    <x v="506"/>
    <n v="689"/>
    <x v="1"/>
    <x v="3"/>
    <x v="1"/>
    <s v="No"/>
    <s v="Y"/>
    <n v="2"/>
    <n v="-2"/>
    <n v="0"/>
    <n v="37"/>
    <n v="0"/>
    <m/>
    <n v="0"/>
    <n v="1"/>
    <n v="482"/>
    <n v="3"/>
    <x v="3"/>
    <n v="1"/>
    <n v="3"/>
    <n v="36"/>
    <n v="3"/>
    <n v="3"/>
    <n v="3"/>
    <n v="9434"/>
    <n v="9606"/>
    <n v="1"/>
    <n v="15"/>
    <n v="3"/>
    <n v="3"/>
    <n v="80"/>
    <n v="1"/>
    <n v="10"/>
    <n v="3"/>
    <n v="10"/>
    <n v="7"/>
    <n v="7"/>
    <n v="8"/>
  </r>
  <r>
    <x v="1"/>
    <s v="Travel_Rarely"/>
    <x v="2"/>
    <s v="Current Employees"/>
    <x v="0"/>
    <x v="2"/>
    <x v="507"/>
    <n v="690"/>
    <x v="0"/>
    <x v="0"/>
    <x v="1"/>
    <s v="No"/>
    <s v="Y"/>
    <n v="5"/>
    <n v="-2"/>
    <n v="0"/>
    <n v="29"/>
    <n v="0"/>
    <m/>
    <n v="0"/>
    <n v="1"/>
    <n v="1176"/>
    <n v="3"/>
    <x v="0"/>
    <n v="1"/>
    <n v="2"/>
    <n v="62"/>
    <n v="3"/>
    <n v="2"/>
    <n v="3"/>
    <n v="5561"/>
    <n v="3487"/>
    <n v="1"/>
    <n v="14"/>
    <n v="3"/>
    <n v="1"/>
    <n v="80"/>
    <n v="1"/>
    <n v="6"/>
    <n v="2"/>
    <n v="6"/>
    <n v="0"/>
    <n v="1"/>
    <n v="2"/>
  </r>
  <r>
    <x v="1"/>
    <s v="Travel_Rarely"/>
    <x v="0"/>
    <s v="Current Employees"/>
    <x v="1"/>
    <x v="0"/>
    <x v="508"/>
    <n v="691"/>
    <x v="1"/>
    <x v="1"/>
    <x v="0"/>
    <s v="No"/>
    <s v="Y"/>
    <n v="3"/>
    <n v="-2"/>
    <n v="0"/>
    <n v="35"/>
    <n v="0"/>
    <m/>
    <n v="0"/>
    <n v="1"/>
    <n v="1017"/>
    <n v="6"/>
    <x v="2"/>
    <n v="1"/>
    <n v="2"/>
    <n v="82"/>
    <n v="1"/>
    <n v="2"/>
    <n v="2"/>
    <n v="6646"/>
    <n v="19368"/>
    <n v="1"/>
    <n v="13"/>
    <n v="3"/>
    <n v="2"/>
    <n v="80"/>
    <n v="0"/>
    <n v="17"/>
    <n v="3"/>
    <n v="17"/>
    <n v="11"/>
    <n v="11"/>
    <n v="8"/>
  </r>
  <r>
    <x v="1"/>
    <s v="Travel_Frequently"/>
    <x v="2"/>
    <s v="Current Employees"/>
    <x v="1"/>
    <x v="0"/>
    <x v="509"/>
    <n v="692"/>
    <x v="1"/>
    <x v="4"/>
    <x v="2"/>
    <s v="No"/>
    <s v="Y"/>
    <n v="2"/>
    <n v="-2"/>
    <n v="0"/>
    <n v="33"/>
    <n v="0"/>
    <m/>
    <n v="0"/>
    <n v="1"/>
    <n v="1296"/>
    <n v="6"/>
    <x v="3"/>
    <n v="1"/>
    <n v="3"/>
    <n v="30"/>
    <n v="3"/>
    <n v="2"/>
    <n v="2"/>
    <n v="7725"/>
    <n v="5335"/>
    <n v="3"/>
    <n v="23"/>
    <n v="4"/>
    <n v="3"/>
    <n v="80"/>
    <n v="1"/>
    <n v="15"/>
    <n v="1"/>
    <n v="13"/>
    <n v="11"/>
    <n v="4"/>
    <n v="7"/>
  </r>
  <r>
    <x v="1"/>
    <s v="Travel_Rarely"/>
    <x v="1"/>
    <s v="Current Employees"/>
    <x v="2"/>
    <x v="2"/>
    <x v="510"/>
    <n v="698"/>
    <x v="1"/>
    <x v="8"/>
    <x v="1"/>
    <s v="No"/>
    <s v="Y"/>
    <n v="1"/>
    <n v="-2"/>
    <n v="0"/>
    <n v="54"/>
    <n v="0"/>
    <m/>
    <n v="0"/>
    <n v="1"/>
    <n v="397"/>
    <n v="19"/>
    <x v="2"/>
    <n v="1"/>
    <n v="3"/>
    <n v="88"/>
    <n v="3"/>
    <n v="3"/>
    <n v="3"/>
    <n v="10725"/>
    <n v="6729"/>
    <n v="2"/>
    <n v="15"/>
    <n v="3"/>
    <n v="3"/>
    <n v="80"/>
    <n v="1"/>
    <n v="16"/>
    <n v="4"/>
    <n v="9"/>
    <n v="7"/>
    <n v="7"/>
    <n v="1"/>
  </r>
  <r>
    <x v="1"/>
    <s v="Travel_Rarely"/>
    <x v="0"/>
    <s v="Current Employees"/>
    <x v="1"/>
    <x v="2"/>
    <x v="511"/>
    <n v="699"/>
    <x v="1"/>
    <x v="3"/>
    <x v="2"/>
    <s v="Yes"/>
    <s v="Y"/>
    <n v="2"/>
    <n v="-2"/>
    <n v="0"/>
    <n v="36"/>
    <n v="0"/>
    <m/>
    <n v="0"/>
    <n v="1"/>
    <n v="913"/>
    <n v="9"/>
    <x v="0"/>
    <n v="1"/>
    <n v="2"/>
    <n v="48"/>
    <n v="2"/>
    <n v="2"/>
    <n v="3"/>
    <n v="8847"/>
    <n v="13934"/>
    <n v="2"/>
    <n v="11"/>
    <n v="3"/>
    <n v="3"/>
    <n v="80"/>
    <n v="1"/>
    <n v="13"/>
    <n v="3"/>
    <n v="3"/>
    <n v="2"/>
    <n v="0"/>
    <n v="2"/>
  </r>
  <r>
    <x v="1"/>
    <s v="Travel_Rarely"/>
    <x v="2"/>
    <s v="Current Employees"/>
    <x v="1"/>
    <x v="2"/>
    <x v="512"/>
    <n v="700"/>
    <x v="1"/>
    <x v="1"/>
    <x v="0"/>
    <s v="No"/>
    <s v="Y"/>
    <n v="0"/>
    <n v="-2"/>
    <n v="0"/>
    <n v="27"/>
    <n v="0"/>
    <m/>
    <n v="0"/>
    <n v="1"/>
    <n v="1115"/>
    <n v="3"/>
    <x v="2"/>
    <n v="1"/>
    <n v="1"/>
    <n v="54"/>
    <n v="2"/>
    <n v="1"/>
    <n v="4"/>
    <n v="2045"/>
    <n v="15174"/>
    <n v="0"/>
    <n v="13"/>
    <n v="3"/>
    <n v="4"/>
    <n v="80"/>
    <n v="0"/>
    <n v="5"/>
    <n v="3"/>
    <n v="4"/>
    <n v="2"/>
    <n v="1"/>
    <n v="1"/>
  </r>
  <r>
    <x v="0"/>
    <s v="Travel_Rarely"/>
    <x v="4"/>
    <s v="Ex-Employees"/>
    <x v="1"/>
    <x v="2"/>
    <x v="513"/>
    <n v="701"/>
    <x v="1"/>
    <x v="1"/>
    <x v="0"/>
    <s v="Yes"/>
    <s v="Y"/>
    <n v="5"/>
    <n v="-2"/>
    <n v="0"/>
    <n v="20"/>
    <n v="1"/>
    <n v="1"/>
    <n v="1"/>
    <n v="0"/>
    <n v="1362"/>
    <n v="10"/>
    <x v="1"/>
    <n v="1"/>
    <n v="4"/>
    <n v="32"/>
    <n v="3"/>
    <n v="1"/>
    <n v="3"/>
    <n v="1009"/>
    <n v="26999"/>
    <n v="1"/>
    <n v="11"/>
    <n v="3"/>
    <n v="4"/>
    <n v="80"/>
    <n v="0"/>
    <n v="1"/>
    <n v="3"/>
    <n v="1"/>
    <n v="0"/>
    <n v="1"/>
    <n v="1"/>
  </r>
  <r>
    <x v="0"/>
    <s v="Travel_Frequently"/>
    <x v="2"/>
    <s v="Ex-Employees"/>
    <x v="1"/>
    <x v="0"/>
    <x v="514"/>
    <n v="702"/>
    <x v="1"/>
    <x v="1"/>
    <x v="0"/>
    <s v="Yes"/>
    <s v="Y"/>
    <n v="3"/>
    <n v="-2"/>
    <n v="0"/>
    <n v="33"/>
    <n v="1"/>
    <n v="1"/>
    <n v="1"/>
    <n v="0"/>
    <n v="1076"/>
    <n v="3"/>
    <x v="3"/>
    <n v="1"/>
    <n v="1"/>
    <n v="70"/>
    <n v="3"/>
    <n v="1"/>
    <n v="2"/>
    <n v="3348"/>
    <n v="3164"/>
    <n v="1"/>
    <n v="11"/>
    <n v="3"/>
    <n v="1"/>
    <n v="80"/>
    <n v="0"/>
    <n v="10"/>
    <n v="3"/>
    <n v="10"/>
    <n v="8"/>
    <n v="9"/>
    <n v="7"/>
  </r>
  <r>
    <x v="1"/>
    <s v="Non-Travel"/>
    <x v="0"/>
    <s v="Current Employees"/>
    <x v="1"/>
    <x v="0"/>
    <x v="515"/>
    <n v="704"/>
    <x v="1"/>
    <x v="2"/>
    <x v="1"/>
    <s v="No"/>
    <s v="Y"/>
    <n v="3"/>
    <n v="-2"/>
    <n v="0"/>
    <n v="35"/>
    <n v="0"/>
    <m/>
    <n v="0"/>
    <n v="1"/>
    <n v="727"/>
    <n v="3"/>
    <x v="3"/>
    <n v="1"/>
    <n v="3"/>
    <n v="41"/>
    <n v="2"/>
    <n v="1"/>
    <n v="2"/>
    <n v="1281"/>
    <n v="16900"/>
    <n v="1"/>
    <n v="18"/>
    <n v="3"/>
    <n v="3"/>
    <n v="80"/>
    <n v="2"/>
    <n v="1"/>
    <n v="3"/>
    <n v="1"/>
    <n v="0"/>
    <n v="0"/>
    <n v="0"/>
  </r>
  <r>
    <x v="1"/>
    <s v="Travel_Rarely"/>
    <x v="4"/>
    <s v="Current Employees"/>
    <x v="1"/>
    <x v="2"/>
    <x v="516"/>
    <n v="705"/>
    <x v="1"/>
    <x v="1"/>
    <x v="1"/>
    <s v="No"/>
    <s v="Y"/>
    <n v="3"/>
    <n v="-2"/>
    <n v="0"/>
    <n v="23"/>
    <n v="0"/>
    <m/>
    <n v="0"/>
    <n v="1"/>
    <n v="885"/>
    <n v="4"/>
    <x v="3"/>
    <n v="1"/>
    <n v="1"/>
    <n v="58"/>
    <n v="4"/>
    <n v="1"/>
    <n v="3"/>
    <n v="2819"/>
    <n v="8544"/>
    <n v="2"/>
    <n v="16"/>
    <n v="3"/>
    <n v="1"/>
    <n v="80"/>
    <n v="1"/>
    <n v="5"/>
    <n v="4"/>
    <n v="3"/>
    <n v="2"/>
    <n v="0"/>
    <n v="2"/>
  </r>
  <r>
    <x v="1"/>
    <s v="Travel_Rarely"/>
    <x v="2"/>
    <s v="Current Employees"/>
    <x v="0"/>
    <x v="0"/>
    <x v="517"/>
    <n v="707"/>
    <x v="1"/>
    <x v="0"/>
    <x v="1"/>
    <s v="No"/>
    <s v="Y"/>
    <n v="4"/>
    <n v="-2"/>
    <n v="0"/>
    <n v="25"/>
    <n v="0"/>
    <m/>
    <n v="0"/>
    <n v="1"/>
    <n v="810"/>
    <n v="8"/>
    <x v="3"/>
    <n v="1"/>
    <n v="4"/>
    <n v="57"/>
    <n v="4"/>
    <n v="2"/>
    <n v="2"/>
    <n v="4851"/>
    <n v="15678"/>
    <n v="0"/>
    <n v="22"/>
    <n v="4"/>
    <n v="3"/>
    <n v="80"/>
    <n v="1"/>
    <n v="4"/>
    <n v="3"/>
    <n v="3"/>
    <n v="2"/>
    <n v="1"/>
    <n v="2"/>
  </r>
  <r>
    <x v="1"/>
    <s v="Travel_Rarely"/>
    <x v="0"/>
    <s v="Current Employees"/>
    <x v="0"/>
    <x v="3"/>
    <x v="518"/>
    <n v="709"/>
    <x v="0"/>
    <x v="0"/>
    <x v="0"/>
    <s v="No"/>
    <s v="Y"/>
    <n v="2"/>
    <n v="-2"/>
    <n v="0"/>
    <n v="38"/>
    <n v="0"/>
    <m/>
    <n v="0"/>
    <n v="1"/>
    <n v="243"/>
    <n v="7"/>
    <x v="2"/>
    <n v="1"/>
    <n v="4"/>
    <n v="46"/>
    <n v="2"/>
    <n v="2"/>
    <n v="1"/>
    <n v="4028"/>
    <n v="7791"/>
    <n v="0"/>
    <n v="20"/>
    <n v="4"/>
    <n v="1"/>
    <n v="80"/>
    <n v="0"/>
    <n v="8"/>
    <n v="3"/>
    <n v="7"/>
    <n v="7"/>
    <n v="0"/>
    <n v="5"/>
  </r>
  <r>
    <x v="1"/>
    <s v="Travel_Frequently"/>
    <x v="2"/>
    <s v="Current Employees"/>
    <x v="1"/>
    <x v="0"/>
    <x v="519"/>
    <n v="710"/>
    <x v="1"/>
    <x v="1"/>
    <x v="2"/>
    <s v="No"/>
    <s v="Y"/>
    <n v="5"/>
    <n v="-2"/>
    <n v="0"/>
    <n v="29"/>
    <n v="0"/>
    <m/>
    <n v="0"/>
    <n v="1"/>
    <n v="806"/>
    <n v="1"/>
    <x v="2"/>
    <n v="1"/>
    <n v="2"/>
    <n v="76"/>
    <n v="1"/>
    <n v="1"/>
    <n v="4"/>
    <n v="2720"/>
    <n v="18959"/>
    <n v="1"/>
    <n v="18"/>
    <n v="3"/>
    <n v="4"/>
    <n v="80"/>
    <n v="1"/>
    <n v="10"/>
    <n v="3"/>
    <n v="10"/>
    <n v="7"/>
    <n v="2"/>
    <n v="8"/>
  </r>
  <r>
    <x v="1"/>
    <s v="Travel_Rarely"/>
    <x v="1"/>
    <s v="Current Employees"/>
    <x v="0"/>
    <x v="3"/>
    <x v="520"/>
    <n v="712"/>
    <x v="1"/>
    <x v="0"/>
    <x v="1"/>
    <s v="No"/>
    <s v="Y"/>
    <n v="3"/>
    <n v="-2"/>
    <n v="0"/>
    <n v="48"/>
    <n v="0"/>
    <m/>
    <n v="0"/>
    <n v="1"/>
    <n v="817"/>
    <n v="2"/>
    <x v="1"/>
    <n v="1"/>
    <n v="2"/>
    <n v="56"/>
    <n v="4"/>
    <n v="2"/>
    <n v="1"/>
    <n v="8120"/>
    <n v="18597"/>
    <n v="3"/>
    <n v="12"/>
    <n v="3"/>
    <n v="4"/>
    <n v="80"/>
    <n v="0"/>
    <n v="12"/>
    <n v="3"/>
    <n v="2"/>
    <n v="2"/>
    <n v="2"/>
    <n v="2"/>
  </r>
  <r>
    <x v="1"/>
    <s v="Travel_Frequently"/>
    <x v="2"/>
    <s v="Current Employees"/>
    <x v="0"/>
    <x v="2"/>
    <x v="521"/>
    <n v="714"/>
    <x v="0"/>
    <x v="0"/>
    <x v="2"/>
    <s v="Yes"/>
    <s v="Y"/>
    <n v="3"/>
    <n v="-2"/>
    <n v="0"/>
    <n v="27"/>
    <n v="0"/>
    <m/>
    <n v="0"/>
    <n v="1"/>
    <n v="1410"/>
    <n v="3"/>
    <x v="1"/>
    <n v="1"/>
    <n v="4"/>
    <n v="71"/>
    <n v="4"/>
    <n v="2"/>
    <n v="4"/>
    <n v="4647"/>
    <n v="16673"/>
    <n v="1"/>
    <n v="20"/>
    <n v="4"/>
    <n v="2"/>
    <n v="80"/>
    <n v="2"/>
    <n v="6"/>
    <n v="3"/>
    <n v="6"/>
    <n v="5"/>
    <n v="0"/>
    <n v="4"/>
  </r>
  <r>
    <x v="1"/>
    <s v="Travel_Rarely"/>
    <x v="0"/>
    <s v="Current Employees"/>
    <x v="1"/>
    <x v="0"/>
    <x v="522"/>
    <n v="715"/>
    <x v="1"/>
    <x v="1"/>
    <x v="0"/>
    <s v="No"/>
    <s v="Y"/>
    <n v="2"/>
    <n v="-2"/>
    <n v="0"/>
    <n v="37"/>
    <n v="0"/>
    <m/>
    <n v="0"/>
    <n v="1"/>
    <n v="1225"/>
    <n v="10"/>
    <x v="0"/>
    <n v="1"/>
    <n v="4"/>
    <n v="80"/>
    <n v="4"/>
    <n v="1"/>
    <n v="4"/>
    <n v="4680"/>
    <n v="15232"/>
    <n v="3"/>
    <n v="17"/>
    <n v="3"/>
    <n v="1"/>
    <n v="80"/>
    <n v="0"/>
    <n v="4"/>
    <n v="3"/>
    <n v="1"/>
    <n v="0"/>
    <n v="0"/>
    <n v="0"/>
  </r>
  <r>
    <x v="1"/>
    <s v="Travel_Rarely"/>
    <x v="1"/>
    <s v="Current Employees"/>
    <x v="1"/>
    <x v="2"/>
    <x v="523"/>
    <n v="716"/>
    <x v="1"/>
    <x v="2"/>
    <x v="1"/>
    <s v="Yes"/>
    <s v="Y"/>
    <n v="3"/>
    <n v="-2"/>
    <n v="0"/>
    <n v="50"/>
    <n v="0"/>
    <m/>
    <n v="0"/>
    <n v="1"/>
    <n v="1207"/>
    <n v="28"/>
    <x v="1"/>
    <n v="1"/>
    <n v="4"/>
    <n v="74"/>
    <n v="4"/>
    <n v="1"/>
    <n v="3"/>
    <n v="3221"/>
    <n v="3297"/>
    <n v="1"/>
    <n v="11"/>
    <n v="3"/>
    <n v="3"/>
    <n v="80"/>
    <n v="3"/>
    <n v="20"/>
    <n v="3"/>
    <n v="20"/>
    <n v="8"/>
    <n v="3"/>
    <n v="8"/>
  </r>
  <r>
    <x v="1"/>
    <s v="Travel_Rarely"/>
    <x v="2"/>
    <s v="Current Employees"/>
    <x v="1"/>
    <x v="2"/>
    <x v="524"/>
    <n v="717"/>
    <x v="0"/>
    <x v="4"/>
    <x v="0"/>
    <s v="No"/>
    <s v="Y"/>
    <n v="3"/>
    <n v="-2"/>
    <n v="0"/>
    <n v="34"/>
    <n v="0"/>
    <m/>
    <n v="0"/>
    <n v="1"/>
    <n v="1442"/>
    <n v="9"/>
    <x v="3"/>
    <n v="1"/>
    <n v="4"/>
    <n v="46"/>
    <n v="2"/>
    <n v="3"/>
    <n v="3"/>
    <n v="8621"/>
    <n v="17654"/>
    <n v="1"/>
    <n v="14"/>
    <n v="3"/>
    <n v="2"/>
    <n v="80"/>
    <n v="0"/>
    <n v="9"/>
    <n v="4"/>
    <n v="8"/>
    <n v="7"/>
    <n v="7"/>
    <n v="7"/>
  </r>
  <r>
    <x v="0"/>
    <s v="Travel_Rarely"/>
    <x v="4"/>
    <s v="Ex-Employees"/>
    <x v="0"/>
    <x v="0"/>
    <x v="525"/>
    <n v="720"/>
    <x v="0"/>
    <x v="0"/>
    <x v="0"/>
    <s v="No"/>
    <s v="Y"/>
    <n v="3"/>
    <n v="-2"/>
    <n v="0"/>
    <n v="24"/>
    <n v="1"/>
    <n v="1"/>
    <n v="1"/>
    <n v="0"/>
    <n v="693"/>
    <n v="3"/>
    <x v="0"/>
    <n v="1"/>
    <n v="1"/>
    <n v="65"/>
    <n v="3"/>
    <n v="2"/>
    <n v="3"/>
    <n v="4577"/>
    <n v="24785"/>
    <n v="9"/>
    <n v="14"/>
    <n v="3"/>
    <n v="1"/>
    <n v="80"/>
    <n v="0"/>
    <n v="4"/>
    <n v="3"/>
    <n v="2"/>
    <n v="2"/>
    <n v="2"/>
    <n v="0"/>
  </r>
  <r>
    <x v="1"/>
    <s v="Travel_Rarely"/>
    <x v="0"/>
    <s v="Current Employees"/>
    <x v="1"/>
    <x v="4"/>
    <x v="526"/>
    <n v="721"/>
    <x v="0"/>
    <x v="4"/>
    <x v="0"/>
    <s v="No"/>
    <s v="Y"/>
    <n v="4"/>
    <n v="-2"/>
    <n v="0"/>
    <n v="39"/>
    <n v="0"/>
    <m/>
    <n v="0"/>
    <n v="1"/>
    <n v="408"/>
    <n v="2"/>
    <x v="2"/>
    <n v="1"/>
    <n v="4"/>
    <n v="80"/>
    <n v="2"/>
    <n v="2"/>
    <n v="4"/>
    <n v="4553"/>
    <n v="20978"/>
    <n v="1"/>
    <n v="11"/>
    <n v="3"/>
    <n v="1"/>
    <n v="80"/>
    <n v="0"/>
    <n v="20"/>
    <n v="3"/>
    <n v="20"/>
    <n v="7"/>
    <n v="11"/>
    <n v="10"/>
  </r>
  <r>
    <x v="1"/>
    <s v="Travel_Rarely"/>
    <x v="2"/>
    <s v="Current Employees"/>
    <x v="0"/>
    <x v="3"/>
    <x v="527"/>
    <n v="722"/>
    <x v="1"/>
    <x v="0"/>
    <x v="0"/>
    <s v="No"/>
    <s v="Y"/>
    <n v="2"/>
    <n v="-2"/>
    <n v="0"/>
    <n v="32"/>
    <n v="0"/>
    <m/>
    <n v="0"/>
    <n v="1"/>
    <n v="929"/>
    <n v="10"/>
    <x v="3"/>
    <n v="1"/>
    <n v="4"/>
    <n v="55"/>
    <n v="3"/>
    <n v="2"/>
    <n v="1"/>
    <n v="5396"/>
    <n v="21703"/>
    <n v="1"/>
    <n v="12"/>
    <n v="3"/>
    <n v="4"/>
    <n v="80"/>
    <n v="0"/>
    <n v="10"/>
    <n v="2"/>
    <n v="10"/>
    <n v="7"/>
    <n v="0"/>
    <n v="8"/>
  </r>
  <r>
    <x v="0"/>
    <s v="Travel_Frequently"/>
    <x v="1"/>
    <s v="Ex-Employees"/>
    <x v="0"/>
    <x v="4"/>
    <x v="528"/>
    <n v="723"/>
    <x v="1"/>
    <x v="0"/>
    <x v="1"/>
    <s v="Yes"/>
    <s v="Y"/>
    <n v="4"/>
    <n v="-2"/>
    <n v="0"/>
    <n v="50"/>
    <n v="1"/>
    <n v="1"/>
    <n v="1"/>
    <n v="0"/>
    <n v="562"/>
    <n v="8"/>
    <x v="0"/>
    <n v="1"/>
    <n v="4"/>
    <n v="50"/>
    <n v="3"/>
    <n v="2"/>
    <n v="4"/>
    <n v="6796"/>
    <n v="23452"/>
    <n v="3"/>
    <n v="14"/>
    <n v="3"/>
    <n v="1"/>
    <n v="80"/>
    <n v="1"/>
    <n v="18"/>
    <n v="3"/>
    <n v="4"/>
    <n v="3"/>
    <n v="1"/>
    <n v="3"/>
  </r>
  <r>
    <x v="1"/>
    <s v="Travel_Rarely"/>
    <x v="0"/>
    <s v="Current Employees"/>
    <x v="1"/>
    <x v="0"/>
    <x v="529"/>
    <n v="724"/>
    <x v="0"/>
    <x v="4"/>
    <x v="0"/>
    <s v="No"/>
    <s v="Y"/>
    <n v="4"/>
    <n v="-2"/>
    <n v="0"/>
    <n v="38"/>
    <n v="0"/>
    <m/>
    <n v="0"/>
    <n v="1"/>
    <n v="827"/>
    <n v="1"/>
    <x v="2"/>
    <n v="1"/>
    <n v="2"/>
    <n v="33"/>
    <n v="4"/>
    <n v="2"/>
    <n v="4"/>
    <n v="7625"/>
    <n v="19383"/>
    <n v="0"/>
    <n v="13"/>
    <n v="3"/>
    <n v="3"/>
    <n v="80"/>
    <n v="0"/>
    <n v="10"/>
    <n v="2"/>
    <n v="9"/>
    <n v="7"/>
    <n v="1"/>
    <n v="8"/>
  </r>
  <r>
    <x v="1"/>
    <s v="Travel_Rarely"/>
    <x v="2"/>
    <s v="Current Employees"/>
    <x v="1"/>
    <x v="0"/>
    <x v="530"/>
    <n v="725"/>
    <x v="0"/>
    <x v="3"/>
    <x v="1"/>
    <s v="No"/>
    <s v="Y"/>
    <n v="3"/>
    <n v="-2"/>
    <n v="0"/>
    <n v="27"/>
    <n v="0"/>
    <m/>
    <n v="0"/>
    <n v="1"/>
    <n v="608"/>
    <n v="1"/>
    <x v="0"/>
    <n v="1"/>
    <n v="3"/>
    <n v="68"/>
    <n v="3"/>
    <n v="3"/>
    <n v="3"/>
    <n v="7412"/>
    <n v="6009"/>
    <n v="1"/>
    <n v="11"/>
    <n v="3"/>
    <n v="4"/>
    <n v="80"/>
    <n v="0"/>
    <n v="9"/>
    <n v="3"/>
    <n v="9"/>
    <n v="7"/>
    <n v="0"/>
    <n v="7"/>
  </r>
  <r>
    <x v="1"/>
    <s v="Travel_Rarely"/>
    <x v="2"/>
    <s v="Current Employees"/>
    <x v="1"/>
    <x v="0"/>
    <x v="531"/>
    <n v="727"/>
    <x v="0"/>
    <x v="7"/>
    <x v="0"/>
    <s v="No"/>
    <s v="Y"/>
    <n v="6"/>
    <n v="-2"/>
    <n v="0"/>
    <n v="32"/>
    <n v="0"/>
    <m/>
    <n v="0"/>
    <n v="1"/>
    <n v="1018"/>
    <n v="3"/>
    <x v="0"/>
    <n v="1"/>
    <n v="3"/>
    <n v="39"/>
    <n v="3"/>
    <n v="3"/>
    <n v="4"/>
    <n v="11159"/>
    <n v="19373"/>
    <n v="3"/>
    <n v="15"/>
    <n v="3"/>
    <n v="4"/>
    <n v="80"/>
    <n v="0"/>
    <n v="10"/>
    <n v="3"/>
    <n v="7"/>
    <n v="7"/>
    <n v="7"/>
    <n v="7"/>
  </r>
  <r>
    <x v="1"/>
    <s v="Travel_Rarely"/>
    <x v="1"/>
    <s v="Current Employees"/>
    <x v="0"/>
    <x v="3"/>
    <x v="532"/>
    <n v="728"/>
    <x v="1"/>
    <x v="0"/>
    <x v="0"/>
    <s v="No"/>
    <s v="Y"/>
    <n v="2"/>
    <n v="-2"/>
    <n v="0"/>
    <n v="47"/>
    <n v="0"/>
    <m/>
    <n v="0"/>
    <n v="1"/>
    <n v="703"/>
    <n v="14"/>
    <x v="2"/>
    <n v="1"/>
    <n v="4"/>
    <n v="42"/>
    <n v="3"/>
    <n v="2"/>
    <n v="1"/>
    <n v="4960"/>
    <n v="11825"/>
    <n v="2"/>
    <n v="12"/>
    <n v="3"/>
    <n v="4"/>
    <n v="80"/>
    <n v="0"/>
    <n v="20"/>
    <n v="3"/>
    <n v="7"/>
    <n v="7"/>
    <n v="1"/>
    <n v="7"/>
  </r>
  <r>
    <x v="1"/>
    <s v="Travel_Frequently"/>
    <x v="0"/>
    <s v="Current Employees"/>
    <x v="0"/>
    <x v="0"/>
    <x v="533"/>
    <n v="729"/>
    <x v="1"/>
    <x v="0"/>
    <x v="1"/>
    <s v="Yes"/>
    <s v="Y"/>
    <n v="2"/>
    <n v="-2"/>
    <n v="0"/>
    <n v="40"/>
    <n v="0"/>
    <m/>
    <n v="0"/>
    <n v="1"/>
    <n v="580"/>
    <n v="5"/>
    <x v="2"/>
    <n v="1"/>
    <n v="4"/>
    <n v="48"/>
    <n v="2"/>
    <n v="3"/>
    <n v="3"/>
    <n v="10475"/>
    <n v="23772"/>
    <n v="5"/>
    <n v="21"/>
    <n v="4"/>
    <n v="3"/>
    <n v="80"/>
    <n v="1"/>
    <n v="20"/>
    <n v="3"/>
    <n v="18"/>
    <n v="13"/>
    <n v="1"/>
    <n v="12"/>
  </r>
  <r>
    <x v="1"/>
    <s v="Travel_Rarely"/>
    <x v="1"/>
    <s v="Current Employees"/>
    <x v="1"/>
    <x v="0"/>
    <x v="534"/>
    <n v="730"/>
    <x v="1"/>
    <x v="7"/>
    <x v="1"/>
    <s v="No"/>
    <s v="Y"/>
    <n v="3"/>
    <n v="-2"/>
    <n v="0"/>
    <n v="53"/>
    <n v="0"/>
    <m/>
    <n v="0"/>
    <n v="1"/>
    <n v="970"/>
    <n v="7"/>
    <x v="3"/>
    <n v="1"/>
    <n v="3"/>
    <n v="59"/>
    <n v="4"/>
    <n v="4"/>
    <n v="3"/>
    <n v="14814"/>
    <n v="13514"/>
    <n v="3"/>
    <n v="19"/>
    <n v="3"/>
    <n v="3"/>
    <n v="80"/>
    <n v="0"/>
    <n v="32"/>
    <n v="3"/>
    <n v="5"/>
    <n v="1"/>
    <n v="1"/>
    <n v="3"/>
  </r>
  <r>
    <x v="1"/>
    <s v="Travel_Rarely"/>
    <x v="0"/>
    <s v="Current Employees"/>
    <x v="2"/>
    <x v="5"/>
    <x v="535"/>
    <n v="731"/>
    <x v="1"/>
    <x v="5"/>
    <x v="2"/>
    <s v="No"/>
    <s v="Y"/>
    <n v="2"/>
    <n v="-2"/>
    <n v="0"/>
    <n v="41"/>
    <n v="0"/>
    <m/>
    <n v="0"/>
    <n v="1"/>
    <n v="427"/>
    <n v="10"/>
    <x v="2"/>
    <n v="1"/>
    <n v="2"/>
    <n v="73"/>
    <n v="2"/>
    <n v="5"/>
    <n v="4"/>
    <n v="19141"/>
    <n v="8861"/>
    <n v="3"/>
    <n v="15"/>
    <n v="3"/>
    <n v="2"/>
    <n v="80"/>
    <n v="3"/>
    <n v="23"/>
    <n v="2"/>
    <n v="21"/>
    <n v="6"/>
    <n v="12"/>
    <n v="6"/>
  </r>
  <r>
    <x v="1"/>
    <s v="Travel_Rarely"/>
    <x v="3"/>
    <s v="Current Employees"/>
    <x v="0"/>
    <x v="3"/>
    <x v="536"/>
    <n v="732"/>
    <x v="1"/>
    <x v="0"/>
    <x v="0"/>
    <s v="No"/>
    <s v="Y"/>
    <n v="1"/>
    <n v="-2"/>
    <n v="0"/>
    <n v="60"/>
    <n v="0"/>
    <m/>
    <n v="0"/>
    <n v="1"/>
    <n v="1179"/>
    <n v="16"/>
    <x v="2"/>
    <n v="1"/>
    <n v="1"/>
    <n v="84"/>
    <n v="3"/>
    <n v="2"/>
    <n v="1"/>
    <n v="5405"/>
    <n v="11924"/>
    <n v="8"/>
    <n v="14"/>
    <n v="3"/>
    <n v="4"/>
    <n v="80"/>
    <n v="0"/>
    <n v="10"/>
    <n v="3"/>
    <n v="2"/>
    <n v="2"/>
    <n v="2"/>
    <n v="2"/>
  </r>
  <r>
    <x v="1"/>
    <s v="Travel_Frequently"/>
    <x v="2"/>
    <s v="Current Employees"/>
    <x v="1"/>
    <x v="0"/>
    <x v="537"/>
    <n v="733"/>
    <x v="1"/>
    <x v="3"/>
    <x v="2"/>
    <s v="No"/>
    <s v="Y"/>
    <n v="4"/>
    <n v="-2"/>
    <n v="0"/>
    <n v="27"/>
    <n v="0"/>
    <m/>
    <n v="0"/>
    <n v="1"/>
    <n v="294"/>
    <n v="10"/>
    <x v="0"/>
    <n v="1"/>
    <n v="4"/>
    <n v="32"/>
    <n v="3"/>
    <n v="3"/>
    <n v="3"/>
    <n v="8793"/>
    <n v="4809"/>
    <n v="1"/>
    <n v="21"/>
    <n v="4"/>
    <n v="3"/>
    <n v="80"/>
    <n v="2"/>
    <n v="9"/>
    <n v="2"/>
    <n v="9"/>
    <n v="7"/>
    <n v="1"/>
    <n v="7"/>
  </r>
  <r>
    <x v="1"/>
    <s v="Travel_Rarely"/>
    <x v="0"/>
    <s v="Current Employees"/>
    <x v="2"/>
    <x v="5"/>
    <x v="538"/>
    <n v="734"/>
    <x v="1"/>
    <x v="5"/>
    <x v="1"/>
    <s v="No"/>
    <s v="Y"/>
    <n v="3"/>
    <n v="-2"/>
    <n v="0"/>
    <n v="41"/>
    <n v="0"/>
    <m/>
    <n v="0"/>
    <n v="1"/>
    <n v="314"/>
    <n v="1"/>
    <x v="3"/>
    <n v="1"/>
    <n v="4"/>
    <n v="59"/>
    <n v="2"/>
    <n v="5"/>
    <n v="3"/>
    <n v="19189"/>
    <n v="19562"/>
    <n v="1"/>
    <n v="12"/>
    <n v="3"/>
    <n v="2"/>
    <n v="80"/>
    <n v="1"/>
    <n v="22"/>
    <n v="3"/>
    <n v="22"/>
    <n v="7"/>
    <n v="2"/>
    <n v="10"/>
  </r>
  <r>
    <x v="1"/>
    <s v="Travel_Rarely"/>
    <x v="1"/>
    <s v="Current Employees"/>
    <x v="0"/>
    <x v="3"/>
    <x v="539"/>
    <n v="738"/>
    <x v="1"/>
    <x v="6"/>
    <x v="1"/>
    <s v="No"/>
    <s v="Y"/>
    <n v="2"/>
    <n v="-2"/>
    <n v="0"/>
    <n v="50"/>
    <n v="0"/>
    <m/>
    <n v="0"/>
    <n v="1"/>
    <n v="316"/>
    <n v="8"/>
    <x v="2"/>
    <n v="1"/>
    <n v="4"/>
    <n v="54"/>
    <n v="3"/>
    <n v="1"/>
    <n v="1"/>
    <n v="3875"/>
    <n v="9983"/>
    <n v="7"/>
    <n v="15"/>
    <n v="3"/>
    <n v="4"/>
    <n v="80"/>
    <n v="1"/>
    <n v="4"/>
    <n v="3"/>
    <n v="2"/>
    <n v="2"/>
    <n v="2"/>
    <n v="2"/>
  </r>
  <r>
    <x v="0"/>
    <s v="Travel_Rarely"/>
    <x v="2"/>
    <s v="Ex-Employees"/>
    <x v="1"/>
    <x v="0"/>
    <x v="540"/>
    <n v="741"/>
    <x v="0"/>
    <x v="1"/>
    <x v="0"/>
    <s v="Yes"/>
    <s v="Y"/>
    <n v="4"/>
    <n v="-2"/>
    <n v="0"/>
    <n v="28"/>
    <n v="1"/>
    <n v="1"/>
    <n v="1"/>
    <n v="0"/>
    <n v="654"/>
    <n v="1"/>
    <x v="0"/>
    <n v="1"/>
    <n v="1"/>
    <n v="67"/>
    <n v="1"/>
    <n v="1"/>
    <n v="3"/>
    <n v="2216"/>
    <n v="3872"/>
    <n v="7"/>
    <n v="13"/>
    <n v="3"/>
    <n v="4"/>
    <n v="80"/>
    <n v="0"/>
    <n v="10"/>
    <n v="3"/>
    <n v="7"/>
    <n v="7"/>
    <n v="3"/>
    <n v="7"/>
  </r>
  <r>
    <x v="1"/>
    <s v="Non-Travel"/>
    <x v="0"/>
    <s v="Current Employees"/>
    <x v="1"/>
    <x v="0"/>
    <x v="541"/>
    <n v="742"/>
    <x v="0"/>
    <x v="7"/>
    <x v="1"/>
    <s v="No"/>
    <s v="Y"/>
    <n v="2"/>
    <n v="-2"/>
    <n v="0"/>
    <n v="36"/>
    <n v="0"/>
    <m/>
    <n v="0"/>
    <n v="1"/>
    <n v="427"/>
    <n v="8"/>
    <x v="3"/>
    <n v="1"/>
    <n v="1"/>
    <n v="63"/>
    <n v="4"/>
    <n v="3"/>
    <n v="3"/>
    <n v="11713"/>
    <n v="20335"/>
    <n v="9"/>
    <n v="14"/>
    <n v="3"/>
    <n v="1"/>
    <n v="80"/>
    <n v="1"/>
    <n v="10"/>
    <n v="3"/>
    <n v="8"/>
    <n v="7"/>
    <n v="0"/>
    <n v="5"/>
  </r>
  <r>
    <x v="1"/>
    <s v="Travel_Rarely"/>
    <x v="0"/>
    <s v="Current Employees"/>
    <x v="1"/>
    <x v="0"/>
    <x v="542"/>
    <n v="743"/>
    <x v="0"/>
    <x v="3"/>
    <x v="0"/>
    <s v="Yes"/>
    <s v="Y"/>
    <n v="4"/>
    <n v="-2"/>
    <n v="0"/>
    <n v="38"/>
    <n v="0"/>
    <m/>
    <n v="0"/>
    <n v="1"/>
    <n v="168"/>
    <n v="1"/>
    <x v="3"/>
    <n v="1"/>
    <n v="3"/>
    <n v="81"/>
    <n v="3"/>
    <n v="3"/>
    <n v="3"/>
    <n v="7861"/>
    <n v="15397"/>
    <n v="4"/>
    <n v="14"/>
    <n v="3"/>
    <n v="4"/>
    <n v="80"/>
    <n v="0"/>
    <n v="10"/>
    <n v="4"/>
    <n v="1"/>
    <n v="0"/>
    <n v="0"/>
    <n v="0"/>
  </r>
  <r>
    <x v="1"/>
    <s v="Non-Travel"/>
    <x v="0"/>
    <s v="Current Employees"/>
    <x v="1"/>
    <x v="2"/>
    <x v="543"/>
    <n v="744"/>
    <x v="1"/>
    <x v="2"/>
    <x v="0"/>
    <s v="No"/>
    <s v="Y"/>
    <n v="5"/>
    <n v="-2"/>
    <n v="0"/>
    <n v="44"/>
    <n v="0"/>
    <m/>
    <n v="0"/>
    <n v="1"/>
    <n v="381"/>
    <n v="24"/>
    <x v="3"/>
    <n v="1"/>
    <n v="1"/>
    <n v="49"/>
    <n v="1"/>
    <n v="1"/>
    <n v="3"/>
    <n v="3708"/>
    <n v="2104"/>
    <n v="2"/>
    <n v="14"/>
    <n v="3"/>
    <n v="3"/>
    <n v="80"/>
    <n v="0"/>
    <n v="9"/>
    <n v="3"/>
    <n v="5"/>
    <n v="2"/>
    <n v="1"/>
    <n v="4"/>
  </r>
  <r>
    <x v="1"/>
    <s v="Travel_Frequently"/>
    <x v="1"/>
    <s v="Current Employees"/>
    <x v="0"/>
    <x v="2"/>
    <x v="544"/>
    <n v="746"/>
    <x v="0"/>
    <x v="0"/>
    <x v="2"/>
    <s v="Yes"/>
    <s v="Y"/>
    <n v="2"/>
    <n v="-2"/>
    <n v="0"/>
    <n v="47"/>
    <n v="0"/>
    <m/>
    <n v="0"/>
    <n v="1"/>
    <n v="217"/>
    <n v="3"/>
    <x v="3"/>
    <n v="1"/>
    <n v="4"/>
    <n v="49"/>
    <n v="3"/>
    <n v="4"/>
    <n v="3"/>
    <n v="13770"/>
    <n v="10225"/>
    <n v="9"/>
    <n v="12"/>
    <n v="3"/>
    <n v="4"/>
    <n v="80"/>
    <n v="2"/>
    <n v="28"/>
    <n v="2"/>
    <n v="22"/>
    <n v="2"/>
    <n v="11"/>
    <n v="13"/>
  </r>
  <r>
    <x v="1"/>
    <s v="Travel_Rarely"/>
    <x v="2"/>
    <s v="Current Employees"/>
    <x v="0"/>
    <x v="3"/>
    <x v="545"/>
    <n v="747"/>
    <x v="1"/>
    <x v="0"/>
    <x v="2"/>
    <s v="No"/>
    <s v="Y"/>
    <n v="2"/>
    <n v="-2"/>
    <n v="0"/>
    <n v="30"/>
    <n v="0"/>
    <m/>
    <n v="0"/>
    <n v="1"/>
    <n v="501"/>
    <n v="27"/>
    <x v="4"/>
    <n v="1"/>
    <n v="3"/>
    <n v="99"/>
    <n v="3"/>
    <n v="2"/>
    <n v="1"/>
    <n v="5304"/>
    <n v="25275"/>
    <n v="7"/>
    <n v="23"/>
    <n v="4"/>
    <n v="4"/>
    <n v="80"/>
    <n v="1"/>
    <n v="10"/>
    <n v="2"/>
    <n v="8"/>
    <n v="7"/>
    <n v="7"/>
    <n v="7"/>
  </r>
  <r>
    <x v="1"/>
    <s v="Travel_Rarely"/>
    <x v="2"/>
    <s v="Current Employees"/>
    <x v="0"/>
    <x v="0"/>
    <x v="546"/>
    <n v="749"/>
    <x v="1"/>
    <x v="6"/>
    <x v="0"/>
    <s v="No"/>
    <s v="Y"/>
    <n v="6"/>
    <n v="-2"/>
    <n v="0"/>
    <n v="29"/>
    <n v="0"/>
    <m/>
    <n v="0"/>
    <n v="1"/>
    <n v="1396"/>
    <n v="10"/>
    <x v="3"/>
    <n v="1"/>
    <n v="3"/>
    <n v="99"/>
    <n v="3"/>
    <n v="1"/>
    <n v="3"/>
    <n v="2642"/>
    <n v="2755"/>
    <n v="1"/>
    <n v="11"/>
    <n v="3"/>
    <n v="3"/>
    <n v="80"/>
    <n v="0"/>
    <n v="1"/>
    <n v="3"/>
    <n v="1"/>
    <n v="0"/>
    <n v="0"/>
    <n v="0"/>
  </r>
  <r>
    <x v="0"/>
    <s v="Travel_Frequently"/>
    <x v="0"/>
    <s v="Ex-Employees"/>
    <x v="1"/>
    <x v="2"/>
    <x v="547"/>
    <n v="752"/>
    <x v="1"/>
    <x v="1"/>
    <x v="2"/>
    <s v="Yes"/>
    <s v="Y"/>
    <n v="2"/>
    <n v="-2"/>
    <n v="0"/>
    <n v="42"/>
    <n v="1"/>
    <n v="1"/>
    <n v="1"/>
    <n v="0"/>
    <n v="933"/>
    <n v="19"/>
    <x v="3"/>
    <n v="1"/>
    <n v="3"/>
    <n v="57"/>
    <n v="4"/>
    <n v="1"/>
    <n v="3"/>
    <n v="2759"/>
    <n v="20366"/>
    <n v="6"/>
    <n v="12"/>
    <n v="3"/>
    <n v="4"/>
    <n v="80"/>
    <n v="0"/>
    <n v="7"/>
    <n v="3"/>
    <n v="2"/>
    <n v="2"/>
    <n v="2"/>
    <n v="2"/>
  </r>
  <r>
    <x v="1"/>
    <s v="Travel_Frequently"/>
    <x v="0"/>
    <s v="Current Employees"/>
    <x v="0"/>
    <x v="0"/>
    <x v="548"/>
    <n v="754"/>
    <x v="1"/>
    <x v="0"/>
    <x v="1"/>
    <s v="No"/>
    <s v="Y"/>
    <n v="5"/>
    <n v="-2"/>
    <n v="0"/>
    <n v="43"/>
    <n v="0"/>
    <m/>
    <n v="0"/>
    <n v="1"/>
    <n v="775"/>
    <n v="15"/>
    <x v="3"/>
    <n v="1"/>
    <n v="4"/>
    <n v="47"/>
    <n v="2"/>
    <n v="2"/>
    <n v="4"/>
    <n v="6804"/>
    <n v="23683"/>
    <n v="3"/>
    <n v="18"/>
    <n v="3"/>
    <n v="3"/>
    <n v="80"/>
    <n v="1"/>
    <n v="7"/>
    <n v="3"/>
    <n v="2"/>
    <n v="2"/>
    <n v="2"/>
    <n v="2"/>
  </r>
  <r>
    <x v="1"/>
    <s v="Travel_Rarely"/>
    <x v="2"/>
    <s v="Current Employees"/>
    <x v="1"/>
    <x v="2"/>
    <x v="549"/>
    <n v="757"/>
    <x v="0"/>
    <x v="4"/>
    <x v="0"/>
    <s v="No"/>
    <s v="Y"/>
    <n v="2"/>
    <n v="-2"/>
    <n v="0"/>
    <n v="34"/>
    <n v="0"/>
    <m/>
    <n v="0"/>
    <n v="1"/>
    <n v="970"/>
    <n v="8"/>
    <x v="0"/>
    <n v="1"/>
    <n v="2"/>
    <n v="96"/>
    <n v="3"/>
    <n v="2"/>
    <n v="3"/>
    <n v="6142"/>
    <n v="7360"/>
    <n v="3"/>
    <n v="11"/>
    <n v="3"/>
    <n v="4"/>
    <n v="80"/>
    <n v="0"/>
    <n v="10"/>
    <n v="3"/>
    <n v="5"/>
    <n v="1"/>
    <n v="4"/>
    <n v="3"/>
  </r>
  <r>
    <x v="1"/>
    <s v="Travel_Rarely"/>
    <x v="4"/>
    <s v="Current Employees"/>
    <x v="1"/>
    <x v="2"/>
    <x v="550"/>
    <n v="758"/>
    <x v="1"/>
    <x v="2"/>
    <x v="1"/>
    <s v="No"/>
    <s v="Y"/>
    <n v="2"/>
    <n v="-2"/>
    <n v="0"/>
    <n v="23"/>
    <n v="0"/>
    <m/>
    <n v="0"/>
    <n v="1"/>
    <n v="650"/>
    <n v="9"/>
    <x v="1"/>
    <n v="1"/>
    <n v="2"/>
    <n v="37"/>
    <n v="3"/>
    <n v="1"/>
    <n v="3"/>
    <n v="2500"/>
    <n v="4344"/>
    <n v="1"/>
    <n v="14"/>
    <n v="3"/>
    <n v="4"/>
    <n v="80"/>
    <n v="1"/>
    <n v="5"/>
    <n v="4"/>
    <n v="4"/>
    <n v="3"/>
    <n v="0"/>
    <n v="2"/>
  </r>
  <r>
    <x v="1"/>
    <s v="Travel_Rarely"/>
    <x v="0"/>
    <s v="Current Employees"/>
    <x v="2"/>
    <x v="5"/>
    <x v="551"/>
    <n v="760"/>
    <x v="0"/>
    <x v="8"/>
    <x v="1"/>
    <s v="No"/>
    <s v="Y"/>
    <n v="3"/>
    <n v="-2"/>
    <n v="0"/>
    <n v="39"/>
    <n v="0"/>
    <m/>
    <n v="0"/>
    <n v="1"/>
    <n v="141"/>
    <n v="3"/>
    <x v="3"/>
    <n v="1"/>
    <n v="3"/>
    <n v="44"/>
    <n v="4"/>
    <n v="2"/>
    <n v="3"/>
    <n v="6389"/>
    <n v="18767"/>
    <n v="9"/>
    <n v="15"/>
    <n v="3"/>
    <n v="3"/>
    <n v="80"/>
    <n v="1"/>
    <n v="12"/>
    <n v="1"/>
    <n v="8"/>
    <n v="3"/>
    <n v="3"/>
    <n v="6"/>
  </r>
  <r>
    <x v="1"/>
    <s v="Travel_Rarely"/>
    <x v="3"/>
    <s v="Current Employees"/>
    <x v="1"/>
    <x v="2"/>
    <x v="552"/>
    <n v="762"/>
    <x v="1"/>
    <x v="4"/>
    <x v="1"/>
    <s v="No"/>
    <s v="Y"/>
    <n v="1"/>
    <n v="-2"/>
    <n v="0"/>
    <n v="56"/>
    <n v="0"/>
    <m/>
    <n v="0"/>
    <n v="1"/>
    <n v="832"/>
    <n v="9"/>
    <x v="3"/>
    <n v="1"/>
    <n v="3"/>
    <n v="81"/>
    <n v="3"/>
    <n v="4"/>
    <n v="4"/>
    <n v="11103"/>
    <n v="20420"/>
    <n v="7"/>
    <n v="11"/>
    <n v="3"/>
    <n v="3"/>
    <n v="80"/>
    <n v="0"/>
    <n v="30"/>
    <n v="2"/>
    <n v="10"/>
    <n v="7"/>
    <n v="1"/>
    <n v="1"/>
  </r>
  <r>
    <x v="1"/>
    <s v="Travel_Rarely"/>
    <x v="0"/>
    <s v="Current Employees"/>
    <x v="1"/>
    <x v="2"/>
    <x v="553"/>
    <n v="763"/>
    <x v="0"/>
    <x v="1"/>
    <x v="0"/>
    <s v="Yes"/>
    <s v="Y"/>
    <n v="2"/>
    <n v="-2"/>
    <n v="0"/>
    <n v="40"/>
    <n v="0"/>
    <m/>
    <n v="0"/>
    <n v="1"/>
    <n v="804"/>
    <n v="2"/>
    <x v="1"/>
    <n v="1"/>
    <n v="4"/>
    <n v="86"/>
    <n v="2"/>
    <n v="1"/>
    <n v="4"/>
    <n v="2342"/>
    <n v="22929"/>
    <n v="0"/>
    <n v="20"/>
    <n v="4"/>
    <n v="4"/>
    <n v="80"/>
    <n v="0"/>
    <n v="5"/>
    <n v="2"/>
    <n v="4"/>
    <n v="2"/>
    <n v="2"/>
    <n v="3"/>
  </r>
  <r>
    <x v="1"/>
    <s v="Travel_Rarely"/>
    <x v="2"/>
    <s v="Current Employees"/>
    <x v="1"/>
    <x v="2"/>
    <x v="554"/>
    <n v="764"/>
    <x v="0"/>
    <x v="4"/>
    <x v="0"/>
    <s v="No"/>
    <s v="Y"/>
    <n v="2"/>
    <n v="-2"/>
    <n v="0"/>
    <n v="27"/>
    <n v="0"/>
    <m/>
    <n v="0"/>
    <n v="1"/>
    <n v="975"/>
    <n v="7"/>
    <x v="3"/>
    <n v="1"/>
    <n v="4"/>
    <n v="55"/>
    <n v="2"/>
    <n v="2"/>
    <n v="3"/>
    <n v="6811"/>
    <n v="23398"/>
    <n v="8"/>
    <n v="19"/>
    <n v="3"/>
    <n v="1"/>
    <n v="80"/>
    <n v="0"/>
    <n v="9"/>
    <n v="1"/>
    <n v="7"/>
    <n v="6"/>
    <n v="0"/>
    <n v="7"/>
  </r>
  <r>
    <x v="1"/>
    <s v="Travel_Rarely"/>
    <x v="2"/>
    <s v="Current Employees"/>
    <x v="0"/>
    <x v="3"/>
    <x v="555"/>
    <n v="766"/>
    <x v="1"/>
    <x v="6"/>
    <x v="2"/>
    <s v="No"/>
    <s v="Y"/>
    <n v="2"/>
    <n v="-2"/>
    <n v="0"/>
    <n v="29"/>
    <n v="0"/>
    <m/>
    <n v="0"/>
    <n v="1"/>
    <n v="1090"/>
    <n v="10"/>
    <x v="3"/>
    <n v="1"/>
    <n v="4"/>
    <n v="83"/>
    <n v="3"/>
    <n v="1"/>
    <n v="2"/>
    <n v="2297"/>
    <n v="17967"/>
    <n v="1"/>
    <n v="14"/>
    <n v="3"/>
    <n v="4"/>
    <n v="80"/>
    <n v="2"/>
    <n v="2"/>
    <n v="3"/>
    <n v="2"/>
    <n v="2"/>
    <n v="2"/>
    <n v="2"/>
  </r>
  <r>
    <x v="1"/>
    <s v="Travel_Rarely"/>
    <x v="1"/>
    <s v="Current Employees"/>
    <x v="1"/>
    <x v="0"/>
    <x v="556"/>
    <n v="769"/>
    <x v="1"/>
    <x v="2"/>
    <x v="0"/>
    <s v="No"/>
    <s v="Y"/>
    <n v="4"/>
    <n v="-2"/>
    <n v="0"/>
    <n v="53"/>
    <n v="0"/>
    <m/>
    <n v="0"/>
    <n v="1"/>
    <n v="346"/>
    <n v="6"/>
    <x v="3"/>
    <n v="1"/>
    <n v="4"/>
    <n v="86"/>
    <n v="3"/>
    <n v="2"/>
    <n v="4"/>
    <n v="2450"/>
    <n v="10919"/>
    <n v="2"/>
    <n v="17"/>
    <n v="3"/>
    <n v="4"/>
    <n v="80"/>
    <n v="0"/>
    <n v="19"/>
    <n v="3"/>
    <n v="2"/>
    <n v="2"/>
    <n v="2"/>
    <n v="2"/>
  </r>
  <r>
    <x v="1"/>
    <s v="Non-Travel"/>
    <x v="0"/>
    <s v="Current Employees"/>
    <x v="1"/>
    <x v="0"/>
    <x v="557"/>
    <n v="771"/>
    <x v="0"/>
    <x v="4"/>
    <x v="2"/>
    <s v="No"/>
    <s v="Y"/>
    <n v="2"/>
    <n v="-2"/>
    <n v="0"/>
    <n v="35"/>
    <n v="0"/>
    <m/>
    <n v="0"/>
    <n v="1"/>
    <n v="1225"/>
    <n v="2"/>
    <x v="2"/>
    <n v="1"/>
    <n v="4"/>
    <n v="61"/>
    <n v="3"/>
    <n v="2"/>
    <n v="1"/>
    <n v="5093"/>
    <n v="4761"/>
    <n v="2"/>
    <n v="11"/>
    <n v="3"/>
    <n v="1"/>
    <n v="80"/>
    <n v="1"/>
    <n v="16"/>
    <n v="4"/>
    <n v="1"/>
    <n v="0"/>
    <n v="0"/>
    <n v="0"/>
  </r>
  <r>
    <x v="1"/>
    <s v="Travel_Frequently"/>
    <x v="2"/>
    <s v="Current Employees"/>
    <x v="1"/>
    <x v="0"/>
    <x v="558"/>
    <n v="772"/>
    <x v="1"/>
    <x v="2"/>
    <x v="1"/>
    <s v="No"/>
    <s v="Y"/>
    <n v="2"/>
    <n v="-2"/>
    <n v="0"/>
    <n v="32"/>
    <n v="0"/>
    <m/>
    <n v="0"/>
    <n v="1"/>
    <n v="430"/>
    <n v="24"/>
    <x v="2"/>
    <n v="1"/>
    <n v="1"/>
    <n v="80"/>
    <n v="3"/>
    <n v="2"/>
    <n v="1"/>
    <n v="5309"/>
    <n v="21146"/>
    <n v="1"/>
    <n v="15"/>
    <n v="3"/>
    <n v="4"/>
    <n v="80"/>
    <n v="2"/>
    <n v="10"/>
    <n v="3"/>
    <n v="10"/>
    <n v="8"/>
    <n v="4"/>
    <n v="7"/>
  </r>
  <r>
    <x v="1"/>
    <s v="Travel_Rarely"/>
    <x v="0"/>
    <s v="Current Employees"/>
    <x v="1"/>
    <x v="2"/>
    <x v="559"/>
    <n v="773"/>
    <x v="1"/>
    <x v="1"/>
    <x v="1"/>
    <s v="Yes"/>
    <s v="Y"/>
    <n v="0"/>
    <n v="-2"/>
    <n v="0"/>
    <n v="38"/>
    <n v="0"/>
    <m/>
    <n v="0"/>
    <n v="1"/>
    <n v="268"/>
    <n v="2"/>
    <x v="4"/>
    <n v="1"/>
    <n v="4"/>
    <n v="92"/>
    <n v="3"/>
    <n v="1"/>
    <n v="3"/>
    <n v="3057"/>
    <n v="20471"/>
    <n v="6"/>
    <n v="13"/>
    <n v="3"/>
    <n v="2"/>
    <n v="80"/>
    <n v="1"/>
    <n v="6"/>
    <n v="1"/>
    <n v="1"/>
    <n v="0"/>
    <n v="0"/>
    <n v="1"/>
  </r>
  <r>
    <x v="1"/>
    <s v="Travel_Rarely"/>
    <x v="2"/>
    <s v="Current Employees"/>
    <x v="1"/>
    <x v="0"/>
    <x v="560"/>
    <n v="775"/>
    <x v="0"/>
    <x v="3"/>
    <x v="2"/>
    <s v="No"/>
    <s v="Y"/>
    <n v="3"/>
    <n v="-2"/>
    <n v="0"/>
    <n v="34"/>
    <n v="0"/>
    <m/>
    <n v="0"/>
    <n v="1"/>
    <n v="167"/>
    <n v="8"/>
    <x v="4"/>
    <n v="1"/>
    <n v="2"/>
    <n v="32"/>
    <n v="3"/>
    <n v="2"/>
    <n v="1"/>
    <n v="5121"/>
    <n v="4187"/>
    <n v="3"/>
    <n v="14"/>
    <n v="3"/>
    <n v="3"/>
    <n v="80"/>
    <n v="1"/>
    <n v="7"/>
    <n v="3"/>
    <n v="0"/>
    <n v="0"/>
    <n v="0"/>
    <n v="0"/>
  </r>
  <r>
    <x v="1"/>
    <s v="Travel_Rarely"/>
    <x v="1"/>
    <s v="Current Employees"/>
    <x v="0"/>
    <x v="3"/>
    <x v="561"/>
    <n v="776"/>
    <x v="1"/>
    <x v="5"/>
    <x v="1"/>
    <s v="No"/>
    <s v="Y"/>
    <n v="3"/>
    <n v="-2"/>
    <n v="0"/>
    <n v="52"/>
    <n v="0"/>
    <m/>
    <n v="0"/>
    <n v="1"/>
    <n v="621"/>
    <n v="3"/>
    <x v="2"/>
    <n v="1"/>
    <n v="3"/>
    <n v="31"/>
    <n v="2"/>
    <n v="4"/>
    <n v="2"/>
    <n v="16856"/>
    <n v="10084"/>
    <n v="1"/>
    <n v="11"/>
    <n v="3"/>
    <n v="1"/>
    <n v="80"/>
    <n v="0"/>
    <n v="34"/>
    <n v="4"/>
    <n v="34"/>
    <n v="6"/>
    <n v="1"/>
    <n v="16"/>
  </r>
  <r>
    <x v="0"/>
    <s v="Travel_Rarely"/>
    <x v="2"/>
    <s v="Ex-Employees"/>
    <x v="1"/>
    <x v="1"/>
    <x v="562"/>
    <n v="780"/>
    <x v="1"/>
    <x v="1"/>
    <x v="0"/>
    <s v="Yes"/>
    <s v="Y"/>
    <n v="2"/>
    <n v="-2"/>
    <n v="0"/>
    <n v="33"/>
    <n v="1"/>
    <n v="1"/>
    <n v="1"/>
    <n v="0"/>
    <n v="527"/>
    <n v="1"/>
    <x v="2"/>
    <n v="1"/>
    <n v="4"/>
    <n v="63"/>
    <n v="3"/>
    <n v="1"/>
    <n v="4"/>
    <n v="2686"/>
    <n v="5207"/>
    <n v="1"/>
    <n v="13"/>
    <n v="3"/>
    <n v="3"/>
    <n v="80"/>
    <n v="0"/>
    <n v="10"/>
    <n v="2"/>
    <n v="10"/>
    <n v="9"/>
    <n v="7"/>
    <n v="8"/>
  </r>
  <r>
    <x v="1"/>
    <s v="Travel_Rarely"/>
    <x v="2"/>
    <s v="Current Employees"/>
    <x v="0"/>
    <x v="2"/>
    <x v="563"/>
    <n v="781"/>
    <x v="0"/>
    <x v="0"/>
    <x v="0"/>
    <s v="No"/>
    <s v="Y"/>
    <n v="5"/>
    <n v="-2"/>
    <n v="0"/>
    <n v="25"/>
    <n v="0"/>
    <m/>
    <n v="0"/>
    <n v="1"/>
    <n v="883"/>
    <n v="26"/>
    <x v="1"/>
    <n v="1"/>
    <n v="3"/>
    <n v="32"/>
    <n v="3"/>
    <n v="2"/>
    <n v="4"/>
    <n v="6180"/>
    <n v="22807"/>
    <n v="1"/>
    <n v="23"/>
    <n v="4"/>
    <n v="2"/>
    <n v="80"/>
    <n v="0"/>
    <n v="6"/>
    <n v="2"/>
    <n v="6"/>
    <n v="5"/>
    <n v="1"/>
    <n v="4"/>
  </r>
  <r>
    <x v="1"/>
    <s v="Travel_Rarely"/>
    <x v="1"/>
    <s v="Current Employees"/>
    <x v="0"/>
    <x v="4"/>
    <x v="564"/>
    <n v="783"/>
    <x v="1"/>
    <x v="6"/>
    <x v="0"/>
    <s v="No"/>
    <s v="Y"/>
    <n v="3"/>
    <n v="-2"/>
    <n v="0"/>
    <n v="45"/>
    <n v="0"/>
    <m/>
    <n v="0"/>
    <n v="1"/>
    <n v="954"/>
    <n v="2"/>
    <x v="0"/>
    <n v="1"/>
    <n v="4"/>
    <n v="46"/>
    <n v="1"/>
    <n v="2"/>
    <n v="4"/>
    <n v="6632"/>
    <n v="12388"/>
    <n v="0"/>
    <n v="13"/>
    <n v="3"/>
    <n v="1"/>
    <n v="80"/>
    <n v="0"/>
    <n v="9"/>
    <n v="3"/>
    <n v="8"/>
    <n v="7"/>
    <n v="3"/>
    <n v="1"/>
  </r>
  <r>
    <x v="1"/>
    <s v="Travel_Rarely"/>
    <x v="4"/>
    <s v="Current Employees"/>
    <x v="1"/>
    <x v="2"/>
    <x v="565"/>
    <n v="784"/>
    <x v="1"/>
    <x v="1"/>
    <x v="0"/>
    <s v="No"/>
    <s v="Y"/>
    <n v="3"/>
    <n v="-2"/>
    <n v="0"/>
    <n v="23"/>
    <n v="0"/>
    <m/>
    <n v="0"/>
    <n v="1"/>
    <n v="310"/>
    <n v="10"/>
    <x v="1"/>
    <n v="1"/>
    <n v="1"/>
    <n v="79"/>
    <n v="4"/>
    <n v="1"/>
    <n v="3"/>
    <n v="3505"/>
    <n v="19630"/>
    <n v="1"/>
    <n v="18"/>
    <n v="3"/>
    <n v="4"/>
    <n v="80"/>
    <n v="0"/>
    <n v="2"/>
    <n v="3"/>
    <n v="2"/>
    <n v="2"/>
    <n v="0"/>
    <n v="2"/>
  </r>
  <r>
    <x v="0"/>
    <s v="Travel_Frequently"/>
    <x v="1"/>
    <s v="Ex-Employees"/>
    <x v="0"/>
    <x v="0"/>
    <x v="566"/>
    <n v="785"/>
    <x v="0"/>
    <x v="0"/>
    <x v="0"/>
    <s v="Yes"/>
    <s v="Y"/>
    <n v="2"/>
    <n v="-2"/>
    <n v="0"/>
    <n v="47"/>
    <n v="1"/>
    <n v="1"/>
    <n v="1"/>
    <n v="0"/>
    <n v="719"/>
    <n v="27"/>
    <x v="0"/>
    <n v="1"/>
    <n v="2"/>
    <n v="77"/>
    <n v="4"/>
    <n v="2"/>
    <n v="1"/>
    <n v="6397"/>
    <n v="10339"/>
    <n v="4"/>
    <n v="12"/>
    <n v="3"/>
    <n v="4"/>
    <n v="80"/>
    <n v="0"/>
    <n v="8"/>
    <n v="3"/>
    <n v="5"/>
    <n v="4"/>
    <n v="1"/>
    <n v="3"/>
  </r>
  <r>
    <x v="1"/>
    <s v="Travel_Rarely"/>
    <x v="2"/>
    <s v="Current Employees"/>
    <x v="0"/>
    <x v="1"/>
    <x v="567"/>
    <n v="786"/>
    <x v="1"/>
    <x v="0"/>
    <x v="0"/>
    <s v="No"/>
    <s v="Y"/>
    <n v="5"/>
    <n v="-2"/>
    <n v="0"/>
    <n v="34"/>
    <n v="0"/>
    <m/>
    <n v="0"/>
    <n v="1"/>
    <n v="304"/>
    <n v="2"/>
    <x v="3"/>
    <n v="1"/>
    <n v="4"/>
    <n v="60"/>
    <n v="3"/>
    <n v="2"/>
    <n v="4"/>
    <n v="6274"/>
    <n v="18686"/>
    <n v="1"/>
    <n v="22"/>
    <n v="4"/>
    <n v="3"/>
    <n v="80"/>
    <n v="0"/>
    <n v="6"/>
    <n v="3"/>
    <n v="6"/>
    <n v="5"/>
    <n v="1"/>
    <n v="4"/>
  </r>
  <r>
    <x v="0"/>
    <s v="Travel_Rarely"/>
    <x v="3"/>
    <s v="Ex-Employees"/>
    <x v="1"/>
    <x v="2"/>
    <x v="568"/>
    <n v="787"/>
    <x v="1"/>
    <x v="5"/>
    <x v="1"/>
    <s v="Yes"/>
    <s v="Y"/>
    <n v="2"/>
    <n v="-2"/>
    <n v="0"/>
    <n v="55"/>
    <n v="1"/>
    <n v="1"/>
    <n v="1"/>
    <n v="0"/>
    <n v="725"/>
    <n v="2"/>
    <x v="3"/>
    <n v="1"/>
    <n v="4"/>
    <n v="78"/>
    <n v="3"/>
    <n v="5"/>
    <n v="3"/>
    <n v="19859"/>
    <n v="21199"/>
    <n v="5"/>
    <n v="13"/>
    <n v="3"/>
    <n v="4"/>
    <n v="80"/>
    <n v="1"/>
    <n v="24"/>
    <n v="3"/>
    <n v="5"/>
    <n v="2"/>
    <n v="1"/>
    <n v="4"/>
  </r>
  <r>
    <x v="1"/>
    <s v="Non-Travel"/>
    <x v="0"/>
    <s v="Current Employees"/>
    <x v="0"/>
    <x v="0"/>
    <x v="569"/>
    <n v="789"/>
    <x v="1"/>
    <x v="0"/>
    <x v="0"/>
    <s v="No"/>
    <s v="Y"/>
    <n v="1"/>
    <n v="-2"/>
    <n v="0"/>
    <n v="36"/>
    <n v="0"/>
    <m/>
    <n v="0"/>
    <n v="1"/>
    <n v="1434"/>
    <n v="8"/>
    <x v="2"/>
    <n v="1"/>
    <n v="1"/>
    <n v="76"/>
    <n v="2"/>
    <n v="3"/>
    <n v="1"/>
    <n v="7587"/>
    <n v="14229"/>
    <n v="1"/>
    <n v="15"/>
    <n v="3"/>
    <n v="2"/>
    <n v="80"/>
    <n v="0"/>
    <n v="10"/>
    <n v="3"/>
    <n v="10"/>
    <n v="7"/>
    <n v="0"/>
    <n v="9"/>
  </r>
  <r>
    <x v="1"/>
    <s v="Non-Travel"/>
    <x v="1"/>
    <s v="Current Employees"/>
    <x v="1"/>
    <x v="2"/>
    <x v="570"/>
    <n v="791"/>
    <x v="1"/>
    <x v="1"/>
    <x v="1"/>
    <s v="No"/>
    <s v="Y"/>
    <n v="3"/>
    <n v="-2"/>
    <n v="0"/>
    <n v="52"/>
    <n v="0"/>
    <m/>
    <n v="0"/>
    <n v="1"/>
    <n v="715"/>
    <n v="19"/>
    <x v="2"/>
    <n v="1"/>
    <n v="4"/>
    <n v="41"/>
    <n v="3"/>
    <n v="1"/>
    <n v="4"/>
    <n v="4258"/>
    <n v="26589"/>
    <n v="0"/>
    <n v="18"/>
    <n v="3"/>
    <n v="1"/>
    <n v="80"/>
    <n v="1"/>
    <n v="5"/>
    <n v="3"/>
    <n v="4"/>
    <n v="3"/>
    <n v="1"/>
    <n v="2"/>
  </r>
  <r>
    <x v="1"/>
    <s v="Travel_Frequently"/>
    <x v="2"/>
    <s v="Current Employees"/>
    <x v="1"/>
    <x v="0"/>
    <x v="571"/>
    <n v="792"/>
    <x v="0"/>
    <x v="2"/>
    <x v="2"/>
    <s v="No"/>
    <s v="Y"/>
    <n v="2"/>
    <n v="-2"/>
    <n v="0"/>
    <n v="26"/>
    <n v="0"/>
    <m/>
    <n v="0"/>
    <n v="1"/>
    <n v="575"/>
    <n v="1"/>
    <x v="0"/>
    <n v="1"/>
    <n v="1"/>
    <n v="71"/>
    <n v="1"/>
    <n v="1"/>
    <n v="1"/>
    <n v="4364"/>
    <n v="5288"/>
    <n v="3"/>
    <n v="14"/>
    <n v="3"/>
    <n v="1"/>
    <n v="80"/>
    <n v="1"/>
    <n v="5"/>
    <n v="3"/>
    <n v="2"/>
    <n v="2"/>
    <n v="2"/>
    <n v="0"/>
  </r>
  <r>
    <x v="1"/>
    <s v="Travel_Rarely"/>
    <x v="2"/>
    <s v="Current Employees"/>
    <x v="1"/>
    <x v="2"/>
    <x v="572"/>
    <n v="793"/>
    <x v="0"/>
    <x v="4"/>
    <x v="1"/>
    <s v="No"/>
    <s v="Y"/>
    <n v="3"/>
    <n v="-2"/>
    <n v="0"/>
    <n v="29"/>
    <n v="0"/>
    <m/>
    <n v="0"/>
    <n v="1"/>
    <n v="657"/>
    <n v="27"/>
    <x v="3"/>
    <n v="1"/>
    <n v="2"/>
    <n v="66"/>
    <n v="3"/>
    <n v="2"/>
    <n v="3"/>
    <n v="4335"/>
    <n v="25549"/>
    <n v="4"/>
    <n v="12"/>
    <n v="3"/>
    <n v="1"/>
    <n v="80"/>
    <n v="1"/>
    <n v="11"/>
    <n v="2"/>
    <n v="8"/>
    <n v="7"/>
    <n v="1"/>
    <n v="1"/>
  </r>
  <r>
    <x v="0"/>
    <s v="Travel_Rarely"/>
    <x v="2"/>
    <s v="Ex-Employees"/>
    <x v="0"/>
    <x v="4"/>
    <x v="573"/>
    <n v="796"/>
    <x v="1"/>
    <x v="0"/>
    <x v="0"/>
    <s v="No"/>
    <s v="Y"/>
    <n v="2"/>
    <n v="-2"/>
    <n v="0"/>
    <n v="26"/>
    <n v="1"/>
    <n v="1"/>
    <n v="1"/>
    <n v="0"/>
    <n v="1146"/>
    <n v="8"/>
    <x v="3"/>
    <n v="1"/>
    <n v="4"/>
    <n v="38"/>
    <n v="2"/>
    <n v="2"/>
    <n v="4"/>
    <n v="5326"/>
    <n v="3064"/>
    <n v="6"/>
    <n v="17"/>
    <n v="3"/>
    <n v="3"/>
    <n v="80"/>
    <n v="0"/>
    <n v="6"/>
    <n v="2"/>
    <n v="4"/>
    <n v="3"/>
    <n v="1"/>
    <n v="2"/>
  </r>
  <r>
    <x v="1"/>
    <s v="Travel_Rarely"/>
    <x v="2"/>
    <s v="Current Employees"/>
    <x v="1"/>
    <x v="0"/>
    <x v="574"/>
    <n v="797"/>
    <x v="0"/>
    <x v="1"/>
    <x v="0"/>
    <s v="No"/>
    <s v="Y"/>
    <n v="2"/>
    <n v="-2"/>
    <n v="0"/>
    <n v="34"/>
    <n v="0"/>
    <m/>
    <n v="0"/>
    <n v="1"/>
    <n v="182"/>
    <n v="1"/>
    <x v="2"/>
    <n v="1"/>
    <n v="2"/>
    <n v="72"/>
    <n v="4"/>
    <n v="1"/>
    <n v="1"/>
    <n v="3280"/>
    <n v="13551"/>
    <n v="2"/>
    <n v="16"/>
    <n v="3"/>
    <n v="3"/>
    <n v="80"/>
    <n v="0"/>
    <n v="10"/>
    <n v="3"/>
    <n v="4"/>
    <n v="2"/>
    <n v="1"/>
    <n v="3"/>
  </r>
  <r>
    <x v="1"/>
    <s v="Travel_Rarely"/>
    <x v="1"/>
    <s v="Current Employees"/>
    <x v="1"/>
    <x v="2"/>
    <x v="575"/>
    <n v="799"/>
    <x v="0"/>
    <x v="3"/>
    <x v="2"/>
    <s v="Yes"/>
    <s v="Y"/>
    <n v="4"/>
    <n v="-2"/>
    <n v="0"/>
    <n v="54"/>
    <n v="0"/>
    <m/>
    <n v="0"/>
    <n v="1"/>
    <n v="376"/>
    <n v="19"/>
    <x v="2"/>
    <n v="1"/>
    <n v="4"/>
    <n v="95"/>
    <n v="3"/>
    <n v="2"/>
    <n v="3"/>
    <n v="5485"/>
    <n v="22670"/>
    <n v="9"/>
    <n v="11"/>
    <n v="3"/>
    <n v="2"/>
    <n v="80"/>
    <n v="2"/>
    <n v="9"/>
    <n v="3"/>
    <n v="5"/>
    <n v="3"/>
    <n v="1"/>
    <n v="4"/>
  </r>
  <r>
    <x v="1"/>
    <s v="Travel_Frequently"/>
    <x v="2"/>
    <s v="Current Employees"/>
    <x v="0"/>
    <x v="3"/>
    <x v="576"/>
    <n v="800"/>
    <x v="1"/>
    <x v="0"/>
    <x v="1"/>
    <s v="No"/>
    <s v="Y"/>
    <n v="3"/>
    <n v="-2"/>
    <n v="0"/>
    <n v="27"/>
    <n v="0"/>
    <m/>
    <n v="0"/>
    <n v="1"/>
    <n v="829"/>
    <n v="8"/>
    <x v="1"/>
    <n v="1"/>
    <n v="3"/>
    <n v="84"/>
    <n v="3"/>
    <n v="2"/>
    <n v="2"/>
    <n v="4342"/>
    <n v="24008"/>
    <n v="0"/>
    <n v="19"/>
    <n v="3"/>
    <n v="2"/>
    <n v="80"/>
    <n v="1"/>
    <n v="5"/>
    <n v="3"/>
    <n v="4"/>
    <n v="2"/>
    <n v="1"/>
    <n v="1"/>
  </r>
  <r>
    <x v="1"/>
    <s v="Travel_Rarely"/>
    <x v="0"/>
    <s v="Current Employees"/>
    <x v="1"/>
    <x v="0"/>
    <x v="577"/>
    <n v="802"/>
    <x v="0"/>
    <x v="1"/>
    <x v="2"/>
    <s v="Yes"/>
    <s v="Y"/>
    <n v="3"/>
    <n v="-2"/>
    <n v="0"/>
    <n v="37"/>
    <n v="0"/>
    <m/>
    <n v="0"/>
    <n v="1"/>
    <n v="571"/>
    <n v="10"/>
    <x v="1"/>
    <n v="1"/>
    <n v="4"/>
    <n v="82"/>
    <n v="3"/>
    <n v="1"/>
    <n v="1"/>
    <n v="2782"/>
    <n v="19905"/>
    <n v="0"/>
    <n v="13"/>
    <n v="3"/>
    <n v="2"/>
    <n v="80"/>
    <n v="2"/>
    <n v="6"/>
    <n v="2"/>
    <n v="5"/>
    <n v="3"/>
    <n v="4"/>
    <n v="3"/>
  </r>
  <r>
    <x v="1"/>
    <s v="Travel_Frequently"/>
    <x v="0"/>
    <s v="Current Employees"/>
    <x v="1"/>
    <x v="0"/>
    <x v="578"/>
    <n v="803"/>
    <x v="0"/>
    <x v="3"/>
    <x v="0"/>
    <s v="Yes"/>
    <s v="Y"/>
    <n v="2"/>
    <n v="-2"/>
    <n v="0"/>
    <n v="38"/>
    <n v="0"/>
    <m/>
    <n v="0"/>
    <n v="1"/>
    <n v="240"/>
    <n v="2"/>
    <x v="2"/>
    <n v="1"/>
    <n v="1"/>
    <n v="75"/>
    <n v="4"/>
    <n v="2"/>
    <n v="1"/>
    <n v="5980"/>
    <n v="26085"/>
    <n v="6"/>
    <n v="12"/>
    <n v="3"/>
    <n v="4"/>
    <n v="80"/>
    <n v="0"/>
    <n v="17"/>
    <n v="3"/>
    <n v="15"/>
    <n v="7"/>
    <n v="4"/>
    <n v="12"/>
  </r>
  <r>
    <x v="1"/>
    <s v="Travel_Rarely"/>
    <x v="2"/>
    <s v="Current Employees"/>
    <x v="1"/>
    <x v="2"/>
    <x v="579"/>
    <n v="804"/>
    <x v="0"/>
    <x v="1"/>
    <x v="0"/>
    <s v="No"/>
    <s v="Y"/>
    <n v="3"/>
    <n v="-2"/>
    <n v="0"/>
    <n v="34"/>
    <n v="0"/>
    <m/>
    <n v="0"/>
    <n v="1"/>
    <n v="121"/>
    <n v="2"/>
    <x v="2"/>
    <n v="1"/>
    <n v="3"/>
    <n v="86"/>
    <n v="2"/>
    <n v="1"/>
    <n v="3"/>
    <n v="4381"/>
    <n v="7530"/>
    <n v="1"/>
    <n v="11"/>
    <n v="3"/>
    <n v="3"/>
    <n v="80"/>
    <n v="0"/>
    <n v="6"/>
    <n v="3"/>
    <n v="6"/>
    <n v="5"/>
    <n v="1"/>
    <n v="3"/>
  </r>
  <r>
    <x v="1"/>
    <s v="Travel_Rarely"/>
    <x v="0"/>
    <s v="Current Employees"/>
    <x v="0"/>
    <x v="0"/>
    <x v="580"/>
    <n v="805"/>
    <x v="0"/>
    <x v="6"/>
    <x v="1"/>
    <s v="No"/>
    <s v="Y"/>
    <n v="1"/>
    <n v="-2"/>
    <n v="0"/>
    <n v="35"/>
    <n v="0"/>
    <m/>
    <n v="0"/>
    <n v="1"/>
    <n v="384"/>
    <n v="8"/>
    <x v="2"/>
    <n v="1"/>
    <n v="1"/>
    <n v="72"/>
    <n v="3"/>
    <n v="1"/>
    <n v="1"/>
    <n v="2572"/>
    <n v="20317"/>
    <n v="1"/>
    <n v="16"/>
    <n v="3"/>
    <n v="2"/>
    <n v="80"/>
    <n v="1"/>
    <n v="3"/>
    <n v="2"/>
    <n v="3"/>
    <n v="2"/>
    <n v="0"/>
    <n v="2"/>
  </r>
  <r>
    <x v="1"/>
    <s v="Travel_Rarely"/>
    <x v="2"/>
    <s v="Current Employees"/>
    <x v="1"/>
    <x v="0"/>
    <x v="581"/>
    <n v="806"/>
    <x v="1"/>
    <x v="2"/>
    <x v="1"/>
    <s v="No"/>
    <s v="Y"/>
    <n v="2"/>
    <n v="-2"/>
    <n v="0"/>
    <n v="30"/>
    <n v="0"/>
    <m/>
    <n v="0"/>
    <n v="1"/>
    <n v="921"/>
    <n v="1"/>
    <x v="3"/>
    <n v="1"/>
    <n v="4"/>
    <n v="38"/>
    <n v="1"/>
    <n v="1"/>
    <n v="1"/>
    <n v="3833"/>
    <n v="24375"/>
    <n v="3"/>
    <n v="21"/>
    <n v="4"/>
    <n v="3"/>
    <n v="80"/>
    <n v="2"/>
    <n v="7"/>
    <n v="3"/>
    <n v="2"/>
    <n v="2"/>
    <n v="0"/>
    <n v="2"/>
  </r>
  <r>
    <x v="1"/>
    <s v="Travel_Frequently"/>
    <x v="0"/>
    <s v="Current Employees"/>
    <x v="1"/>
    <x v="2"/>
    <x v="582"/>
    <n v="807"/>
    <x v="0"/>
    <x v="4"/>
    <x v="1"/>
    <s v="No"/>
    <s v="Y"/>
    <n v="2"/>
    <n v="-2"/>
    <n v="0"/>
    <n v="40"/>
    <n v="0"/>
    <m/>
    <n v="0"/>
    <n v="1"/>
    <n v="791"/>
    <n v="2"/>
    <x v="0"/>
    <n v="1"/>
    <n v="3"/>
    <n v="38"/>
    <n v="4"/>
    <n v="2"/>
    <n v="3"/>
    <n v="4244"/>
    <n v="9931"/>
    <n v="1"/>
    <n v="24"/>
    <n v="4"/>
    <n v="4"/>
    <n v="80"/>
    <n v="1"/>
    <n v="8"/>
    <n v="3"/>
    <n v="8"/>
    <n v="7"/>
    <n v="3"/>
    <n v="7"/>
  </r>
  <r>
    <x v="1"/>
    <s v="Travel_Rarely"/>
    <x v="2"/>
    <s v="Current Employees"/>
    <x v="0"/>
    <x v="0"/>
    <x v="583"/>
    <n v="808"/>
    <x v="0"/>
    <x v="0"/>
    <x v="1"/>
    <s v="No"/>
    <s v="Y"/>
    <n v="1"/>
    <n v="-2"/>
    <n v="0"/>
    <n v="34"/>
    <n v="0"/>
    <m/>
    <n v="0"/>
    <n v="1"/>
    <n v="1111"/>
    <n v="8"/>
    <x v="0"/>
    <n v="1"/>
    <n v="3"/>
    <n v="93"/>
    <n v="3"/>
    <n v="2"/>
    <n v="1"/>
    <n v="6500"/>
    <n v="13305"/>
    <n v="5"/>
    <n v="17"/>
    <n v="3"/>
    <n v="2"/>
    <n v="80"/>
    <n v="1"/>
    <n v="6"/>
    <n v="3"/>
    <n v="3"/>
    <n v="2"/>
    <n v="1"/>
    <n v="2"/>
  </r>
  <r>
    <x v="1"/>
    <s v="Travel_Frequently"/>
    <x v="0"/>
    <s v="Current Employees"/>
    <x v="1"/>
    <x v="0"/>
    <x v="584"/>
    <n v="809"/>
    <x v="1"/>
    <x v="5"/>
    <x v="2"/>
    <s v="No"/>
    <s v="Y"/>
    <n v="4"/>
    <n v="-2"/>
    <n v="0"/>
    <n v="42"/>
    <n v="0"/>
    <m/>
    <n v="0"/>
    <n v="1"/>
    <n v="570"/>
    <n v="8"/>
    <x v="3"/>
    <n v="1"/>
    <n v="2"/>
    <n v="66"/>
    <n v="3"/>
    <n v="5"/>
    <n v="1"/>
    <n v="18430"/>
    <n v="16225"/>
    <n v="1"/>
    <n v="13"/>
    <n v="3"/>
    <n v="2"/>
    <n v="80"/>
    <n v="1"/>
    <n v="24"/>
    <n v="2"/>
    <n v="24"/>
    <n v="7"/>
    <n v="14"/>
    <n v="9"/>
  </r>
  <r>
    <x v="0"/>
    <s v="Travel_Rarely"/>
    <x v="4"/>
    <s v="Ex-Employees"/>
    <x v="1"/>
    <x v="0"/>
    <x v="585"/>
    <n v="811"/>
    <x v="1"/>
    <x v="2"/>
    <x v="1"/>
    <s v="Yes"/>
    <s v="Y"/>
    <n v="2"/>
    <n v="-2"/>
    <n v="0"/>
    <n v="23"/>
    <n v="1"/>
    <n v="1"/>
    <n v="1"/>
    <n v="0"/>
    <n v="1243"/>
    <n v="6"/>
    <x v="3"/>
    <n v="1"/>
    <n v="3"/>
    <n v="63"/>
    <n v="4"/>
    <n v="1"/>
    <n v="1"/>
    <n v="1601"/>
    <n v="3445"/>
    <n v="1"/>
    <n v="21"/>
    <n v="4"/>
    <n v="3"/>
    <n v="80"/>
    <n v="2"/>
    <n v="1"/>
    <n v="3"/>
    <n v="0"/>
    <n v="0"/>
    <n v="0"/>
    <n v="0"/>
  </r>
  <r>
    <x v="1"/>
    <s v="Non-Travel"/>
    <x v="4"/>
    <s v="Current Employees"/>
    <x v="1"/>
    <x v="0"/>
    <x v="586"/>
    <n v="812"/>
    <x v="1"/>
    <x v="2"/>
    <x v="2"/>
    <s v="No"/>
    <s v="Y"/>
    <n v="4"/>
    <n v="-2"/>
    <n v="0"/>
    <n v="24"/>
    <n v="0"/>
    <m/>
    <n v="0"/>
    <n v="1"/>
    <n v="1092"/>
    <n v="9"/>
    <x v="3"/>
    <n v="1"/>
    <n v="3"/>
    <n v="60"/>
    <n v="2"/>
    <n v="1"/>
    <n v="1"/>
    <n v="2694"/>
    <n v="26551"/>
    <n v="1"/>
    <n v="11"/>
    <n v="3"/>
    <n v="3"/>
    <n v="80"/>
    <n v="3"/>
    <n v="1"/>
    <n v="3"/>
    <n v="1"/>
    <n v="0"/>
    <n v="0"/>
    <n v="0"/>
  </r>
  <r>
    <x v="1"/>
    <s v="Travel_Rarely"/>
    <x v="1"/>
    <s v="Current Employees"/>
    <x v="1"/>
    <x v="0"/>
    <x v="587"/>
    <n v="813"/>
    <x v="0"/>
    <x v="2"/>
    <x v="1"/>
    <s v="No"/>
    <s v="Y"/>
    <n v="3"/>
    <n v="-2"/>
    <n v="0"/>
    <n v="52"/>
    <n v="0"/>
    <m/>
    <n v="0"/>
    <n v="1"/>
    <n v="1325"/>
    <n v="11"/>
    <x v="2"/>
    <n v="1"/>
    <n v="4"/>
    <n v="82"/>
    <n v="3"/>
    <n v="2"/>
    <n v="1"/>
    <n v="3149"/>
    <n v="21821"/>
    <n v="8"/>
    <n v="20"/>
    <n v="4"/>
    <n v="2"/>
    <n v="80"/>
    <n v="1"/>
    <n v="9"/>
    <n v="3"/>
    <n v="5"/>
    <n v="2"/>
    <n v="1"/>
    <n v="4"/>
  </r>
  <r>
    <x v="1"/>
    <s v="Travel_Rarely"/>
    <x v="1"/>
    <s v="Current Employees"/>
    <x v="1"/>
    <x v="2"/>
    <x v="588"/>
    <n v="815"/>
    <x v="1"/>
    <x v="7"/>
    <x v="1"/>
    <s v="No"/>
    <s v="Y"/>
    <n v="3"/>
    <n v="-2"/>
    <n v="0"/>
    <n v="50"/>
    <n v="0"/>
    <m/>
    <n v="0"/>
    <n v="1"/>
    <n v="691"/>
    <n v="2"/>
    <x v="3"/>
    <n v="1"/>
    <n v="3"/>
    <n v="64"/>
    <n v="3"/>
    <n v="4"/>
    <n v="3"/>
    <n v="17639"/>
    <n v="6881"/>
    <n v="5"/>
    <n v="16"/>
    <n v="3"/>
    <n v="4"/>
    <n v="80"/>
    <n v="0"/>
    <n v="30"/>
    <n v="3"/>
    <n v="4"/>
    <n v="3"/>
    <n v="0"/>
    <n v="3"/>
  </r>
  <r>
    <x v="0"/>
    <s v="Travel_Rarely"/>
    <x v="2"/>
    <s v="Ex-Employees"/>
    <x v="1"/>
    <x v="0"/>
    <x v="589"/>
    <n v="816"/>
    <x v="0"/>
    <x v="2"/>
    <x v="1"/>
    <s v="Yes"/>
    <s v="Y"/>
    <n v="1"/>
    <n v="-2"/>
    <n v="0"/>
    <n v="29"/>
    <n v="1"/>
    <n v="1"/>
    <n v="1"/>
    <n v="0"/>
    <n v="805"/>
    <n v="1"/>
    <x v="0"/>
    <n v="1"/>
    <n v="2"/>
    <n v="36"/>
    <n v="2"/>
    <n v="1"/>
    <n v="1"/>
    <n v="2319"/>
    <n v="6689"/>
    <n v="1"/>
    <n v="11"/>
    <n v="3"/>
    <n v="4"/>
    <n v="80"/>
    <n v="1"/>
    <n v="1"/>
    <n v="3"/>
    <n v="1"/>
    <n v="0"/>
    <n v="0"/>
    <n v="0"/>
  </r>
  <r>
    <x v="1"/>
    <s v="Travel_Rarely"/>
    <x v="2"/>
    <s v="Current Employees"/>
    <x v="1"/>
    <x v="2"/>
    <x v="590"/>
    <n v="817"/>
    <x v="1"/>
    <x v="7"/>
    <x v="1"/>
    <s v="No"/>
    <s v="Y"/>
    <n v="3"/>
    <n v="-2"/>
    <n v="0"/>
    <n v="33"/>
    <n v="0"/>
    <m/>
    <n v="0"/>
    <n v="1"/>
    <n v="213"/>
    <n v="7"/>
    <x v="3"/>
    <n v="1"/>
    <n v="3"/>
    <n v="49"/>
    <n v="3"/>
    <n v="3"/>
    <n v="3"/>
    <n v="11691"/>
    <n v="25995"/>
    <n v="0"/>
    <n v="11"/>
    <n v="3"/>
    <n v="4"/>
    <n v="80"/>
    <n v="0"/>
    <n v="14"/>
    <n v="4"/>
    <n v="13"/>
    <n v="9"/>
    <n v="3"/>
    <n v="7"/>
  </r>
  <r>
    <x v="0"/>
    <s v="Travel_Rarely"/>
    <x v="2"/>
    <s v="Ex-Employees"/>
    <x v="0"/>
    <x v="3"/>
    <x v="591"/>
    <n v="819"/>
    <x v="0"/>
    <x v="0"/>
    <x v="0"/>
    <s v="No"/>
    <s v="Y"/>
    <n v="3"/>
    <n v="-2"/>
    <n v="0"/>
    <n v="33"/>
    <n v="1"/>
    <n v="1"/>
    <n v="1"/>
    <n v="0"/>
    <n v="118"/>
    <n v="16"/>
    <x v="3"/>
    <n v="1"/>
    <n v="1"/>
    <n v="69"/>
    <n v="3"/>
    <n v="2"/>
    <n v="2"/>
    <n v="5324"/>
    <n v="26507"/>
    <n v="5"/>
    <n v="15"/>
    <n v="3"/>
    <n v="3"/>
    <n v="80"/>
    <n v="0"/>
    <n v="6"/>
    <n v="3"/>
    <n v="3"/>
    <n v="2"/>
    <n v="0"/>
    <n v="2"/>
  </r>
  <r>
    <x v="1"/>
    <s v="Travel_Rarely"/>
    <x v="1"/>
    <s v="Current Employees"/>
    <x v="1"/>
    <x v="1"/>
    <x v="592"/>
    <n v="820"/>
    <x v="0"/>
    <x v="5"/>
    <x v="1"/>
    <s v="Yes"/>
    <s v="Y"/>
    <n v="3"/>
    <n v="-2"/>
    <n v="0"/>
    <n v="47"/>
    <n v="0"/>
    <m/>
    <n v="0"/>
    <n v="1"/>
    <n v="202"/>
    <n v="2"/>
    <x v="0"/>
    <n v="1"/>
    <n v="3"/>
    <n v="33"/>
    <n v="3"/>
    <n v="4"/>
    <n v="4"/>
    <n v="16752"/>
    <n v="12982"/>
    <n v="1"/>
    <n v="11"/>
    <n v="3"/>
    <n v="3"/>
    <n v="80"/>
    <n v="1"/>
    <n v="26"/>
    <n v="2"/>
    <n v="26"/>
    <n v="14"/>
    <n v="3"/>
    <n v="0"/>
  </r>
  <r>
    <x v="1"/>
    <s v="Travel_Rarely"/>
    <x v="0"/>
    <s v="Current Employees"/>
    <x v="1"/>
    <x v="1"/>
    <x v="593"/>
    <n v="823"/>
    <x v="0"/>
    <x v="3"/>
    <x v="1"/>
    <s v="No"/>
    <s v="Y"/>
    <n v="2"/>
    <n v="-2"/>
    <n v="0"/>
    <n v="36"/>
    <n v="0"/>
    <m/>
    <n v="0"/>
    <n v="1"/>
    <n v="676"/>
    <n v="1"/>
    <x v="3"/>
    <n v="1"/>
    <n v="3"/>
    <n v="35"/>
    <n v="3"/>
    <n v="2"/>
    <n v="3"/>
    <n v="5228"/>
    <n v="23361"/>
    <n v="0"/>
    <n v="15"/>
    <n v="3"/>
    <n v="1"/>
    <n v="80"/>
    <n v="1"/>
    <n v="10"/>
    <n v="3"/>
    <n v="9"/>
    <n v="7"/>
    <n v="0"/>
    <n v="5"/>
  </r>
  <r>
    <x v="1"/>
    <s v="Travel_Rarely"/>
    <x v="2"/>
    <s v="Current Employees"/>
    <x v="1"/>
    <x v="0"/>
    <x v="594"/>
    <n v="824"/>
    <x v="1"/>
    <x v="1"/>
    <x v="1"/>
    <s v="No"/>
    <s v="Y"/>
    <n v="3"/>
    <n v="-2"/>
    <n v="0"/>
    <n v="29"/>
    <n v="0"/>
    <m/>
    <n v="0"/>
    <n v="1"/>
    <n v="1252"/>
    <n v="23"/>
    <x v="0"/>
    <n v="1"/>
    <n v="3"/>
    <n v="81"/>
    <n v="4"/>
    <n v="1"/>
    <n v="1"/>
    <n v="2700"/>
    <n v="23779"/>
    <n v="1"/>
    <n v="24"/>
    <n v="4"/>
    <n v="3"/>
    <n v="80"/>
    <n v="1"/>
    <n v="10"/>
    <n v="3"/>
    <n v="10"/>
    <n v="7"/>
    <n v="0"/>
    <n v="7"/>
  </r>
  <r>
    <x v="0"/>
    <s v="Travel_Rarely"/>
    <x v="3"/>
    <s v="Ex-Employees"/>
    <x v="1"/>
    <x v="0"/>
    <x v="595"/>
    <n v="825"/>
    <x v="1"/>
    <x v="7"/>
    <x v="0"/>
    <s v="Yes"/>
    <s v="Y"/>
    <n v="2"/>
    <n v="-2"/>
    <n v="0"/>
    <n v="58"/>
    <n v="1"/>
    <n v="1"/>
    <n v="1"/>
    <n v="0"/>
    <n v="286"/>
    <n v="2"/>
    <x v="2"/>
    <n v="1"/>
    <n v="4"/>
    <n v="31"/>
    <n v="3"/>
    <n v="5"/>
    <n v="1"/>
    <n v="19246"/>
    <n v="25761"/>
    <n v="7"/>
    <n v="12"/>
    <n v="3"/>
    <n v="4"/>
    <n v="80"/>
    <n v="0"/>
    <n v="40"/>
    <n v="3"/>
    <n v="31"/>
    <n v="15"/>
    <n v="13"/>
    <n v="8"/>
  </r>
  <r>
    <x v="1"/>
    <s v="Travel_Rarely"/>
    <x v="0"/>
    <s v="Current Employees"/>
    <x v="1"/>
    <x v="0"/>
    <x v="596"/>
    <n v="826"/>
    <x v="0"/>
    <x v="1"/>
    <x v="0"/>
    <s v="No"/>
    <s v="Y"/>
    <n v="0"/>
    <n v="-2"/>
    <n v="0"/>
    <n v="35"/>
    <n v="0"/>
    <m/>
    <n v="0"/>
    <n v="1"/>
    <n v="1258"/>
    <n v="1"/>
    <x v="2"/>
    <n v="1"/>
    <n v="4"/>
    <n v="40"/>
    <n v="4"/>
    <n v="1"/>
    <n v="1"/>
    <n v="2506"/>
    <n v="13301"/>
    <n v="3"/>
    <n v="13"/>
    <n v="3"/>
    <n v="3"/>
    <n v="80"/>
    <n v="0"/>
    <n v="7"/>
    <n v="3"/>
    <n v="2"/>
    <n v="2"/>
    <n v="2"/>
    <n v="2"/>
  </r>
  <r>
    <x v="1"/>
    <s v="Travel_Rarely"/>
    <x v="0"/>
    <s v="Current Employees"/>
    <x v="1"/>
    <x v="0"/>
    <x v="597"/>
    <n v="827"/>
    <x v="0"/>
    <x v="3"/>
    <x v="1"/>
    <s v="Yes"/>
    <s v="Y"/>
    <n v="4"/>
    <n v="-2"/>
    <n v="0"/>
    <n v="42"/>
    <n v="0"/>
    <m/>
    <n v="0"/>
    <n v="1"/>
    <n v="932"/>
    <n v="1"/>
    <x v="0"/>
    <n v="1"/>
    <n v="4"/>
    <n v="43"/>
    <n v="2"/>
    <n v="2"/>
    <n v="1"/>
    <n v="6062"/>
    <n v="4051"/>
    <n v="9"/>
    <n v="13"/>
    <n v="3"/>
    <n v="4"/>
    <n v="80"/>
    <n v="1"/>
    <n v="8"/>
    <n v="3"/>
    <n v="4"/>
    <n v="3"/>
    <n v="0"/>
    <n v="2"/>
  </r>
  <r>
    <x v="0"/>
    <s v="Travel_Rarely"/>
    <x v="2"/>
    <s v="Ex-Employees"/>
    <x v="1"/>
    <x v="2"/>
    <x v="598"/>
    <n v="828"/>
    <x v="1"/>
    <x v="1"/>
    <x v="0"/>
    <s v="No"/>
    <s v="Y"/>
    <n v="3"/>
    <n v="-2"/>
    <n v="0"/>
    <n v="28"/>
    <n v="1"/>
    <n v="1"/>
    <n v="1"/>
    <n v="0"/>
    <n v="890"/>
    <n v="2"/>
    <x v="2"/>
    <n v="1"/>
    <n v="3"/>
    <n v="46"/>
    <n v="3"/>
    <n v="1"/>
    <n v="3"/>
    <n v="4382"/>
    <n v="16374"/>
    <n v="6"/>
    <n v="17"/>
    <n v="3"/>
    <n v="4"/>
    <n v="80"/>
    <n v="0"/>
    <n v="5"/>
    <n v="2"/>
    <n v="2"/>
    <n v="2"/>
    <n v="2"/>
    <n v="1"/>
  </r>
  <r>
    <x v="1"/>
    <s v="Travel_Rarely"/>
    <x v="0"/>
    <s v="Current Employees"/>
    <x v="2"/>
    <x v="5"/>
    <x v="599"/>
    <n v="829"/>
    <x v="1"/>
    <x v="8"/>
    <x v="1"/>
    <s v="No"/>
    <s v="Y"/>
    <n v="2"/>
    <n v="-2"/>
    <n v="0"/>
    <n v="36"/>
    <n v="0"/>
    <m/>
    <n v="0"/>
    <n v="1"/>
    <n v="1041"/>
    <n v="13"/>
    <x v="3"/>
    <n v="1"/>
    <n v="3"/>
    <n v="36"/>
    <n v="3"/>
    <n v="1"/>
    <n v="3"/>
    <n v="2143"/>
    <n v="25527"/>
    <n v="4"/>
    <n v="13"/>
    <n v="3"/>
    <n v="2"/>
    <n v="80"/>
    <n v="1"/>
    <n v="8"/>
    <n v="3"/>
    <n v="5"/>
    <n v="2"/>
    <n v="0"/>
    <n v="4"/>
  </r>
  <r>
    <x v="1"/>
    <s v="Travel_Rarely"/>
    <x v="2"/>
    <s v="Current Employees"/>
    <x v="1"/>
    <x v="0"/>
    <x v="600"/>
    <n v="830"/>
    <x v="0"/>
    <x v="3"/>
    <x v="1"/>
    <s v="No"/>
    <s v="Y"/>
    <n v="3"/>
    <n v="-2"/>
    <n v="0"/>
    <n v="32"/>
    <n v="0"/>
    <m/>
    <n v="0"/>
    <n v="1"/>
    <n v="859"/>
    <n v="4"/>
    <x v="3"/>
    <n v="1"/>
    <n v="3"/>
    <n v="98"/>
    <n v="2"/>
    <n v="2"/>
    <n v="1"/>
    <n v="6162"/>
    <n v="19124"/>
    <n v="1"/>
    <n v="12"/>
    <n v="3"/>
    <n v="3"/>
    <n v="80"/>
    <n v="1"/>
    <n v="14"/>
    <n v="3"/>
    <n v="14"/>
    <n v="13"/>
    <n v="6"/>
    <n v="8"/>
  </r>
  <r>
    <x v="1"/>
    <s v="Travel_Frequently"/>
    <x v="0"/>
    <s v="Current Employees"/>
    <x v="1"/>
    <x v="2"/>
    <x v="601"/>
    <n v="832"/>
    <x v="1"/>
    <x v="2"/>
    <x v="0"/>
    <s v="No"/>
    <s v="Y"/>
    <n v="6"/>
    <n v="-2"/>
    <n v="0"/>
    <n v="40"/>
    <n v="0"/>
    <m/>
    <n v="0"/>
    <n v="1"/>
    <n v="720"/>
    <n v="16"/>
    <x v="2"/>
    <n v="1"/>
    <n v="1"/>
    <n v="51"/>
    <n v="2"/>
    <n v="2"/>
    <n v="3"/>
    <n v="5094"/>
    <n v="11983"/>
    <n v="6"/>
    <n v="14"/>
    <n v="3"/>
    <n v="4"/>
    <n v="80"/>
    <n v="0"/>
    <n v="10"/>
    <n v="3"/>
    <n v="1"/>
    <n v="0"/>
    <n v="0"/>
    <n v="0"/>
  </r>
  <r>
    <x v="1"/>
    <s v="Travel_Rarely"/>
    <x v="2"/>
    <s v="Current Employees"/>
    <x v="1"/>
    <x v="2"/>
    <x v="602"/>
    <n v="833"/>
    <x v="0"/>
    <x v="3"/>
    <x v="0"/>
    <s v="Yes"/>
    <s v="Y"/>
    <n v="4"/>
    <n v="-2"/>
    <n v="0"/>
    <n v="30"/>
    <n v="0"/>
    <m/>
    <n v="0"/>
    <n v="1"/>
    <n v="946"/>
    <n v="2"/>
    <x v="3"/>
    <n v="1"/>
    <n v="3"/>
    <n v="52"/>
    <n v="2"/>
    <n v="2"/>
    <n v="4"/>
    <n v="6877"/>
    <n v="20234"/>
    <n v="5"/>
    <n v="24"/>
    <n v="4"/>
    <n v="2"/>
    <n v="80"/>
    <n v="0"/>
    <n v="12"/>
    <n v="2"/>
    <n v="0"/>
    <n v="0"/>
    <n v="0"/>
    <n v="0"/>
  </r>
  <r>
    <x v="1"/>
    <s v="Travel_Rarely"/>
    <x v="1"/>
    <s v="Current Employees"/>
    <x v="1"/>
    <x v="0"/>
    <x v="603"/>
    <n v="834"/>
    <x v="0"/>
    <x v="1"/>
    <x v="0"/>
    <s v="No"/>
    <s v="Y"/>
    <n v="3"/>
    <n v="-2"/>
    <n v="0"/>
    <n v="45"/>
    <n v="0"/>
    <m/>
    <n v="0"/>
    <n v="1"/>
    <n v="252"/>
    <n v="2"/>
    <x v="3"/>
    <n v="1"/>
    <n v="2"/>
    <n v="95"/>
    <n v="2"/>
    <n v="1"/>
    <n v="1"/>
    <n v="2274"/>
    <n v="6153"/>
    <n v="1"/>
    <n v="14"/>
    <n v="3"/>
    <n v="4"/>
    <n v="80"/>
    <n v="0"/>
    <n v="1"/>
    <n v="3"/>
    <n v="1"/>
    <n v="0"/>
    <n v="0"/>
    <n v="0"/>
  </r>
  <r>
    <x v="1"/>
    <s v="Travel_Rarely"/>
    <x v="0"/>
    <s v="Current Employees"/>
    <x v="1"/>
    <x v="0"/>
    <x v="604"/>
    <n v="836"/>
    <x v="1"/>
    <x v="3"/>
    <x v="1"/>
    <s v="No"/>
    <s v="Y"/>
    <n v="3"/>
    <n v="-2"/>
    <n v="0"/>
    <n v="42"/>
    <n v="0"/>
    <m/>
    <n v="0"/>
    <n v="1"/>
    <n v="933"/>
    <n v="29"/>
    <x v="3"/>
    <n v="1"/>
    <n v="2"/>
    <n v="98"/>
    <n v="3"/>
    <n v="2"/>
    <n v="1"/>
    <n v="4434"/>
    <n v="11806"/>
    <n v="1"/>
    <n v="13"/>
    <n v="3"/>
    <n v="4"/>
    <n v="80"/>
    <n v="1"/>
    <n v="10"/>
    <n v="2"/>
    <n v="9"/>
    <n v="8"/>
    <n v="7"/>
    <n v="8"/>
  </r>
  <r>
    <x v="1"/>
    <s v="Travel_Frequently"/>
    <x v="0"/>
    <s v="Current Employees"/>
    <x v="1"/>
    <x v="0"/>
    <x v="605"/>
    <n v="837"/>
    <x v="1"/>
    <x v="4"/>
    <x v="2"/>
    <s v="No"/>
    <s v="Y"/>
    <n v="3"/>
    <n v="-2"/>
    <n v="0"/>
    <n v="38"/>
    <n v="0"/>
    <m/>
    <n v="0"/>
    <n v="1"/>
    <n v="471"/>
    <n v="12"/>
    <x v="3"/>
    <n v="1"/>
    <n v="1"/>
    <n v="45"/>
    <n v="2"/>
    <n v="2"/>
    <n v="1"/>
    <n v="6288"/>
    <n v="4284"/>
    <n v="2"/>
    <n v="15"/>
    <n v="3"/>
    <n v="3"/>
    <n v="80"/>
    <n v="1"/>
    <n v="13"/>
    <n v="2"/>
    <n v="4"/>
    <n v="3"/>
    <n v="1"/>
    <n v="2"/>
  </r>
  <r>
    <x v="1"/>
    <s v="Travel_Frequently"/>
    <x v="2"/>
    <s v="Current Employees"/>
    <x v="1"/>
    <x v="0"/>
    <x v="606"/>
    <n v="838"/>
    <x v="0"/>
    <x v="1"/>
    <x v="0"/>
    <s v="No"/>
    <s v="Y"/>
    <n v="3"/>
    <n v="-2"/>
    <n v="0"/>
    <n v="34"/>
    <n v="0"/>
    <m/>
    <n v="0"/>
    <n v="1"/>
    <n v="702"/>
    <n v="16"/>
    <x v="2"/>
    <n v="1"/>
    <n v="3"/>
    <n v="100"/>
    <n v="2"/>
    <n v="1"/>
    <n v="1"/>
    <n v="2553"/>
    <n v="8306"/>
    <n v="1"/>
    <n v="16"/>
    <n v="3"/>
    <n v="3"/>
    <n v="80"/>
    <n v="0"/>
    <n v="6"/>
    <n v="3"/>
    <n v="5"/>
    <n v="2"/>
    <n v="1"/>
    <n v="3"/>
  </r>
  <r>
    <x v="0"/>
    <s v="Travel_Rarely"/>
    <x v="1"/>
    <s v="Ex-Employees"/>
    <x v="0"/>
    <x v="3"/>
    <x v="607"/>
    <n v="840"/>
    <x v="0"/>
    <x v="0"/>
    <x v="1"/>
    <s v="No"/>
    <s v="Y"/>
    <n v="3"/>
    <n v="-2"/>
    <n v="0"/>
    <n v="49"/>
    <n v="1"/>
    <n v="1"/>
    <n v="1"/>
    <n v="0"/>
    <n v="1184"/>
    <n v="11"/>
    <x v="3"/>
    <n v="1"/>
    <n v="3"/>
    <n v="43"/>
    <n v="3"/>
    <n v="3"/>
    <n v="2"/>
    <n v="7654"/>
    <n v="5860"/>
    <n v="1"/>
    <n v="18"/>
    <n v="3"/>
    <n v="1"/>
    <n v="80"/>
    <n v="2"/>
    <n v="9"/>
    <n v="4"/>
    <n v="9"/>
    <n v="8"/>
    <n v="7"/>
    <n v="7"/>
  </r>
  <r>
    <x v="0"/>
    <s v="Travel_Rarely"/>
    <x v="3"/>
    <s v="Ex-Employees"/>
    <x v="0"/>
    <x v="2"/>
    <x v="608"/>
    <n v="842"/>
    <x v="1"/>
    <x v="0"/>
    <x v="0"/>
    <s v="No"/>
    <s v="Y"/>
    <n v="3"/>
    <n v="-2"/>
    <n v="0"/>
    <n v="55"/>
    <n v="1"/>
    <n v="1"/>
    <n v="1"/>
    <n v="0"/>
    <n v="436"/>
    <n v="2"/>
    <x v="1"/>
    <n v="1"/>
    <n v="3"/>
    <n v="37"/>
    <n v="3"/>
    <n v="2"/>
    <n v="4"/>
    <n v="5160"/>
    <n v="21519"/>
    <n v="4"/>
    <n v="16"/>
    <n v="3"/>
    <n v="3"/>
    <n v="80"/>
    <n v="0"/>
    <n v="12"/>
    <n v="2"/>
    <n v="9"/>
    <n v="7"/>
    <n v="7"/>
    <n v="3"/>
  </r>
  <r>
    <x v="1"/>
    <s v="Travel_Rarely"/>
    <x v="0"/>
    <s v="Current Employees"/>
    <x v="1"/>
    <x v="0"/>
    <x v="609"/>
    <n v="843"/>
    <x v="1"/>
    <x v="7"/>
    <x v="1"/>
    <s v="No"/>
    <s v="Y"/>
    <n v="3"/>
    <n v="-2"/>
    <n v="0"/>
    <n v="43"/>
    <n v="0"/>
    <m/>
    <n v="0"/>
    <n v="1"/>
    <n v="589"/>
    <n v="14"/>
    <x v="0"/>
    <n v="1"/>
    <n v="2"/>
    <n v="94"/>
    <n v="3"/>
    <n v="4"/>
    <n v="1"/>
    <n v="17159"/>
    <n v="5200"/>
    <n v="6"/>
    <n v="24"/>
    <n v="4"/>
    <n v="3"/>
    <n v="80"/>
    <n v="1"/>
    <n v="22"/>
    <n v="3"/>
    <n v="4"/>
    <n v="1"/>
    <n v="1"/>
    <n v="0"/>
  </r>
  <r>
    <x v="1"/>
    <s v="Travel_Rarely"/>
    <x v="2"/>
    <s v="Current Employees"/>
    <x v="1"/>
    <x v="4"/>
    <x v="610"/>
    <n v="844"/>
    <x v="1"/>
    <x v="7"/>
    <x v="2"/>
    <s v="Yes"/>
    <s v="Y"/>
    <n v="3"/>
    <n v="-2"/>
    <n v="0"/>
    <n v="27"/>
    <n v="0"/>
    <m/>
    <n v="0"/>
    <n v="1"/>
    <n v="269"/>
    <n v="5"/>
    <x v="1"/>
    <n v="1"/>
    <n v="4"/>
    <n v="42"/>
    <n v="2"/>
    <n v="3"/>
    <n v="4"/>
    <n v="12808"/>
    <n v="8842"/>
    <n v="1"/>
    <n v="16"/>
    <n v="3"/>
    <n v="2"/>
    <n v="80"/>
    <n v="1"/>
    <n v="9"/>
    <n v="3"/>
    <n v="9"/>
    <n v="8"/>
    <n v="0"/>
    <n v="8"/>
  </r>
  <r>
    <x v="1"/>
    <s v="Travel_Rarely"/>
    <x v="0"/>
    <s v="Current Employees"/>
    <x v="1"/>
    <x v="1"/>
    <x v="611"/>
    <n v="845"/>
    <x v="1"/>
    <x v="3"/>
    <x v="0"/>
    <s v="No"/>
    <s v="Y"/>
    <n v="3"/>
    <n v="-2"/>
    <n v="0"/>
    <n v="35"/>
    <n v="0"/>
    <m/>
    <n v="0"/>
    <n v="1"/>
    <n v="950"/>
    <n v="7"/>
    <x v="3"/>
    <n v="1"/>
    <n v="3"/>
    <n v="59"/>
    <n v="3"/>
    <n v="3"/>
    <n v="3"/>
    <n v="10221"/>
    <n v="18869"/>
    <n v="3"/>
    <n v="21"/>
    <n v="4"/>
    <n v="2"/>
    <n v="80"/>
    <n v="0"/>
    <n v="17"/>
    <n v="4"/>
    <n v="8"/>
    <n v="5"/>
    <n v="1"/>
    <n v="6"/>
  </r>
  <r>
    <x v="1"/>
    <s v="Travel_Rarely"/>
    <x v="2"/>
    <s v="Current Employees"/>
    <x v="0"/>
    <x v="3"/>
    <x v="612"/>
    <n v="846"/>
    <x v="0"/>
    <x v="0"/>
    <x v="1"/>
    <s v="Yes"/>
    <s v="Y"/>
    <n v="2"/>
    <n v="-2"/>
    <n v="0"/>
    <n v="28"/>
    <n v="0"/>
    <m/>
    <n v="0"/>
    <n v="1"/>
    <n v="760"/>
    <n v="2"/>
    <x v="2"/>
    <n v="1"/>
    <n v="2"/>
    <n v="81"/>
    <n v="3"/>
    <n v="2"/>
    <n v="2"/>
    <n v="4779"/>
    <n v="3698"/>
    <n v="1"/>
    <n v="20"/>
    <n v="4"/>
    <n v="1"/>
    <n v="80"/>
    <n v="0"/>
    <n v="8"/>
    <n v="3"/>
    <n v="8"/>
    <n v="7"/>
    <n v="7"/>
    <n v="5"/>
  </r>
  <r>
    <x v="1"/>
    <s v="Travel_Rarely"/>
    <x v="2"/>
    <s v="Current Employees"/>
    <x v="2"/>
    <x v="5"/>
    <x v="613"/>
    <n v="847"/>
    <x v="1"/>
    <x v="8"/>
    <x v="1"/>
    <s v="No"/>
    <s v="Y"/>
    <n v="1"/>
    <n v="-2"/>
    <n v="0"/>
    <n v="34"/>
    <n v="0"/>
    <m/>
    <n v="0"/>
    <n v="1"/>
    <n v="829"/>
    <n v="3"/>
    <x v="0"/>
    <n v="1"/>
    <n v="3"/>
    <n v="88"/>
    <n v="3"/>
    <n v="1"/>
    <n v="4"/>
    <n v="3737"/>
    <n v="2243"/>
    <n v="0"/>
    <n v="19"/>
    <n v="3"/>
    <n v="3"/>
    <n v="80"/>
    <n v="1"/>
    <n v="4"/>
    <n v="1"/>
    <n v="3"/>
    <n v="2"/>
    <n v="0"/>
    <n v="2"/>
  </r>
  <r>
    <x v="0"/>
    <s v="Travel_Frequently"/>
    <x v="2"/>
    <s v="Ex-Employees"/>
    <x v="1"/>
    <x v="2"/>
    <x v="614"/>
    <n v="848"/>
    <x v="0"/>
    <x v="1"/>
    <x v="1"/>
    <s v="Yes"/>
    <s v="Y"/>
    <n v="2"/>
    <n v="-2"/>
    <n v="0"/>
    <n v="26"/>
    <n v="1"/>
    <n v="1"/>
    <n v="1"/>
    <n v="0"/>
    <n v="887"/>
    <n v="5"/>
    <x v="0"/>
    <n v="1"/>
    <n v="3"/>
    <n v="88"/>
    <n v="2"/>
    <n v="1"/>
    <n v="3"/>
    <n v="2366"/>
    <n v="20898"/>
    <n v="1"/>
    <n v="14"/>
    <n v="3"/>
    <n v="1"/>
    <n v="80"/>
    <n v="1"/>
    <n v="8"/>
    <n v="3"/>
    <n v="8"/>
    <n v="7"/>
    <n v="1"/>
    <n v="7"/>
  </r>
  <r>
    <x v="1"/>
    <s v="Non-Travel"/>
    <x v="2"/>
    <s v="Current Employees"/>
    <x v="1"/>
    <x v="2"/>
    <x v="615"/>
    <n v="850"/>
    <x v="1"/>
    <x v="1"/>
    <x v="1"/>
    <s v="No"/>
    <s v="Y"/>
    <n v="6"/>
    <n v="-2"/>
    <n v="0"/>
    <n v="27"/>
    <n v="0"/>
    <m/>
    <n v="0"/>
    <n v="1"/>
    <n v="443"/>
    <n v="3"/>
    <x v="3"/>
    <n v="1"/>
    <n v="4"/>
    <n v="50"/>
    <n v="3"/>
    <n v="1"/>
    <n v="4"/>
    <n v="1706"/>
    <n v="16571"/>
    <n v="1"/>
    <n v="11"/>
    <n v="3"/>
    <n v="3"/>
    <n v="80"/>
    <n v="3"/>
    <n v="0"/>
    <n v="2"/>
    <n v="0"/>
    <n v="0"/>
    <n v="0"/>
    <n v="0"/>
  </r>
  <r>
    <x v="1"/>
    <s v="Travel_Rarely"/>
    <x v="1"/>
    <s v="Current Employees"/>
    <x v="0"/>
    <x v="3"/>
    <x v="616"/>
    <n v="851"/>
    <x v="0"/>
    <x v="5"/>
    <x v="1"/>
    <s v="No"/>
    <s v="Y"/>
    <n v="2"/>
    <n v="-2"/>
    <n v="0"/>
    <n v="51"/>
    <n v="0"/>
    <m/>
    <n v="0"/>
    <n v="1"/>
    <n v="1318"/>
    <n v="26"/>
    <x v="2"/>
    <n v="1"/>
    <n v="1"/>
    <n v="66"/>
    <n v="3"/>
    <n v="4"/>
    <n v="2"/>
    <n v="16307"/>
    <n v="5594"/>
    <n v="2"/>
    <n v="14"/>
    <n v="3"/>
    <n v="3"/>
    <n v="80"/>
    <n v="1"/>
    <n v="29"/>
    <n v="2"/>
    <n v="20"/>
    <n v="6"/>
    <n v="4"/>
    <n v="17"/>
  </r>
  <r>
    <x v="1"/>
    <s v="Travel_Rarely"/>
    <x v="0"/>
    <s v="Current Employees"/>
    <x v="1"/>
    <x v="2"/>
    <x v="617"/>
    <n v="852"/>
    <x v="1"/>
    <x v="4"/>
    <x v="0"/>
    <s v="No"/>
    <s v="Y"/>
    <n v="2"/>
    <n v="-2"/>
    <n v="0"/>
    <n v="44"/>
    <n v="0"/>
    <m/>
    <n v="0"/>
    <n v="1"/>
    <n v="625"/>
    <n v="4"/>
    <x v="3"/>
    <n v="1"/>
    <n v="4"/>
    <n v="50"/>
    <n v="3"/>
    <n v="2"/>
    <n v="3"/>
    <n v="5933"/>
    <n v="5197"/>
    <n v="9"/>
    <n v="12"/>
    <n v="3"/>
    <n v="4"/>
    <n v="80"/>
    <n v="0"/>
    <n v="10"/>
    <n v="2"/>
    <n v="5"/>
    <n v="2"/>
    <n v="2"/>
    <n v="3"/>
  </r>
  <r>
    <x v="1"/>
    <s v="Travel_Rarely"/>
    <x v="2"/>
    <s v="Current Employees"/>
    <x v="1"/>
    <x v="2"/>
    <x v="618"/>
    <n v="854"/>
    <x v="1"/>
    <x v="1"/>
    <x v="0"/>
    <s v="No"/>
    <s v="Y"/>
    <n v="3"/>
    <n v="-2"/>
    <n v="0"/>
    <n v="25"/>
    <n v="0"/>
    <m/>
    <n v="0"/>
    <n v="1"/>
    <n v="180"/>
    <n v="2"/>
    <x v="1"/>
    <n v="1"/>
    <n v="1"/>
    <n v="65"/>
    <n v="4"/>
    <n v="1"/>
    <n v="3"/>
    <n v="3424"/>
    <n v="21632"/>
    <n v="7"/>
    <n v="13"/>
    <n v="3"/>
    <n v="3"/>
    <n v="80"/>
    <n v="0"/>
    <n v="6"/>
    <n v="2"/>
    <n v="4"/>
    <n v="3"/>
    <n v="0"/>
    <n v="1"/>
  </r>
  <r>
    <x v="1"/>
    <s v="Travel_Rarely"/>
    <x v="2"/>
    <s v="Current Employees"/>
    <x v="0"/>
    <x v="2"/>
    <x v="619"/>
    <n v="855"/>
    <x v="1"/>
    <x v="0"/>
    <x v="2"/>
    <s v="No"/>
    <s v="Y"/>
    <n v="5"/>
    <n v="-2"/>
    <n v="0"/>
    <n v="33"/>
    <n v="0"/>
    <m/>
    <n v="0"/>
    <n v="1"/>
    <n v="586"/>
    <n v="1"/>
    <x v="3"/>
    <n v="1"/>
    <n v="1"/>
    <n v="48"/>
    <n v="4"/>
    <n v="2"/>
    <n v="3"/>
    <n v="4037"/>
    <n v="21816"/>
    <n v="1"/>
    <n v="22"/>
    <n v="4"/>
    <n v="1"/>
    <n v="80"/>
    <n v="1"/>
    <n v="9"/>
    <n v="3"/>
    <n v="9"/>
    <n v="8"/>
    <n v="0"/>
    <n v="8"/>
  </r>
  <r>
    <x v="1"/>
    <s v="Travel_Rarely"/>
    <x v="0"/>
    <s v="Current Employees"/>
    <x v="1"/>
    <x v="2"/>
    <x v="620"/>
    <n v="856"/>
    <x v="0"/>
    <x v="1"/>
    <x v="0"/>
    <s v="No"/>
    <s v="Y"/>
    <n v="3"/>
    <n v="-2"/>
    <n v="0"/>
    <n v="35"/>
    <n v="0"/>
    <m/>
    <n v="0"/>
    <n v="1"/>
    <n v="1343"/>
    <n v="27"/>
    <x v="1"/>
    <n v="1"/>
    <n v="3"/>
    <n v="53"/>
    <n v="2"/>
    <n v="1"/>
    <n v="3"/>
    <n v="2559"/>
    <n v="17852"/>
    <n v="1"/>
    <n v="11"/>
    <n v="3"/>
    <n v="4"/>
    <n v="80"/>
    <n v="0"/>
    <n v="6"/>
    <n v="2"/>
    <n v="6"/>
    <n v="5"/>
    <n v="1"/>
    <n v="1"/>
  </r>
  <r>
    <x v="1"/>
    <s v="Travel_Rarely"/>
    <x v="0"/>
    <s v="Current Employees"/>
    <x v="0"/>
    <x v="0"/>
    <x v="621"/>
    <n v="857"/>
    <x v="1"/>
    <x v="0"/>
    <x v="1"/>
    <s v="Yes"/>
    <s v="Y"/>
    <n v="1"/>
    <n v="-2"/>
    <n v="0"/>
    <n v="36"/>
    <n v="0"/>
    <m/>
    <n v="0"/>
    <n v="1"/>
    <n v="928"/>
    <n v="1"/>
    <x v="0"/>
    <n v="1"/>
    <n v="2"/>
    <n v="56"/>
    <n v="3"/>
    <n v="2"/>
    <n v="1"/>
    <n v="6201"/>
    <n v="2823"/>
    <n v="1"/>
    <n v="14"/>
    <n v="3"/>
    <n v="4"/>
    <n v="80"/>
    <n v="1"/>
    <n v="18"/>
    <n v="2"/>
    <n v="18"/>
    <n v="14"/>
    <n v="4"/>
    <n v="11"/>
  </r>
  <r>
    <x v="1"/>
    <s v="Travel_Rarely"/>
    <x v="2"/>
    <s v="Current Employees"/>
    <x v="0"/>
    <x v="0"/>
    <x v="622"/>
    <n v="859"/>
    <x v="1"/>
    <x v="0"/>
    <x v="2"/>
    <s v="No"/>
    <s v="Y"/>
    <n v="3"/>
    <n v="-2"/>
    <n v="0"/>
    <n v="32"/>
    <n v="0"/>
    <m/>
    <n v="0"/>
    <n v="1"/>
    <n v="117"/>
    <n v="13"/>
    <x v="2"/>
    <n v="1"/>
    <n v="2"/>
    <n v="73"/>
    <n v="3"/>
    <n v="2"/>
    <n v="1"/>
    <n v="4403"/>
    <n v="9250"/>
    <n v="2"/>
    <n v="11"/>
    <n v="3"/>
    <n v="3"/>
    <n v="80"/>
    <n v="1"/>
    <n v="8"/>
    <n v="2"/>
    <n v="5"/>
    <n v="2"/>
    <n v="0"/>
    <n v="3"/>
  </r>
  <r>
    <x v="1"/>
    <s v="Travel_Frequently"/>
    <x v="2"/>
    <s v="Current Employees"/>
    <x v="1"/>
    <x v="0"/>
    <x v="623"/>
    <n v="861"/>
    <x v="1"/>
    <x v="1"/>
    <x v="2"/>
    <s v="No"/>
    <s v="Y"/>
    <n v="3"/>
    <n v="-2"/>
    <n v="0"/>
    <n v="30"/>
    <n v="0"/>
    <m/>
    <n v="0"/>
    <n v="1"/>
    <n v="1012"/>
    <n v="5"/>
    <x v="2"/>
    <n v="1"/>
    <n v="2"/>
    <n v="75"/>
    <n v="2"/>
    <n v="1"/>
    <n v="1"/>
    <n v="3761"/>
    <n v="2373"/>
    <n v="9"/>
    <n v="12"/>
    <n v="3"/>
    <n v="2"/>
    <n v="80"/>
    <n v="1"/>
    <n v="10"/>
    <n v="2"/>
    <n v="5"/>
    <n v="4"/>
    <n v="0"/>
    <n v="3"/>
  </r>
  <r>
    <x v="1"/>
    <s v="Travel_Rarely"/>
    <x v="1"/>
    <s v="Current Employees"/>
    <x v="0"/>
    <x v="3"/>
    <x v="624"/>
    <n v="862"/>
    <x v="0"/>
    <x v="0"/>
    <x v="1"/>
    <s v="Yes"/>
    <s v="Y"/>
    <n v="3"/>
    <n v="-2"/>
    <n v="0"/>
    <n v="53"/>
    <n v="0"/>
    <m/>
    <n v="0"/>
    <n v="1"/>
    <n v="661"/>
    <n v="7"/>
    <x v="0"/>
    <n v="1"/>
    <n v="1"/>
    <n v="78"/>
    <n v="2"/>
    <n v="3"/>
    <n v="2"/>
    <n v="10934"/>
    <n v="20715"/>
    <n v="7"/>
    <n v="18"/>
    <n v="3"/>
    <n v="4"/>
    <n v="80"/>
    <n v="1"/>
    <n v="35"/>
    <n v="3"/>
    <n v="5"/>
    <n v="2"/>
    <n v="0"/>
    <n v="4"/>
  </r>
  <r>
    <x v="1"/>
    <s v="Travel_Rarely"/>
    <x v="1"/>
    <s v="Current Employees"/>
    <x v="0"/>
    <x v="3"/>
    <x v="625"/>
    <n v="864"/>
    <x v="1"/>
    <x v="0"/>
    <x v="2"/>
    <s v="Yes"/>
    <s v="Y"/>
    <n v="2"/>
    <n v="-2"/>
    <n v="0"/>
    <n v="45"/>
    <n v="0"/>
    <m/>
    <n v="0"/>
    <n v="1"/>
    <n v="930"/>
    <n v="9"/>
    <x v="3"/>
    <n v="1"/>
    <n v="4"/>
    <n v="74"/>
    <n v="3"/>
    <n v="3"/>
    <n v="2"/>
    <n v="10761"/>
    <n v="19239"/>
    <n v="4"/>
    <n v="12"/>
    <n v="3"/>
    <n v="3"/>
    <n v="80"/>
    <n v="1"/>
    <n v="18"/>
    <n v="3"/>
    <n v="5"/>
    <n v="4"/>
    <n v="0"/>
    <n v="2"/>
  </r>
  <r>
    <x v="1"/>
    <s v="Travel_Rarely"/>
    <x v="2"/>
    <s v="Current Employees"/>
    <x v="1"/>
    <x v="2"/>
    <x v="626"/>
    <n v="865"/>
    <x v="0"/>
    <x v="1"/>
    <x v="1"/>
    <s v="No"/>
    <s v="Y"/>
    <n v="3"/>
    <n v="-2"/>
    <n v="0"/>
    <n v="32"/>
    <n v="0"/>
    <m/>
    <n v="0"/>
    <n v="1"/>
    <n v="638"/>
    <n v="8"/>
    <x v="0"/>
    <n v="1"/>
    <n v="3"/>
    <n v="91"/>
    <n v="4"/>
    <n v="2"/>
    <n v="3"/>
    <n v="5175"/>
    <n v="22162"/>
    <n v="5"/>
    <n v="12"/>
    <n v="3"/>
    <n v="3"/>
    <n v="80"/>
    <n v="1"/>
    <n v="9"/>
    <n v="2"/>
    <n v="5"/>
    <n v="3"/>
    <n v="1"/>
    <n v="3"/>
  </r>
  <r>
    <x v="1"/>
    <s v="Travel_Frequently"/>
    <x v="1"/>
    <s v="Current Employees"/>
    <x v="1"/>
    <x v="2"/>
    <x v="627"/>
    <n v="867"/>
    <x v="0"/>
    <x v="3"/>
    <x v="1"/>
    <s v="No"/>
    <s v="Y"/>
    <n v="3"/>
    <n v="-2"/>
    <n v="0"/>
    <n v="52"/>
    <n v="0"/>
    <m/>
    <n v="0"/>
    <n v="1"/>
    <n v="890"/>
    <n v="25"/>
    <x v="2"/>
    <n v="1"/>
    <n v="3"/>
    <n v="81"/>
    <n v="2"/>
    <n v="4"/>
    <n v="4"/>
    <n v="13826"/>
    <n v="19028"/>
    <n v="3"/>
    <n v="22"/>
    <n v="4"/>
    <n v="3"/>
    <n v="80"/>
    <n v="0"/>
    <n v="31"/>
    <n v="3"/>
    <n v="9"/>
    <n v="8"/>
    <n v="0"/>
    <n v="0"/>
  </r>
  <r>
    <x v="1"/>
    <s v="Travel_Rarely"/>
    <x v="0"/>
    <s v="Current Employees"/>
    <x v="0"/>
    <x v="3"/>
    <x v="628"/>
    <n v="868"/>
    <x v="1"/>
    <x v="0"/>
    <x v="2"/>
    <s v="No"/>
    <s v="Y"/>
    <n v="2"/>
    <n v="-2"/>
    <n v="0"/>
    <n v="37"/>
    <n v="0"/>
    <m/>
    <n v="0"/>
    <n v="1"/>
    <n v="342"/>
    <n v="16"/>
    <x v="2"/>
    <n v="1"/>
    <n v="4"/>
    <n v="66"/>
    <n v="2"/>
    <n v="2"/>
    <n v="2"/>
    <n v="6334"/>
    <n v="24558"/>
    <n v="4"/>
    <n v="19"/>
    <n v="3"/>
    <n v="4"/>
    <n v="80"/>
    <n v="2"/>
    <n v="9"/>
    <n v="3"/>
    <n v="1"/>
    <n v="0"/>
    <n v="0"/>
    <n v="0"/>
  </r>
  <r>
    <x v="1"/>
    <s v="Travel_Rarely"/>
    <x v="2"/>
    <s v="Current Employees"/>
    <x v="2"/>
    <x v="2"/>
    <x v="629"/>
    <n v="869"/>
    <x v="1"/>
    <x v="8"/>
    <x v="2"/>
    <s v="No"/>
    <s v="Y"/>
    <n v="6"/>
    <n v="-2"/>
    <n v="0"/>
    <n v="28"/>
    <n v="0"/>
    <m/>
    <n v="0"/>
    <n v="1"/>
    <n v="1169"/>
    <n v="8"/>
    <x v="0"/>
    <n v="1"/>
    <n v="2"/>
    <n v="63"/>
    <n v="2"/>
    <n v="1"/>
    <n v="4"/>
    <n v="4936"/>
    <n v="23965"/>
    <n v="1"/>
    <n v="13"/>
    <n v="3"/>
    <n v="4"/>
    <n v="80"/>
    <n v="1"/>
    <n v="6"/>
    <n v="3"/>
    <n v="5"/>
    <n v="1"/>
    <n v="0"/>
    <n v="4"/>
  </r>
  <r>
    <x v="1"/>
    <s v="Travel_Rarely"/>
    <x v="4"/>
    <s v="Current Employees"/>
    <x v="1"/>
    <x v="0"/>
    <x v="630"/>
    <n v="872"/>
    <x v="1"/>
    <x v="3"/>
    <x v="1"/>
    <s v="No"/>
    <s v="Y"/>
    <n v="2"/>
    <n v="-2"/>
    <n v="0"/>
    <n v="22"/>
    <n v="0"/>
    <m/>
    <n v="0"/>
    <n v="1"/>
    <n v="1230"/>
    <n v="1"/>
    <x v="0"/>
    <n v="1"/>
    <n v="4"/>
    <n v="33"/>
    <n v="2"/>
    <n v="2"/>
    <n v="1"/>
    <n v="4775"/>
    <n v="19146"/>
    <n v="6"/>
    <n v="22"/>
    <n v="4"/>
    <n v="1"/>
    <n v="80"/>
    <n v="2"/>
    <n v="4"/>
    <n v="1"/>
    <n v="2"/>
    <n v="2"/>
    <n v="2"/>
    <n v="2"/>
  </r>
  <r>
    <x v="1"/>
    <s v="Travel_Rarely"/>
    <x v="0"/>
    <s v="Current Employees"/>
    <x v="1"/>
    <x v="0"/>
    <x v="631"/>
    <n v="874"/>
    <x v="1"/>
    <x v="2"/>
    <x v="1"/>
    <s v="Yes"/>
    <s v="Y"/>
    <n v="2"/>
    <n v="-2"/>
    <n v="0"/>
    <n v="44"/>
    <n v="0"/>
    <m/>
    <n v="0"/>
    <n v="1"/>
    <n v="986"/>
    <n v="8"/>
    <x v="2"/>
    <n v="1"/>
    <n v="1"/>
    <n v="62"/>
    <n v="4"/>
    <n v="1"/>
    <n v="1"/>
    <n v="2818"/>
    <n v="5044"/>
    <n v="2"/>
    <n v="24"/>
    <n v="4"/>
    <n v="3"/>
    <n v="80"/>
    <n v="1"/>
    <n v="10"/>
    <n v="2"/>
    <n v="3"/>
    <n v="2"/>
    <n v="0"/>
    <n v="2"/>
  </r>
  <r>
    <x v="1"/>
    <s v="Travel_Frequently"/>
    <x v="0"/>
    <s v="Current Employees"/>
    <x v="1"/>
    <x v="2"/>
    <x v="632"/>
    <n v="875"/>
    <x v="1"/>
    <x v="1"/>
    <x v="0"/>
    <s v="Yes"/>
    <s v="Y"/>
    <n v="2"/>
    <n v="-2"/>
    <n v="0"/>
    <n v="42"/>
    <n v="0"/>
    <m/>
    <n v="0"/>
    <n v="1"/>
    <n v="1271"/>
    <n v="2"/>
    <x v="1"/>
    <n v="1"/>
    <n v="2"/>
    <n v="35"/>
    <n v="3"/>
    <n v="1"/>
    <n v="4"/>
    <n v="2515"/>
    <n v="9068"/>
    <n v="5"/>
    <n v="14"/>
    <n v="3"/>
    <n v="4"/>
    <n v="80"/>
    <n v="0"/>
    <n v="8"/>
    <n v="3"/>
    <n v="2"/>
    <n v="1"/>
    <n v="2"/>
    <n v="2"/>
  </r>
  <r>
    <x v="1"/>
    <s v="Travel_Rarely"/>
    <x v="0"/>
    <s v="Current Employees"/>
    <x v="2"/>
    <x v="0"/>
    <x v="633"/>
    <n v="878"/>
    <x v="1"/>
    <x v="8"/>
    <x v="1"/>
    <s v="No"/>
    <s v="Y"/>
    <n v="3"/>
    <n v="-2"/>
    <n v="0"/>
    <n v="36"/>
    <n v="0"/>
    <m/>
    <n v="0"/>
    <n v="1"/>
    <n v="1278"/>
    <n v="8"/>
    <x v="3"/>
    <n v="1"/>
    <n v="1"/>
    <n v="77"/>
    <n v="2"/>
    <n v="1"/>
    <n v="1"/>
    <n v="2342"/>
    <n v="8635"/>
    <n v="0"/>
    <n v="21"/>
    <n v="4"/>
    <n v="3"/>
    <n v="80"/>
    <n v="0"/>
    <n v="6"/>
    <n v="3"/>
    <n v="5"/>
    <n v="4"/>
    <n v="0"/>
    <n v="3"/>
  </r>
  <r>
    <x v="1"/>
    <s v="Travel_Rarely"/>
    <x v="2"/>
    <s v="Current Employees"/>
    <x v="0"/>
    <x v="1"/>
    <x v="634"/>
    <n v="879"/>
    <x v="1"/>
    <x v="0"/>
    <x v="1"/>
    <s v="Yes"/>
    <s v="Y"/>
    <n v="3"/>
    <n v="-2"/>
    <n v="0"/>
    <n v="25"/>
    <n v="0"/>
    <m/>
    <n v="0"/>
    <n v="1"/>
    <n v="141"/>
    <n v="3"/>
    <x v="1"/>
    <n v="1"/>
    <n v="3"/>
    <n v="98"/>
    <n v="3"/>
    <n v="2"/>
    <n v="3"/>
    <n v="4194"/>
    <n v="14363"/>
    <n v="1"/>
    <n v="18"/>
    <n v="3"/>
    <n v="4"/>
    <n v="80"/>
    <n v="0"/>
    <n v="5"/>
    <n v="3"/>
    <n v="5"/>
    <n v="3"/>
    <n v="0"/>
    <n v="3"/>
  </r>
  <r>
    <x v="1"/>
    <s v="Travel_Rarely"/>
    <x v="0"/>
    <s v="Current Employees"/>
    <x v="1"/>
    <x v="0"/>
    <x v="635"/>
    <n v="880"/>
    <x v="0"/>
    <x v="3"/>
    <x v="1"/>
    <s v="Yes"/>
    <s v="Y"/>
    <n v="2"/>
    <n v="-2"/>
    <n v="0"/>
    <n v="35"/>
    <n v="0"/>
    <m/>
    <n v="0"/>
    <n v="1"/>
    <n v="607"/>
    <n v="9"/>
    <x v="3"/>
    <n v="1"/>
    <n v="4"/>
    <n v="66"/>
    <n v="2"/>
    <n v="3"/>
    <n v="1"/>
    <n v="10685"/>
    <n v="23457"/>
    <n v="1"/>
    <n v="20"/>
    <n v="4"/>
    <n v="2"/>
    <n v="80"/>
    <n v="1"/>
    <n v="17"/>
    <n v="3"/>
    <n v="17"/>
    <n v="14"/>
    <n v="5"/>
    <n v="15"/>
  </r>
  <r>
    <x v="0"/>
    <s v="Travel_Frequently"/>
    <x v="0"/>
    <s v="Ex-Employees"/>
    <x v="1"/>
    <x v="0"/>
    <x v="636"/>
    <n v="881"/>
    <x v="0"/>
    <x v="1"/>
    <x v="2"/>
    <s v="Yes"/>
    <s v="Y"/>
    <n v="3"/>
    <n v="-2"/>
    <n v="0"/>
    <n v="35"/>
    <n v="1"/>
    <n v="1"/>
    <n v="1"/>
    <n v="0"/>
    <n v="130"/>
    <n v="25"/>
    <x v="2"/>
    <n v="1"/>
    <n v="4"/>
    <n v="96"/>
    <n v="3"/>
    <n v="1"/>
    <n v="1"/>
    <n v="2022"/>
    <n v="16612"/>
    <n v="1"/>
    <n v="19"/>
    <n v="3"/>
    <n v="1"/>
    <n v="80"/>
    <n v="1"/>
    <n v="10"/>
    <n v="2"/>
    <n v="10"/>
    <n v="2"/>
    <n v="7"/>
    <n v="8"/>
  </r>
  <r>
    <x v="1"/>
    <s v="Non-Travel"/>
    <x v="2"/>
    <s v="Current Employees"/>
    <x v="1"/>
    <x v="0"/>
    <x v="637"/>
    <n v="882"/>
    <x v="1"/>
    <x v="2"/>
    <x v="2"/>
    <s v="No"/>
    <s v="Y"/>
    <n v="2"/>
    <n v="-2"/>
    <n v="0"/>
    <n v="32"/>
    <n v="0"/>
    <m/>
    <n v="0"/>
    <n v="1"/>
    <n v="300"/>
    <n v="1"/>
    <x v="3"/>
    <n v="1"/>
    <n v="4"/>
    <n v="61"/>
    <n v="3"/>
    <n v="1"/>
    <n v="1"/>
    <n v="2314"/>
    <n v="9148"/>
    <n v="0"/>
    <n v="12"/>
    <n v="3"/>
    <n v="2"/>
    <n v="80"/>
    <n v="1"/>
    <n v="4"/>
    <n v="3"/>
    <n v="3"/>
    <n v="0"/>
    <n v="0"/>
    <n v="2"/>
  </r>
  <r>
    <x v="1"/>
    <s v="Travel_Rarely"/>
    <x v="2"/>
    <s v="Current Employees"/>
    <x v="0"/>
    <x v="3"/>
    <x v="638"/>
    <n v="885"/>
    <x v="1"/>
    <x v="0"/>
    <x v="1"/>
    <s v="No"/>
    <s v="Y"/>
    <n v="1"/>
    <n v="-2"/>
    <n v="0"/>
    <n v="25"/>
    <n v="0"/>
    <m/>
    <n v="0"/>
    <n v="1"/>
    <n v="583"/>
    <n v="4"/>
    <x v="1"/>
    <n v="1"/>
    <n v="3"/>
    <n v="87"/>
    <n v="2"/>
    <n v="2"/>
    <n v="2"/>
    <n v="4256"/>
    <n v="18154"/>
    <n v="1"/>
    <n v="12"/>
    <n v="3"/>
    <n v="1"/>
    <n v="80"/>
    <n v="0"/>
    <n v="5"/>
    <n v="4"/>
    <n v="5"/>
    <n v="2"/>
    <n v="0"/>
    <n v="3"/>
  </r>
  <r>
    <x v="1"/>
    <s v="Travel_Rarely"/>
    <x v="1"/>
    <s v="Current Employees"/>
    <x v="1"/>
    <x v="4"/>
    <x v="639"/>
    <n v="887"/>
    <x v="0"/>
    <x v="1"/>
    <x v="1"/>
    <s v="No"/>
    <s v="Y"/>
    <n v="2"/>
    <n v="-2"/>
    <n v="0"/>
    <n v="49"/>
    <n v="0"/>
    <m/>
    <n v="0"/>
    <n v="1"/>
    <n v="1418"/>
    <n v="1"/>
    <x v="3"/>
    <n v="1"/>
    <n v="4"/>
    <n v="36"/>
    <n v="3"/>
    <n v="1"/>
    <n v="4"/>
    <n v="3580"/>
    <n v="10554"/>
    <n v="2"/>
    <n v="16"/>
    <n v="3"/>
    <n v="2"/>
    <n v="80"/>
    <n v="1"/>
    <n v="7"/>
    <n v="3"/>
    <n v="4"/>
    <n v="2"/>
    <n v="0"/>
    <n v="2"/>
  </r>
  <r>
    <x v="1"/>
    <s v="Non-Travel"/>
    <x v="4"/>
    <s v="Current Employees"/>
    <x v="1"/>
    <x v="0"/>
    <x v="640"/>
    <n v="888"/>
    <x v="1"/>
    <x v="2"/>
    <x v="1"/>
    <s v="No"/>
    <s v="Y"/>
    <n v="2"/>
    <n v="-2"/>
    <n v="0"/>
    <n v="24"/>
    <n v="0"/>
    <m/>
    <n v="0"/>
    <n v="1"/>
    <n v="1269"/>
    <n v="4"/>
    <x v="1"/>
    <n v="1"/>
    <n v="1"/>
    <n v="46"/>
    <n v="2"/>
    <n v="1"/>
    <n v="1"/>
    <n v="3162"/>
    <n v="10778"/>
    <n v="0"/>
    <n v="17"/>
    <n v="3"/>
    <n v="4"/>
    <n v="80"/>
    <n v="0"/>
    <n v="6"/>
    <n v="2"/>
    <n v="5"/>
    <n v="2"/>
    <n v="3"/>
    <n v="4"/>
  </r>
  <r>
    <x v="1"/>
    <s v="Travel_Frequently"/>
    <x v="2"/>
    <s v="Current Employees"/>
    <x v="0"/>
    <x v="0"/>
    <x v="641"/>
    <n v="889"/>
    <x v="1"/>
    <x v="0"/>
    <x v="1"/>
    <s v="No"/>
    <s v="Y"/>
    <n v="3"/>
    <n v="-2"/>
    <n v="0"/>
    <n v="32"/>
    <n v="0"/>
    <m/>
    <n v="0"/>
    <n v="1"/>
    <n v="379"/>
    <n v="5"/>
    <x v="0"/>
    <n v="1"/>
    <n v="2"/>
    <n v="48"/>
    <n v="3"/>
    <n v="2"/>
    <n v="1"/>
    <n v="6524"/>
    <n v="8891"/>
    <n v="1"/>
    <n v="14"/>
    <n v="3"/>
    <n v="4"/>
    <n v="80"/>
    <n v="1"/>
    <n v="10"/>
    <n v="3"/>
    <n v="10"/>
    <n v="8"/>
    <n v="5"/>
    <n v="3"/>
  </r>
  <r>
    <x v="1"/>
    <s v="Travel_Rarely"/>
    <x v="0"/>
    <s v="Current Employees"/>
    <x v="0"/>
    <x v="3"/>
    <x v="642"/>
    <n v="893"/>
    <x v="1"/>
    <x v="6"/>
    <x v="1"/>
    <s v="No"/>
    <s v="Y"/>
    <n v="3"/>
    <n v="-2"/>
    <n v="0"/>
    <n v="38"/>
    <n v="0"/>
    <m/>
    <n v="0"/>
    <n v="1"/>
    <n v="395"/>
    <n v="9"/>
    <x v="3"/>
    <n v="1"/>
    <n v="2"/>
    <n v="98"/>
    <n v="2"/>
    <n v="1"/>
    <n v="2"/>
    <n v="2899"/>
    <n v="12102"/>
    <n v="0"/>
    <n v="19"/>
    <n v="3"/>
    <n v="4"/>
    <n v="80"/>
    <n v="1"/>
    <n v="3"/>
    <n v="3"/>
    <n v="2"/>
    <n v="2"/>
    <n v="1"/>
    <n v="2"/>
  </r>
  <r>
    <x v="1"/>
    <s v="Travel_Rarely"/>
    <x v="0"/>
    <s v="Current Employees"/>
    <x v="1"/>
    <x v="0"/>
    <x v="643"/>
    <n v="894"/>
    <x v="0"/>
    <x v="2"/>
    <x v="1"/>
    <s v="Yes"/>
    <s v="Y"/>
    <n v="1"/>
    <n v="-2"/>
    <n v="0"/>
    <n v="42"/>
    <n v="0"/>
    <m/>
    <n v="0"/>
    <n v="1"/>
    <n v="1265"/>
    <n v="3"/>
    <x v="3"/>
    <n v="1"/>
    <n v="3"/>
    <n v="95"/>
    <n v="4"/>
    <n v="2"/>
    <n v="1"/>
    <n v="5231"/>
    <n v="23726"/>
    <n v="2"/>
    <n v="13"/>
    <n v="3"/>
    <n v="2"/>
    <n v="80"/>
    <n v="1"/>
    <n v="17"/>
    <n v="2"/>
    <n v="5"/>
    <n v="3"/>
    <n v="1"/>
    <n v="3"/>
  </r>
  <r>
    <x v="1"/>
    <s v="Travel_Rarely"/>
    <x v="2"/>
    <s v="Current Employees"/>
    <x v="1"/>
    <x v="0"/>
    <x v="644"/>
    <n v="895"/>
    <x v="1"/>
    <x v="1"/>
    <x v="1"/>
    <s v="Yes"/>
    <s v="Y"/>
    <n v="2"/>
    <n v="-2"/>
    <n v="0"/>
    <n v="31"/>
    <n v="0"/>
    <m/>
    <n v="0"/>
    <n v="1"/>
    <n v="1222"/>
    <n v="11"/>
    <x v="2"/>
    <n v="1"/>
    <n v="4"/>
    <n v="48"/>
    <n v="3"/>
    <n v="1"/>
    <n v="1"/>
    <n v="2356"/>
    <n v="14871"/>
    <n v="3"/>
    <n v="19"/>
    <n v="3"/>
    <n v="2"/>
    <n v="80"/>
    <n v="1"/>
    <n v="8"/>
    <n v="3"/>
    <n v="6"/>
    <n v="4"/>
    <n v="0"/>
    <n v="2"/>
  </r>
  <r>
    <x v="0"/>
    <s v="Travel_Rarely"/>
    <x v="2"/>
    <s v="Ex-Employees"/>
    <x v="0"/>
    <x v="2"/>
    <x v="645"/>
    <n v="896"/>
    <x v="0"/>
    <x v="6"/>
    <x v="2"/>
    <s v="Yes"/>
    <s v="Y"/>
    <n v="3"/>
    <n v="-2"/>
    <n v="0"/>
    <n v="29"/>
    <n v="1"/>
    <n v="1"/>
    <n v="1"/>
    <n v="0"/>
    <n v="341"/>
    <n v="1"/>
    <x v="3"/>
    <n v="1"/>
    <n v="2"/>
    <n v="48"/>
    <n v="2"/>
    <n v="1"/>
    <n v="3"/>
    <n v="2800"/>
    <n v="23522"/>
    <n v="6"/>
    <n v="19"/>
    <n v="3"/>
    <n v="3"/>
    <n v="80"/>
    <n v="3"/>
    <n v="5"/>
    <n v="3"/>
    <n v="3"/>
    <n v="2"/>
    <n v="0"/>
    <n v="2"/>
  </r>
  <r>
    <x v="1"/>
    <s v="Travel_Rarely"/>
    <x v="1"/>
    <s v="Current Employees"/>
    <x v="0"/>
    <x v="3"/>
    <x v="646"/>
    <n v="897"/>
    <x v="1"/>
    <x v="0"/>
    <x v="1"/>
    <s v="No"/>
    <s v="Y"/>
    <n v="3"/>
    <n v="-2"/>
    <n v="0"/>
    <n v="53"/>
    <n v="0"/>
    <m/>
    <n v="0"/>
    <n v="1"/>
    <n v="868"/>
    <n v="8"/>
    <x v="3"/>
    <n v="1"/>
    <n v="1"/>
    <n v="73"/>
    <n v="3"/>
    <n v="4"/>
    <n v="2"/>
    <n v="11836"/>
    <n v="22789"/>
    <n v="5"/>
    <n v="14"/>
    <n v="3"/>
    <n v="3"/>
    <n v="80"/>
    <n v="1"/>
    <n v="28"/>
    <n v="3"/>
    <n v="2"/>
    <n v="0"/>
    <n v="2"/>
    <n v="2"/>
  </r>
  <r>
    <x v="1"/>
    <s v="Travel_Rarely"/>
    <x v="0"/>
    <s v="Current Employees"/>
    <x v="1"/>
    <x v="4"/>
    <x v="647"/>
    <n v="899"/>
    <x v="1"/>
    <x v="3"/>
    <x v="1"/>
    <s v="No"/>
    <s v="Y"/>
    <n v="2"/>
    <n v="-2"/>
    <n v="0"/>
    <n v="35"/>
    <n v="0"/>
    <m/>
    <n v="0"/>
    <n v="1"/>
    <n v="672"/>
    <n v="25"/>
    <x v="3"/>
    <n v="1"/>
    <n v="4"/>
    <n v="78"/>
    <n v="2"/>
    <n v="3"/>
    <n v="4"/>
    <n v="10903"/>
    <n v="9129"/>
    <n v="3"/>
    <n v="16"/>
    <n v="3"/>
    <n v="1"/>
    <n v="80"/>
    <n v="0"/>
    <n v="16"/>
    <n v="3"/>
    <n v="13"/>
    <n v="10"/>
    <n v="4"/>
    <n v="8"/>
  </r>
  <r>
    <x v="1"/>
    <s v="Travel_Frequently"/>
    <x v="0"/>
    <s v="Current Employees"/>
    <x v="0"/>
    <x v="2"/>
    <x v="648"/>
    <n v="900"/>
    <x v="0"/>
    <x v="6"/>
    <x v="1"/>
    <s v="No"/>
    <s v="Y"/>
    <n v="3"/>
    <n v="-2"/>
    <n v="0"/>
    <n v="37"/>
    <n v="0"/>
    <m/>
    <n v="0"/>
    <n v="1"/>
    <n v="1231"/>
    <n v="21"/>
    <x v="0"/>
    <n v="1"/>
    <n v="3"/>
    <n v="54"/>
    <n v="3"/>
    <n v="1"/>
    <n v="4"/>
    <n v="2973"/>
    <n v="21222"/>
    <n v="5"/>
    <n v="15"/>
    <n v="3"/>
    <n v="2"/>
    <n v="80"/>
    <n v="1"/>
    <n v="10"/>
    <n v="3"/>
    <n v="5"/>
    <n v="4"/>
    <n v="0"/>
    <n v="0"/>
  </r>
  <r>
    <x v="1"/>
    <s v="Travel_Rarely"/>
    <x v="1"/>
    <s v="Current Employees"/>
    <x v="1"/>
    <x v="0"/>
    <x v="649"/>
    <n v="901"/>
    <x v="0"/>
    <x v="7"/>
    <x v="0"/>
    <s v="No"/>
    <s v="Y"/>
    <n v="0"/>
    <n v="-2"/>
    <n v="0"/>
    <n v="53"/>
    <n v="0"/>
    <m/>
    <n v="0"/>
    <n v="1"/>
    <n v="102"/>
    <n v="23"/>
    <x v="2"/>
    <n v="1"/>
    <n v="4"/>
    <n v="72"/>
    <n v="3"/>
    <n v="4"/>
    <n v="1"/>
    <n v="14275"/>
    <n v="20206"/>
    <n v="6"/>
    <n v="18"/>
    <n v="3"/>
    <n v="3"/>
    <n v="80"/>
    <n v="0"/>
    <n v="33"/>
    <n v="3"/>
    <n v="12"/>
    <n v="9"/>
    <n v="3"/>
    <n v="8"/>
  </r>
  <r>
    <x v="1"/>
    <s v="Travel_Frequently"/>
    <x v="0"/>
    <s v="Current Employees"/>
    <x v="1"/>
    <x v="0"/>
    <x v="650"/>
    <n v="902"/>
    <x v="0"/>
    <x v="4"/>
    <x v="1"/>
    <s v="No"/>
    <s v="Y"/>
    <n v="2"/>
    <n v="-2"/>
    <n v="0"/>
    <n v="43"/>
    <n v="0"/>
    <m/>
    <n v="0"/>
    <n v="1"/>
    <n v="422"/>
    <n v="1"/>
    <x v="3"/>
    <n v="1"/>
    <n v="4"/>
    <n v="33"/>
    <n v="3"/>
    <n v="2"/>
    <n v="1"/>
    <n v="5562"/>
    <n v="21782"/>
    <n v="4"/>
    <n v="13"/>
    <n v="3"/>
    <n v="2"/>
    <n v="80"/>
    <n v="1"/>
    <n v="12"/>
    <n v="2"/>
    <n v="5"/>
    <n v="2"/>
    <n v="2"/>
    <n v="2"/>
  </r>
  <r>
    <x v="1"/>
    <s v="Travel_Rarely"/>
    <x v="1"/>
    <s v="Current Employees"/>
    <x v="0"/>
    <x v="3"/>
    <x v="651"/>
    <n v="903"/>
    <x v="0"/>
    <x v="0"/>
    <x v="1"/>
    <s v="Yes"/>
    <s v="Y"/>
    <n v="2"/>
    <n v="-2"/>
    <n v="0"/>
    <n v="47"/>
    <n v="0"/>
    <m/>
    <n v="0"/>
    <n v="1"/>
    <n v="249"/>
    <n v="2"/>
    <x v="0"/>
    <n v="1"/>
    <n v="3"/>
    <n v="35"/>
    <n v="3"/>
    <n v="2"/>
    <n v="2"/>
    <n v="4537"/>
    <n v="17783"/>
    <n v="0"/>
    <n v="22"/>
    <n v="4"/>
    <n v="1"/>
    <n v="80"/>
    <n v="1"/>
    <n v="8"/>
    <n v="3"/>
    <n v="7"/>
    <n v="6"/>
    <n v="7"/>
    <n v="7"/>
  </r>
  <r>
    <x v="1"/>
    <s v="Non-Travel"/>
    <x v="0"/>
    <s v="Current Employees"/>
    <x v="0"/>
    <x v="2"/>
    <x v="652"/>
    <n v="904"/>
    <x v="1"/>
    <x v="0"/>
    <x v="0"/>
    <s v="Yes"/>
    <s v="Y"/>
    <n v="2"/>
    <n v="-2"/>
    <n v="0"/>
    <n v="37"/>
    <n v="0"/>
    <m/>
    <n v="0"/>
    <n v="1"/>
    <n v="1252"/>
    <n v="19"/>
    <x v="0"/>
    <n v="1"/>
    <n v="1"/>
    <n v="32"/>
    <n v="3"/>
    <n v="3"/>
    <n v="3"/>
    <n v="7642"/>
    <n v="4814"/>
    <n v="1"/>
    <n v="13"/>
    <n v="3"/>
    <n v="4"/>
    <n v="80"/>
    <n v="0"/>
    <n v="10"/>
    <n v="3"/>
    <n v="10"/>
    <n v="0"/>
    <n v="0"/>
    <n v="9"/>
  </r>
  <r>
    <x v="1"/>
    <s v="Non-Travel"/>
    <x v="1"/>
    <s v="Current Employees"/>
    <x v="1"/>
    <x v="0"/>
    <x v="653"/>
    <n v="905"/>
    <x v="1"/>
    <x v="5"/>
    <x v="2"/>
    <s v="No"/>
    <s v="Y"/>
    <n v="3"/>
    <n v="-2"/>
    <n v="0"/>
    <n v="50"/>
    <n v="0"/>
    <m/>
    <n v="0"/>
    <n v="1"/>
    <n v="881"/>
    <n v="2"/>
    <x v="2"/>
    <n v="1"/>
    <n v="1"/>
    <n v="98"/>
    <n v="3"/>
    <n v="4"/>
    <n v="1"/>
    <n v="17924"/>
    <n v="4544"/>
    <n v="1"/>
    <n v="11"/>
    <n v="3"/>
    <n v="4"/>
    <n v="80"/>
    <n v="1"/>
    <n v="31"/>
    <n v="3"/>
    <n v="31"/>
    <n v="6"/>
    <n v="14"/>
    <n v="7"/>
  </r>
  <r>
    <x v="1"/>
    <s v="Travel_Rarely"/>
    <x v="0"/>
    <s v="Current Employees"/>
    <x v="2"/>
    <x v="0"/>
    <x v="654"/>
    <n v="909"/>
    <x v="0"/>
    <x v="8"/>
    <x v="1"/>
    <s v="No"/>
    <s v="Y"/>
    <n v="2"/>
    <n v="-2"/>
    <n v="0"/>
    <n v="39"/>
    <n v="0"/>
    <m/>
    <n v="0"/>
    <n v="1"/>
    <n v="1383"/>
    <n v="2"/>
    <x v="3"/>
    <n v="1"/>
    <n v="4"/>
    <n v="42"/>
    <n v="2"/>
    <n v="2"/>
    <n v="1"/>
    <n v="5204"/>
    <n v="7790"/>
    <n v="8"/>
    <n v="11"/>
    <n v="3"/>
    <n v="3"/>
    <n v="80"/>
    <n v="2"/>
    <n v="13"/>
    <n v="3"/>
    <n v="5"/>
    <n v="4"/>
    <n v="0"/>
    <n v="4"/>
  </r>
  <r>
    <x v="1"/>
    <s v="Travel_Rarely"/>
    <x v="2"/>
    <s v="Current Employees"/>
    <x v="2"/>
    <x v="5"/>
    <x v="655"/>
    <n v="910"/>
    <x v="1"/>
    <x v="8"/>
    <x v="2"/>
    <s v="Yes"/>
    <s v="Y"/>
    <n v="4"/>
    <n v="-2"/>
    <n v="0"/>
    <n v="33"/>
    <n v="0"/>
    <m/>
    <n v="0"/>
    <n v="1"/>
    <n v="1075"/>
    <n v="3"/>
    <x v="0"/>
    <n v="1"/>
    <n v="4"/>
    <n v="57"/>
    <n v="3"/>
    <n v="1"/>
    <n v="3"/>
    <n v="2277"/>
    <n v="22650"/>
    <n v="3"/>
    <n v="11"/>
    <n v="3"/>
    <n v="3"/>
    <n v="80"/>
    <n v="1"/>
    <n v="7"/>
    <n v="4"/>
    <n v="4"/>
    <n v="3"/>
    <n v="0"/>
    <n v="3"/>
  </r>
  <r>
    <x v="0"/>
    <s v="Travel_Rarely"/>
    <x v="2"/>
    <s v="Ex-Employees"/>
    <x v="1"/>
    <x v="0"/>
    <x v="656"/>
    <n v="911"/>
    <x v="1"/>
    <x v="2"/>
    <x v="0"/>
    <s v="Yes"/>
    <s v="Y"/>
    <n v="2"/>
    <n v="-2"/>
    <n v="0"/>
    <n v="32"/>
    <n v="1"/>
    <n v="1"/>
    <n v="1"/>
    <n v="0"/>
    <n v="374"/>
    <n v="25"/>
    <x v="2"/>
    <n v="1"/>
    <n v="1"/>
    <n v="87"/>
    <n v="3"/>
    <n v="1"/>
    <n v="1"/>
    <n v="2795"/>
    <n v="18016"/>
    <n v="1"/>
    <n v="24"/>
    <n v="4"/>
    <n v="3"/>
    <n v="80"/>
    <n v="0"/>
    <n v="1"/>
    <n v="1"/>
    <n v="1"/>
    <n v="0"/>
    <n v="0"/>
    <n v="1"/>
  </r>
  <r>
    <x v="1"/>
    <s v="Travel_Rarely"/>
    <x v="2"/>
    <s v="Current Employees"/>
    <x v="1"/>
    <x v="2"/>
    <x v="657"/>
    <n v="912"/>
    <x v="0"/>
    <x v="2"/>
    <x v="2"/>
    <s v="No"/>
    <s v="Y"/>
    <n v="5"/>
    <n v="-2"/>
    <n v="0"/>
    <n v="29"/>
    <n v="0"/>
    <m/>
    <n v="0"/>
    <n v="1"/>
    <n v="1086"/>
    <n v="7"/>
    <x v="1"/>
    <n v="1"/>
    <n v="1"/>
    <n v="62"/>
    <n v="2"/>
    <n v="1"/>
    <n v="4"/>
    <n v="2532"/>
    <n v="6054"/>
    <n v="6"/>
    <n v="14"/>
    <n v="3"/>
    <n v="3"/>
    <n v="80"/>
    <n v="3"/>
    <n v="8"/>
    <n v="3"/>
    <n v="4"/>
    <n v="3"/>
    <n v="0"/>
    <n v="3"/>
  </r>
  <r>
    <x v="1"/>
    <s v="Travel_Rarely"/>
    <x v="0"/>
    <s v="Current Employees"/>
    <x v="1"/>
    <x v="0"/>
    <x v="658"/>
    <n v="913"/>
    <x v="1"/>
    <x v="1"/>
    <x v="1"/>
    <s v="Yes"/>
    <s v="Y"/>
    <n v="0"/>
    <n v="-2"/>
    <n v="0"/>
    <n v="44"/>
    <n v="0"/>
    <m/>
    <n v="0"/>
    <n v="1"/>
    <n v="661"/>
    <n v="9"/>
    <x v="0"/>
    <n v="1"/>
    <n v="2"/>
    <n v="61"/>
    <n v="3"/>
    <n v="1"/>
    <n v="1"/>
    <n v="2559"/>
    <n v="7508"/>
    <n v="1"/>
    <n v="13"/>
    <n v="3"/>
    <n v="4"/>
    <n v="80"/>
    <n v="0"/>
    <n v="8"/>
    <n v="3"/>
    <n v="8"/>
    <n v="7"/>
    <n v="7"/>
    <n v="1"/>
  </r>
  <r>
    <x v="1"/>
    <s v="Travel_Rarely"/>
    <x v="2"/>
    <s v="Current Employees"/>
    <x v="0"/>
    <x v="2"/>
    <x v="659"/>
    <n v="916"/>
    <x v="1"/>
    <x v="0"/>
    <x v="0"/>
    <s v="No"/>
    <s v="Y"/>
    <n v="3"/>
    <n v="-2"/>
    <n v="0"/>
    <n v="28"/>
    <n v="0"/>
    <m/>
    <n v="0"/>
    <n v="1"/>
    <n v="821"/>
    <n v="5"/>
    <x v="2"/>
    <n v="1"/>
    <n v="1"/>
    <n v="98"/>
    <n v="3"/>
    <n v="2"/>
    <n v="4"/>
    <n v="4908"/>
    <n v="24252"/>
    <n v="1"/>
    <n v="14"/>
    <n v="3"/>
    <n v="2"/>
    <n v="80"/>
    <n v="0"/>
    <n v="4"/>
    <n v="3"/>
    <n v="4"/>
    <n v="2"/>
    <n v="0"/>
    <n v="2"/>
  </r>
  <r>
    <x v="0"/>
    <s v="Travel_Frequently"/>
    <x v="3"/>
    <s v="Ex-Employees"/>
    <x v="1"/>
    <x v="0"/>
    <x v="660"/>
    <n v="918"/>
    <x v="1"/>
    <x v="2"/>
    <x v="2"/>
    <s v="Yes"/>
    <s v="Y"/>
    <n v="3"/>
    <n v="-2"/>
    <n v="0"/>
    <n v="58"/>
    <n v="1"/>
    <n v="1"/>
    <n v="1"/>
    <n v="0"/>
    <n v="781"/>
    <n v="2"/>
    <x v="1"/>
    <n v="1"/>
    <n v="4"/>
    <n v="57"/>
    <n v="2"/>
    <n v="1"/>
    <n v="1"/>
    <n v="2380"/>
    <n v="13384"/>
    <n v="9"/>
    <n v="14"/>
    <n v="3"/>
    <n v="4"/>
    <n v="80"/>
    <n v="1"/>
    <n v="3"/>
    <n v="2"/>
    <n v="1"/>
    <n v="0"/>
    <n v="0"/>
    <n v="0"/>
  </r>
  <r>
    <x v="1"/>
    <s v="Travel_Rarely"/>
    <x v="0"/>
    <s v="Current Employees"/>
    <x v="1"/>
    <x v="0"/>
    <x v="661"/>
    <n v="920"/>
    <x v="0"/>
    <x v="3"/>
    <x v="2"/>
    <s v="No"/>
    <s v="Y"/>
    <n v="2"/>
    <n v="-2"/>
    <n v="0"/>
    <n v="43"/>
    <n v="0"/>
    <m/>
    <n v="0"/>
    <n v="1"/>
    <n v="177"/>
    <n v="8"/>
    <x v="3"/>
    <n v="1"/>
    <n v="1"/>
    <n v="55"/>
    <n v="3"/>
    <n v="2"/>
    <n v="1"/>
    <n v="4765"/>
    <n v="23814"/>
    <n v="4"/>
    <n v="21"/>
    <n v="4"/>
    <n v="3"/>
    <n v="80"/>
    <n v="1"/>
    <n v="4"/>
    <n v="4"/>
    <n v="1"/>
    <n v="0"/>
    <n v="0"/>
    <n v="0"/>
  </r>
  <r>
    <x v="0"/>
    <s v="Travel_Rarely"/>
    <x v="4"/>
    <s v="Ex-Employees"/>
    <x v="0"/>
    <x v="2"/>
    <x v="662"/>
    <n v="922"/>
    <x v="0"/>
    <x v="6"/>
    <x v="0"/>
    <s v="No"/>
    <s v="Y"/>
    <n v="3"/>
    <n v="-2"/>
    <n v="0"/>
    <n v="20"/>
    <n v="1"/>
    <n v="1"/>
    <n v="1"/>
    <n v="0"/>
    <n v="500"/>
    <n v="2"/>
    <x v="3"/>
    <n v="1"/>
    <n v="3"/>
    <n v="49"/>
    <n v="2"/>
    <n v="1"/>
    <n v="3"/>
    <n v="2044"/>
    <n v="22052"/>
    <n v="1"/>
    <n v="13"/>
    <n v="3"/>
    <n v="4"/>
    <n v="80"/>
    <n v="0"/>
    <n v="2"/>
    <n v="2"/>
    <n v="2"/>
    <n v="2"/>
    <n v="0"/>
    <n v="2"/>
  </r>
  <r>
    <x v="0"/>
    <s v="Travel_Rarely"/>
    <x v="4"/>
    <s v="Ex-Employees"/>
    <x v="1"/>
    <x v="1"/>
    <x v="663"/>
    <n v="923"/>
    <x v="0"/>
    <x v="1"/>
    <x v="0"/>
    <s v="No"/>
    <s v="Y"/>
    <n v="3"/>
    <n v="-2"/>
    <n v="0"/>
    <n v="21"/>
    <n v="1"/>
    <n v="1"/>
    <n v="1"/>
    <n v="0"/>
    <n v="1427"/>
    <n v="18"/>
    <x v="1"/>
    <n v="1"/>
    <n v="4"/>
    <n v="65"/>
    <n v="3"/>
    <n v="1"/>
    <n v="4"/>
    <n v="2693"/>
    <n v="8870"/>
    <n v="1"/>
    <n v="19"/>
    <n v="3"/>
    <n v="1"/>
    <n v="80"/>
    <n v="0"/>
    <n v="1"/>
    <n v="2"/>
    <n v="1"/>
    <n v="0"/>
    <n v="0"/>
    <n v="0"/>
  </r>
  <r>
    <x v="1"/>
    <s v="Travel_Rarely"/>
    <x v="0"/>
    <s v="Current Employees"/>
    <x v="1"/>
    <x v="0"/>
    <x v="664"/>
    <n v="924"/>
    <x v="1"/>
    <x v="4"/>
    <x v="1"/>
    <s v="Yes"/>
    <s v="Y"/>
    <n v="2"/>
    <n v="-2"/>
    <n v="0"/>
    <n v="36"/>
    <n v="0"/>
    <m/>
    <n v="0"/>
    <n v="1"/>
    <n v="1425"/>
    <n v="14"/>
    <x v="1"/>
    <n v="1"/>
    <n v="3"/>
    <n v="68"/>
    <n v="3"/>
    <n v="2"/>
    <n v="1"/>
    <n v="6586"/>
    <n v="4821"/>
    <n v="0"/>
    <n v="17"/>
    <n v="3"/>
    <n v="1"/>
    <n v="80"/>
    <n v="1"/>
    <n v="17"/>
    <n v="2"/>
    <n v="16"/>
    <n v="8"/>
    <n v="4"/>
    <n v="11"/>
  </r>
  <r>
    <x v="1"/>
    <s v="Travel_Rarely"/>
    <x v="1"/>
    <s v="Current Employees"/>
    <x v="0"/>
    <x v="0"/>
    <x v="665"/>
    <n v="925"/>
    <x v="0"/>
    <x v="6"/>
    <x v="0"/>
    <s v="Yes"/>
    <s v="Y"/>
    <n v="3"/>
    <n v="-2"/>
    <n v="0"/>
    <n v="47"/>
    <n v="0"/>
    <m/>
    <n v="0"/>
    <n v="1"/>
    <n v="1454"/>
    <n v="2"/>
    <x v="2"/>
    <n v="1"/>
    <n v="4"/>
    <n v="65"/>
    <n v="2"/>
    <n v="1"/>
    <n v="1"/>
    <n v="3294"/>
    <n v="13137"/>
    <n v="1"/>
    <n v="18"/>
    <n v="3"/>
    <n v="1"/>
    <n v="80"/>
    <n v="0"/>
    <n v="3"/>
    <n v="2"/>
    <n v="3"/>
    <n v="2"/>
    <n v="1"/>
    <n v="2"/>
  </r>
  <r>
    <x v="0"/>
    <s v="Travel_Rarely"/>
    <x v="4"/>
    <s v="Ex-Employees"/>
    <x v="1"/>
    <x v="0"/>
    <x v="666"/>
    <n v="926"/>
    <x v="0"/>
    <x v="3"/>
    <x v="1"/>
    <s v="Yes"/>
    <s v="Y"/>
    <n v="3"/>
    <n v="-2"/>
    <n v="0"/>
    <n v="22"/>
    <n v="1"/>
    <n v="1"/>
    <n v="1"/>
    <n v="0"/>
    <n v="617"/>
    <n v="3"/>
    <x v="1"/>
    <n v="1"/>
    <n v="2"/>
    <n v="34"/>
    <n v="3"/>
    <n v="2"/>
    <n v="1"/>
    <n v="4171"/>
    <n v="10022"/>
    <n v="0"/>
    <n v="19"/>
    <n v="3"/>
    <n v="1"/>
    <n v="80"/>
    <n v="1"/>
    <n v="4"/>
    <n v="4"/>
    <n v="3"/>
    <n v="2"/>
    <n v="0"/>
    <n v="2"/>
  </r>
  <r>
    <x v="0"/>
    <s v="Travel_Rarely"/>
    <x v="0"/>
    <s v="Ex-Employees"/>
    <x v="1"/>
    <x v="0"/>
    <x v="667"/>
    <n v="927"/>
    <x v="0"/>
    <x v="2"/>
    <x v="2"/>
    <s v="Yes"/>
    <s v="Y"/>
    <n v="1"/>
    <n v="-2"/>
    <n v="0"/>
    <n v="41"/>
    <n v="1"/>
    <n v="1"/>
    <n v="1"/>
    <n v="0"/>
    <n v="1085"/>
    <n v="2"/>
    <x v="2"/>
    <n v="1"/>
    <n v="2"/>
    <n v="57"/>
    <n v="1"/>
    <n v="1"/>
    <n v="1"/>
    <n v="2778"/>
    <n v="17725"/>
    <n v="4"/>
    <n v="13"/>
    <n v="3"/>
    <n v="3"/>
    <n v="80"/>
    <n v="1"/>
    <n v="10"/>
    <n v="2"/>
    <n v="7"/>
    <n v="7"/>
    <n v="1"/>
    <n v="0"/>
  </r>
  <r>
    <x v="1"/>
    <s v="Travel_Rarely"/>
    <x v="2"/>
    <s v="Current Employees"/>
    <x v="1"/>
    <x v="2"/>
    <x v="668"/>
    <n v="930"/>
    <x v="0"/>
    <x v="1"/>
    <x v="2"/>
    <s v="No"/>
    <s v="Y"/>
    <n v="2"/>
    <n v="-2"/>
    <n v="0"/>
    <n v="28"/>
    <n v="0"/>
    <m/>
    <n v="0"/>
    <n v="1"/>
    <n v="995"/>
    <n v="9"/>
    <x v="3"/>
    <n v="1"/>
    <n v="3"/>
    <n v="77"/>
    <n v="3"/>
    <n v="1"/>
    <n v="3"/>
    <n v="2377"/>
    <n v="9834"/>
    <n v="5"/>
    <n v="18"/>
    <n v="3"/>
    <n v="2"/>
    <n v="80"/>
    <n v="1"/>
    <n v="6"/>
    <n v="3"/>
    <n v="2"/>
    <n v="2"/>
    <n v="2"/>
    <n v="2"/>
  </r>
  <r>
    <x v="0"/>
    <s v="Travel_Rarely"/>
    <x v="0"/>
    <s v="Ex-Employees"/>
    <x v="1"/>
    <x v="2"/>
    <x v="669"/>
    <n v="932"/>
    <x v="1"/>
    <x v="2"/>
    <x v="1"/>
    <s v="Yes"/>
    <s v="Y"/>
    <n v="2"/>
    <n v="-2"/>
    <n v="0"/>
    <n v="39"/>
    <n v="1"/>
    <n v="1"/>
    <n v="1"/>
    <n v="0"/>
    <n v="1122"/>
    <n v="6"/>
    <x v="3"/>
    <n v="1"/>
    <n v="4"/>
    <n v="70"/>
    <n v="3"/>
    <n v="1"/>
    <n v="3"/>
    <n v="2404"/>
    <n v="4303"/>
    <n v="7"/>
    <n v="21"/>
    <n v="4"/>
    <n v="4"/>
    <n v="80"/>
    <n v="0"/>
    <n v="8"/>
    <n v="1"/>
    <n v="2"/>
    <n v="2"/>
    <n v="2"/>
    <n v="2"/>
  </r>
  <r>
    <x v="1"/>
    <s v="Travel_Rarely"/>
    <x v="2"/>
    <s v="Current Employees"/>
    <x v="1"/>
    <x v="0"/>
    <x v="670"/>
    <n v="933"/>
    <x v="0"/>
    <x v="1"/>
    <x v="0"/>
    <s v="No"/>
    <s v="Y"/>
    <n v="2"/>
    <n v="-2"/>
    <n v="0"/>
    <n v="27"/>
    <n v="0"/>
    <m/>
    <n v="0"/>
    <n v="1"/>
    <n v="618"/>
    <n v="4"/>
    <x v="3"/>
    <n v="1"/>
    <n v="2"/>
    <n v="76"/>
    <n v="3"/>
    <n v="1"/>
    <n v="1"/>
    <n v="2318"/>
    <n v="17808"/>
    <n v="1"/>
    <n v="19"/>
    <n v="3"/>
    <n v="3"/>
    <n v="80"/>
    <n v="0"/>
    <n v="1"/>
    <n v="3"/>
    <n v="1"/>
    <n v="1"/>
    <n v="0"/>
    <n v="0"/>
  </r>
  <r>
    <x v="1"/>
    <s v="Travel_Rarely"/>
    <x v="2"/>
    <s v="Current Employees"/>
    <x v="1"/>
    <x v="0"/>
    <x v="671"/>
    <n v="934"/>
    <x v="1"/>
    <x v="2"/>
    <x v="2"/>
    <s v="No"/>
    <s v="Y"/>
    <n v="3"/>
    <n v="-2"/>
    <n v="0"/>
    <n v="34"/>
    <n v="0"/>
    <m/>
    <n v="0"/>
    <n v="1"/>
    <n v="546"/>
    <n v="10"/>
    <x v="3"/>
    <n v="1"/>
    <n v="2"/>
    <n v="83"/>
    <n v="3"/>
    <n v="1"/>
    <n v="1"/>
    <n v="2008"/>
    <n v="6896"/>
    <n v="1"/>
    <n v="14"/>
    <n v="3"/>
    <n v="2"/>
    <n v="80"/>
    <n v="2"/>
    <n v="1"/>
    <n v="3"/>
    <n v="1"/>
    <n v="0"/>
    <n v="1"/>
    <n v="0"/>
  </r>
  <r>
    <x v="1"/>
    <s v="Travel_Rarely"/>
    <x v="0"/>
    <s v="Current Employees"/>
    <x v="0"/>
    <x v="2"/>
    <x v="672"/>
    <n v="936"/>
    <x v="0"/>
    <x v="0"/>
    <x v="0"/>
    <s v="No"/>
    <s v="Y"/>
    <n v="6"/>
    <n v="-2"/>
    <n v="0"/>
    <n v="42"/>
    <n v="0"/>
    <m/>
    <n v="0"/>
    <n v="1"/>
    <n v="462"/>
    <n v="14"/>
    <x v="0"/>
    <n v="1"/>
    <n v="3"/>
    <n v="68"/>
    <n v="2"/>
    <n v="2"/>
    <n v="3"/>
    <n v="6244"/>
    <n v="7824"/>
    <n v="7"/>
    <n v="17"/>
    <n v="3"/>
    <n v="1"/>
    <n v="80"/>
    <n v="0"/>
    <n v="10"/>
    <n v="3"/>
    <n v="5"/>
    <n v="4"/>
    <n v="0"/>
    <n v="3"/>
  </r>
  <r>
    <x v="1"/>
    <s v="Travel_Rarely"/>
    <x v="2"/>
    <s v="Current Employees"/>
    <x v="1"/>
    <x v="1"/>
    <x v="673"/>
    <n v="939"/>
    <x v="1"/>
    <x v="1"/>
    <x v="0"/>
    <s v="Yes"/>
    <s v="Y"/>
    <n v="1"/>
    <n v="-2"/>
    <n v="0"/>
    <n v="33"/>
    <n v="0"/>
    <m/>
    <n v="0"/>
    <n v="1"/>
    <n v="1198"/>
    <n v="1"/>
    <x v="2"/>
    <n v="1"/>
    <n v="3"/>
    <n v="100"/>
    <n v="2"/>
    <n v="1"/>
    <n v="3"/>
    <n v="2799"/>
    <n v="3339"/>
    <n v="3"/>
    <n v="11"/>
    <n v="3"/>
    <n v="2"/>
    <n v="80"/>
    <n v="0"/>
    <n v="6"/>
    <n v="3"/>
    <n v="3"/>
    <n v="2"/>
    <n v="0"/>
    <n v="2"/>
  </r>
  <r>
    <x v="1"/>
    <s v="Travel_Rarely"/>
    <x v="3"/>
    <s v="Current Employees"/>
    <x v="1"/>
    <x v="4"/>
    <x v="674"/>
    <n v="940"/>
    <x v="0"/>
    <x v="4"/>
    <x v="2"/>
    <s v="Yes"/>
    <s v="Y"/>
    <n v="3"/>
    <n v="-2"/>
    <n v="0"/>
    <n v="58"/>
    <n v="0"/>
    <m/>
    <n v="0"/>
    <n v="1"/>
    <n v="1272"/>
    <n v="5"/>
    <x v="3"/>
    <n v="1"/>
    <n v="4"/>
    <n v="37"/>
    <n v="2"/>
    <n v="3"/>
    <n v="4"/>
    <n v="10552"/>
    <n v="9255"/>
    <n v="2"/>
    <n v="13"/>
    <n v="3"/>
    <n v="4"/>
    <n v="80"/>
    <n v="1"/>
    <n v="24"/>
    <n v="3"/>
    <n v="6"/>
    <n v="0"/>
    <n v="0"/>
    <n v="4"/>
  </r>
  <r>
    <x v="1"/>
    <s v="Travel_Rarely"/>
    <x v="2"/>
    <s v="Current Employees"/>
    <x v="0"/>
    <x v="0"/>
    <x v="675"/>
    <n v="941"/>
    <x v="1"/>
    <x v="6"/>
    <x v="1"/>
    <s v="No"/>
    <s v="Y"/>
    <n v="2"/>
    <n v="-2"/>
    <n v="0"/>
    <n v="31"/>
    <n v="0"/>
    <m/>
    <n v="0"/>
    <n v="1"/>
    <n v="154"/>
    <n v="7"/>
    <x v="2"/>
    <n v="1"/>
    <n v="2"/>
    <n v="41"/>
    <n v="2"/>
    <n v="1"/>
    <n v="1"/>
    <n v="2329"/>
    <n v="11737"/>
    <n v="3"/>
    <n v="15"/>
    <n v="3"/>
    <n v="2"/>
    <n v="80"/>
    <n v="0"/>
    <n v="13"/>
    <n v="4"/>
    <n v="7"/>
    <n v="7"/>
    <n v="5"/>
    <n v="2"/>
  </r>
  <r>
    <x v="1"/>
    <s v="Travel_Rarely"/>
    <x v="0"/>
    <s v="Current Employees"/>
    <x v="1"/>
    <x v="0"/>
    <x v="676"/>
    <n v="942"/>
    <x v="0"/>
    <x v="4"/>
    <x v="1"/>
    <s v="Yes"/>
    <s v="Y"/>
    <n v="2"/>
    <n v="-2"/>
    <n v="0"/>
    <n v="35"/>
    <n v="0"/>
    <m/>
    <n v="0"/>
    <n v="1"/>
    <n v="1137"/>
    <n v="21"/>
    <x v="1"/>
    <n v="1"/>
    <n v="4"/>
    <n v="51"/>
    <n v="3"/>
    <n v="2"/>
    <n v="1"/>
    <n v="4014"/>
    <n v="19170"/>
    <n v="1"/>
    <n v="25"/>
    <n v="4"/>
    <n v="4"/>
    <n v="80"/>
    <n v="1"/>
    <n v="10"/>
    <n v="1"/>
    <n v="10"/>
    <n v="6"/>
    <n v="0"/>
    <n v="7"/>
  </r>
  <r>
    <x v="1"/>
    <s v="Travel_Rarely"/>
    <x v="1"/>
    <s v="Current Employees"/>
    <x v="1"/>
    <x v="1"/>
    <x v="677"/>
    <n v="944"/>
    <x v="0"/>
    <x v="2"/>
    <x v="1"/>
    <s v="No"/>
    <s v="Y"/>
    <n v="3"/>
    <n v="-2"/>
    <n v="0"/>
    <n v="49"/>
    <n v="0"/>
    <m/>
    <n v="0"/>
    <n v="1"/>
    <n v="527"/>
    <n v="8"/>
    <x v="0"/>
    <n v="1"/>
    <n v="1"/>
    <n v="51"/>
    <n v="3"/>
    <n v="3"/>
    <n v="3"/>
    <n v="7403"/>
    <n v="22477"/>
    <n v="4"/>
    <n v="11"/>
    <n v="3"/>
    <n v="3"/>
    <n v="80"/>
    <n v="1"/>
    <n v="29"/>
    <n v="2"/>
    <n v="26"/>
    <n v="9"/>
    <n v="1"/>
    <n v="7"/>
  </r>
  <r>
    <x v="1"/>
    <s v="Travel_Rarely"/>
    <x v="1"/>
    <s v="Current Employees"/>
    <x v="1"/>
    <x v="2"/>
    <x v="678"/>
    <n v="945"/>
    <x v="1"/>
    <x v="1"/>
    <x v="1"/>
    <s v="No"/>
    <s v="Y"/>
    <n v="2"/>
    <n v="-2"/>
    <n v="0"/>
    <n v="48"/>
    <n v="0"/>
    <m/>
    <n v="0"/>
    <n v="1"/>
    <n v="1469"/>
    <n v="20"/>
    <x v="2"/>
    <n v="1"/>
    <n v="4"/>
    <n v="51"/>
    <n v="3"/>
    <n v="1"/>
    <n v="3"/>
    <n v="2259"/>
    <n v="5543"/>
    <n v="4"/>
    <n v="17"/>
    <n v="3"/>
    <n v="1"/>
    <n v="80"/>
    <n v="2"/>
    <n v="13"/>
    <n v="2"/>
    <n v="0"/>
    <n v="0"/>
    <n v="0"/>
    <n v="0"/>
  </r>
  <r>
    <x v="1"/>
    <s v="Non-Travel"/>
    <x v="2"/>
    <s v="Current Employees"/>
    <x v="0"/>
    <x v="3"/>
    <x v="679"/>
    <n v="947"/>
    <x v="0"/>
    <x v="0"/>
    <x v="1"/>
    <s v="No"/>
    <s v="Y"/>
    <n v="2"/>
    <n v="-2"/>
    <n v="0"/>
    <n v="31"/>
    <n v="0"/>
    <m/>
    <n v="0"/>
    <n v="1"/>
    <n v="1188"/>
    <n v="20"/>
    <x v="0"/>
    <n v="1"/>
    <n v="4"/>
    <n v="45"/>
    <n v="3"/>
    <n v="2"/>
    <n v="2"/>
    <n v="6932"/>
    <n v="24406"/>
    <n v="1"/>
    <n v="13"/>
    <n v="3"/>
    <n v="4"/>
    <n v="80"/>
    <n v="1"/>
    <n v="9"/>
    <n v="2"/>
    <n v="9"/>
    <n v="8"/>
    <n v="0"/>
    <n v="0"/>
  </r>
  <r>
    <x v="1"/>
    <s v="Travel_Rarely"/>
    <x v="0"/>
    <s v="Current Employees"/>
    <x v="1"/>
    <x v="1"/>
    <x v="680"/>
    <n v="949"/>
    <x v="1"/>
    <x v="1"/>
    <x v="0"/>
    <s v="No"/>
    <s v="Y"/>
    <n v="6"/>
    <n v="-2"/>
    <n v="0"/>
    <n v="36"/>
    <n v="0"/>
    <m/>
    <n v="0"/>
    <n v="1"/>
    <n v="188"/>
    <n v="7"/>
    <x v="2"/>
    <n v="1"/>
    <n v="2"/>
    <n v="65"/>
    <n v="3"/>
    <n v="1"/>
    <n v="4"/>
    <n v="4678"/>
    <n v="23293"/>
    <n v="2"/>
    <n v="18"/>
    <n v="3"/>
    <n v="3"/>
    <n v="80"/>
    <n v="0"/>
    <n v="8"/>
    <n v="3"/>
    <n v="6"/>
    <n v="2"/>
    <n v="0"/>
    <n v="1"/>
  </r>
  <r>
    <x v="1"/>
    <s v="Travel_Rarely"/>
    <x v="0"/>
    <s v="Current Employees"/>
    <x v="1"/>
    <x v="4"/>
    <x v="681"/>
    <n v="950"/>
    <x v="0"/>
    <x v="7"/>
    <x v="1"/>
    <s v="No"/>
    <s v="Y"/>
    <n v="3"/>
    <n v="-2"/>
    <n v="0"/>
    <n v="38"/>
    <n v="0"/>
    <m/>
    <n v="0"/>
    <n v="1"/>
    <n v="1333"/>
    <n v="1"/>
    <x v="3"/>
    <n v="1"/>
    <n v="4"/>
    <n v="80"/>
    <n v="3"/>
    <n v="3"/>
    <n v="4"/>
    <n v="13582"/>
    <n v="16292"/>
    <n v="1"/>
    <n v="13"/>
    <n v="3"/>
    <n v="2"/>
    <n v="80"/>
    <n v="1"/>
    <n v="15"/>
    <n v="3"/>
    <n v="15"/>
    <n v="12"/>
    <n v="5"/>
    <n v="11"/>
  </r>
  <r>
    <x v="1"/>
    <s v="Non-Travel"/>
    <x v="2"/>
    <s v="Current Employees"/>
    <x v="1"/>
    <x v="0"/>
    <x v="682"/>
    <n v="951"/>
    <x v="0"/>
    <x v="2"/>
    <x v="1"/>
    <s v="No"/>
    <s v="Y"/>
    <n v="3"/>
    <n v="-2"/>
    <n v="0"/>
    <n v="32"/>
    <n v="0"/>
    <m/>
    <n v="0"/>
    <n v="1"/>
    <n v="1184"/>
    <n v="1"/>
    <x v="3"/>
    <n v="1"/>
    <n v="3"/>
    <n v="70"/>
    <n v="2"/>
    <n v="1"/>
    <n v="1"/>
    <n v="2332"/>
    <n v="3974"/>
    <n v="6"/>
    <n v="20"/>
    <n v="4"/>
    <n v="3"/>
    <n v="80"/>
    <n v="0"/>
    <n v="5"/>
    <n v="3"/>
    <n v="3"/>
    <n v="0"/>
    <n v="0"/>
    <n v="2"/>
  </r>
  <r>
    <x v="0"/>
    <s v="Travel_Rarely"/>
    <x v="2"/>
    <s v="Ex-Employees"/>
    <x v="0"/>
    <x v="3"/>
    <x v="683"/>
    <n v="952"/>
    <x v="1"/>
    <x v="6"/>
    <x v="1"/>
    <s v="Yes"/>
    <s v="Y"/>
    <n v="2"/>
    <n v="-2"/>
    <n v="0"/>
    <n v="25"/>
    <n v="1"/>
    <n v="1"/>
    <n v="1"/>
    <n v="0"/>
    <n v="867"/>
    <n v="19"/>
    <x v="0"/>
    <n v="1"/>
    <n v="3"/>
    <n v="36"/>
    <n v="2"/>
    <n v="1"/>
    <n v="2"/>
    <n v="2413"/>
    <n v="18798"/>
    <n v="1"/>
    <n v="18"/>
    <n v="3"/>
    <n v="3"/>
    <n v="80"/>
    <n v="3"/>
    <n v="1"/>
    <n v="3"/>
    <n v="1"/>
    <n v="0"/>
    <n v="0"/>
    <n v="0"/>
  </r>
  <r>
    <x v="1"/>
    <s v="Travel_Rarely"/>
    <x v="0"/>
    <s v="Current Employees"/>
    <x v="0"/>
    <x v="3"/>
    <x v="684"/>
    <n v="954"/>
    <x v="1"/>
    <x v="0"/>
    <x v="2"/>
    <s v="No"/>
    <s v="Y"/>
    <n v="2"/>
    <n v="-2"/>
    <n v="0"/>
    <n v="40"/>
    <n v="0"/>
    <m/>
    <n v="0"/>
    <n v="1"/>
    <n v="658"/>
    <n v="10"/>
    <x v="2"/>
    <n v="1"/>
    <n v="1"/>
    <n v="67"/>
    <n v="2"/>
    <n v="3"/>
    <n v="2"/>
    <n v="9705"/>
    <n v="20652"/>
    <n v="2"/>
    <n v="12"/>
    <n v="3"/>
    <n v="2"/>
    <n v="80"/>
    <n v="1"/>
    <n v="11"/>
    <n v="2"/>
    <n v="1"/>
    <n v="0"/>
    <n v="0"/>
    <n v="0"/>
  </r>
  <r>
    <x v="1"/>
    <s v="Travel_Frequently"/>
    <x v="2"/>
    <s v="Current Employees"/>
    <x v="0"/>
    <x v="2"/>
    <x v="685"/>
    <n v="956"/>
    <x v="1"/>
    <x v="0"/>
    <x v="0"/>
    <s v="No"/>
    <s v="Y"/>
    <n v="2"/>
    <n v="-2"/>
    <n v="0"/>
    <n v="26"/>
    <n v="0"/>
    <m/>
    <n v="0"/>
    <n v="1"/>
    <n v="1283"/>
    <n v="1"/>
    <x v="3"/>
    <n v="1"/>
    <n v="3"/>
    <n v="52"/>
    <n v="2"/>
    <n v="2"/>
    <n v="3"/>
    <n v="4294"/>
    <n v="11148"/>
    <n v="1"/>
    <n v="12"/>
    <n v="3"/>
    <n v="2"/>
    <n v="80"/>
    <n v="0"/>
    <n v="7"/>
    <n v="3"/>
    <n v="7"/>
    <n v="7"/>
    <n v="0"/>
    <n v="7"/>
  </r>
  <r>
    <x v="1"/>
    <s v="Travel_Rarely"/>
    <x v="0"/>
    <s v="Current Employees"/>
    <x v="1"/>
    <x v="2"/>
    <x v="686"/>
    <n v="957"/>
    <x v="1"/>
    <x v="2"/>
    <x v="0"/>
    <s v="Yes"/>
    <s v="Y"/>
    <n v="3"/>
    <n v="-2"/>
    <n v="0"/>
    <n v="41"/>
    <n v="0"/>
    <m/>
    <n v="0"/>
    <n v="1"/>
    <n v="263"/>
    <n v="6"/>
    <x v="3"/>
    <n v="1"/>
    <n v="4"/>
    <n v="59"/>
    <n v="3"/>
    <n v="1"/>
    <n v="3"/>
    <n v="4721"/>
    <n v="3119"/>
    <n v="2"/>
    <n v="13"/>
    <n v="3"/>
    <n v="3"/>
    <n v="80"/>
    <n v="0"/>
    <n v="20"/>
    <n v="3"/>
    <n v="18"/>
    <n v="13"/>
    <n v="2"/>
    <n v="17"/>
  </r>
  <r>
    <x v="1"/>
    <s v="Travel_Rarely"/>
    <x v="0"/>
    <s v="Current Employees"/>
    <x v="1"/>
    <x v="2"/>
    <x v="687"/>
    <n v="958"/>
    <x v="1"/>
    <x v="2"/>
    <x v="0"/>
    <s v="No"/>
    <s v="Y"/>
    <n v="6"/>
    <n v="-2"/>
    <n v="0"/>
    <n v="36"/>
    <n v="0"/>
    <m/>
    <n v="0"/>
    <n v="1"/>
    <n v="938"/>
    <n v="2"/>
    <x v="2"/>
    <n v="1"/>
    <n v="3"/>
    <n v="79"/>
    <n v="3"/>
    <n v="1"/>
    <n v="3"/>
    <n v="2519"/>
    <n v="12287"/>
    <n v="4"/>
    <n v="21"/>
    <n v="4"/>
    <n v="3"/>
    <n v="80"/>
    <n v="0"/>
    <n v="16"/>
    <n v="3"/>
    <n v="11"/>
    <n v="8"/>
    <n v="3"/>
    <n v="9"/>
  </r>
  <r>
    <x v="0"/>
    <s v="Travel_Rarely"/>
    <x v="4"/>
    <s v="Ex-Employees"/>
    <x v="0"/>
    <x v="1"/>
    <x v="688"/>
    <n v="959"/>
    <x v="1"/>
    <x v="6"/>
    <x v="0"/>
    <s v="Yes"/>
    <s v="Y"/>
    <n v="3"/>
    <n v="-2"/>
    <n v="0"/>
    <n v="19"/>
    <n v="1"/>
    <n v="1"/>
    <n v="1"/>
    <n v="0"/>
    <n v="419"/>
    <n v="21"/>
    <x v="3"/>
    <n v="1"/>
    <n v="4"/>
    <n v="37"/>
    <n v="2"/>
    <n v="1"/>
    <n v="3"/>
    <n v="2121"/>
    <n v="9947"/>
    <n v="1"/>
    <n v="13"/>
    <n v="3"/>
    <n v="2"/>
    <n v="80"/>
    <n v="0"/>
    <n v="1"/>
    <n v="4"/>
    <n v="1"/>
    <n v="0"/>
    <n v="0"/>
    <n v="0"/>
  </r>
  <r>
    <x v="0"/>
    <s v="Travel_Rarely"/>
    <x v="4"/>
    <s v="Ex-Employees"/>
    <x v="1"/>
    <x v="4"/>
    <x v="689"/>
    <n v="960"/>
    <x v="1"/>
    <x v="2"/>
    <x v="0"/>
    <s v="No"/>
    <s v="Y"/>
    <n v="2"/>
    <n v="-2"/>
    <n v="0"/>
    <n v="20"/>
    <n v="1"/>
    <n v="1"/>
    <n v="1"/>
    <n v="0"/>
    <n v="129"/>
    <n v="4"/>
    <x v="3"/>
    <n v="1"/>
    <n v="4"/>
    <n v="84"/>
    <n v="3"/>
    <n v="1"/>
    <n v="4"/>
    <n v="2973"/>
    <n v="13008"/>
    <n v="1"/>
    <n v="19"/>
    <n v="3"/>
    <n v="2"/>
    <n v="80"/>
    <n v="0"/>
    <n v="1"/>
    <n v="3"/>
    <n v="1"/>
    <n v="0"/>
    <n v="0"/>
    <n v="0"/>
  </r>
  <r>
    <x v="1"/>
    <s v="Travel_Rarely"/>
    <x v="2"/>
    <s v="Current Employees"/>
    <x v="1"/>
    <x v="2"/>
    <x v="690"/>
    <n v="961"/>
    <x v="0"/>
    <x v="4"/>
    <x v="1"/>
    <s v="Yes"/>
    <s v="Y"/>
    <n v="2"/>
    <n v="-2"/>
    <n v="0"/>
    <n v="31"/>
    <n v="0"/>
    <m/>
    <n v="0"/>
    <n v="1"/>
    <n v="616"/>
    <n v="12"/>
    <x v="3"/>
    <n v="1"/>
    <n v="4"/>
    <n v="41"/>
    <n v="3"/>
    <n v="2"/>
    <n v="4"/>
    <n v="5855"/>
    <n v="17369"/>
    <n v="0"/>
    <n v="11"/>
    <n v="3"/>
    <n v="3"/>
    <n v="80"/>
    <n v="2"/>
    <n v="10"/>
    <n v="1"/>
    <n v="9"/>
    <n v="7"/>
    <n v="8"/>
    <n v="5"/>
  </r>
  <r>
    <x v="1"/>
    <s v="Travel_Frequently"/>
    <x v="0"/>
    <s v="Current Employees"/>
    <x v="1"/>
    <x v="2"/>
    <x v="691"/>
    <n v="964"/>
    <x v="1"/>
    <x v="1"/>
    <x v="2"/>
    <s v="Yes"/>
    <s v="Y"/>
    <n v="2"/>
    <n v="-2"/>
    <n v="0"/>
    <n v="40"/>
    <n v="0"/>
    <m/>
    <n v="0"/>
    <n v="1"/>
    <n v="1469"/>
    <n v="9"/>
    <x v="2"/>
    <n v="1"/>
    <n v="4"/>
    <n v="35"/>
    <n v="3"/>
    <n v="1"/>
    <n v="3"/>
    <n v="3617"/>
    <n v="25063"/>
    <n v="8"/>
    <n v="14"/>
    <n v="3"/>
    <n v="4"/>
    <n v="80"/>
    <n v="1"/>
    <n v="3"/>
    <n v="3"/>
    <n v="1"/>
    <n v="1"/>
    <n v="0"/>
    <n v="0"/>
  </r>
  <r>
    <x v="1"/>
    <s v="Travel_Rarely"/>
    <x v="2"/>
    <s v="Current Employees"/>
    <x v="1"/>
    <x v="2"/>
    <x v="692"/>
    <n v="966"/>
    <x v="0"/>
    <x v="3"/>
    <x v="1"/>
    <s v="No"/>
    <s v="Y"/>
    <n v="2"/>
    <n v="-2"/>
    <n v="0"/>
    <n v="32"/>
    <n v="0"/>
    <m/>
    <n v="0"/>
    <n v="1"/>
    <n v="498"/>
    <n v="3"/>
    <x v="2"/>
    <n v="1"/>
    <n v="3"/>
    <n v="93"/>
    <n v="3"/>
    <n v="2"/>
    <n v="3"/>
    <n v="6725"/>
    <n v="13554"/>
    <n v="1"/>
    <n v="12"/>
    <n v="3"/>
    <n v="3"/>
    <n v="80"/>
    <n v="1"/>
    <n v="8"/>
    <n v="4"/>
    <n v="8"/>
    <n v="7"/>
    <n v="6"/>
    <n v="3"/>
  </r>
  <r>
    <x v="0"/>
    <s v="Travel_Rarely"/>
    <x v="0"/>
    <s v="Ex-Employees"/>
    <x v="0"/>
    <x v="0"/>
    <x v="693"/>
    <n v="967"/>
    <x v="1"/>
    <x v="0"/>
    <x v="1"/>
    <s v="Yes"/>
    <s v="Y"/>
    <n v="6"/>
    <n v="-2"/>
    <n v="0"/>
    <n v="36"/>
    <n v="1"/>
    <n v="1"/>
    <n v="1"/>
    <n v="0"/>
    <n v="530"/>
    <n v="3"/>
    <x v="1"/>
    <n v="1"/>
    <n v="3"/>
    <n v="51"/>
    <n v="2"/>
    <n v="3"/>
    <n v="1"/>
    <n v="10325"/>
    <n v="5518"/>
    <n v="1"/>
    <n v="11"/>
    <n v="3"/>
    <n v="1"/>
    <n v="80"/>
    <n v="1"/>
    <n v="16"/>
    <n v="3"/>
    <n v="16"/>
    <n v="7"/>
    <n v="3"/>
    <n v="7"/>
  </r>
  <r>
    <x v="1"/>
    <s v="Travel_Rarely"/>
    <x v="2"/>
    <s v="Current Employees"/>
    <x v="1"/>
    <x v="0"/>
    <x v="694"/>
    <n v="969"/>
    <x v="0"/>
    <x v="4"/>
    <x v="0"/>
    <s v="No"/>
    <s v="Y"/>
    <n v="3"/>
    <n v="-2"/>
    <n v="0"/>
    <n v="33"/>
    <n v="0"/>
    <m/>
    <n v="0"/>
    <n v="1"/>
    <n v="1069"/>
    <n v="1"/>
    <x v="3"/>
    <n v="1"/>
    <n v="2"/>
    <n v="42"/>
    <n v="2"/>
    <n v="2"/>
    <n v="1"/>
    <n v="6949"/>
    <n v="12291"/>
    <n v="0"/>
    <n v="14"/>
    <n v="3"/>
    <n v="1"/>
    <n v="80"/>
    <n v="0"/>
    <n v="6"/>
    <n v="3"/>
    <n v="5"/>
    <n v="0"/>
    <n v="1"/>
    <n v="4"/>
  </r>
  <r>
    <x v="0"/>
    <s v="Travel_Rarely"/>
    <x v="0"/>
    <s v="Ex-Employees"/>
    <x v="0"/>
    <x v="0"/>
    <x v="695"/>
    <n v="970"/>
    <x v="1"/>
    <x v="0"/>
    <x v="1"/>
    <s v="No"/>
    <s v="Y"/>
    <n v="2"/>
    <n v="-2"/>
    <n v="0"/>
    <n v="37"/>
    <n v="1"/>
    <n v="1"/>
    <n v="1"/>
    <n v="0"/>
    <n v="625"/>
    <n v="1"/>
    <x v="2"/>
    <n v="1"/>
    <n v="1"/>
    <n v="46"/>
    <n v="2"/>
    <n v="3"/>
    <n v="1"/>
    <n v="10609"/>
    <n v="14922"/>
    <n v="5"/>
    <n v="11"/>
    <n v="3"/>
    <n v="3"/>
    <n v="80"/>
    <n v="0"/>
    <n v="17"/>
    <n v="1"/>
    <n v="14"/>
    <n v="1"/>
    <n v="11"/>
    <n v="7"/>
  </r>
  <r>
    <x v="1"/>
    <s v="Non-Travel"/>
    <x v="1"/>
    <s v="Current Employees"/>
    <x v="1"/>
    <x v="0"/>
    <x v="696"/>
    <n v="972"/>
    <x v="1"/>
    <x v="2"/>
    <x v="1"/>
    <s v="No"/>
    <s v="Y"/>
    <n v="5"/>
    <n v="-2"/>
    <n v="0"/>
    <n v="45"/>
    <n v="0"/>
    <m/>
    <n v="0"/>
    <n v="1"/>
    <n v="805"/>
    <n v="4"/>
    <x v="0"/>
    <n v="1"/>
    <n v="3"/>
    <n v="57"/>
    <n v="3"/>
    <n v="2"/>
    <n v="1"/>
    <n v="4447"/>
    <n v="23163"/>
    <n v="1"/>
    <n v="12"/>
    <n v="3"/>
    <n v="2"/>
    <n v="80"/>
    <n v="0"/>
    <n v="9"/>
    <n v="2"/>
    <n v="9"/>
    <n v="7"/>
    <n v="0"/>
    <n v="8"/>
  </r>
  <r>
    <x v="1"/>
    <s v="Travel_Frequently"/>
    <x v="2"/>
    <s v="Current Employees"/>
    <x v="0"/>
    <x v="4"/>
    <x v="697"/>
    <n v="974"/>
    <x v="0"/>
    <x v="6"/>
    <x v="1"/>
    <s v="No"/>
    <s v="Y"/>
    <n v="5"/>
    <n v="-2"/>
    <n v="0"/>
    <n v="29"/>
    <n v="0"/>
    <m/>
    <n v="0"/>
    <n v="1"/>
    <n v="1404"/>
    <n v="20"/>
    <x v="3"/>
    <n v="1"/>
    <n v="4"/>
    <n v="84"/>
    <n v="3"/>
    <n v="1"/>
    <n v="4"/>
    <n v="2157"/>
    <n v="18203"/>
    <n v="1"/>
    <n v="15"/>
    <n v="3"/>
    <n v="2"/>
    <n v="80"/>
    <n v="1"/>
    <n v="3"/>
    <n v="3"/>
    <n v="3"/>
    <n v="1"/>
    <n v="0"/>
    <n v="2"/>
  </r>
  <r>
    <x v="1"/>
    <s v="Travel_Rarely"/>
    <x v="0"/>
    <s v="Current Employees"/>
    <x v="0"/>
    <x v="2"/>
    <x v="698"/>
    <n v="975"/>
    <x v="0"/>
    <x v="0"/>
    <x v="1"/>
    <s v="No"/>
    <s v="Y"/>
    <n v="3"/>
    <n v="-2"/>
    <n v="0"/>
    <n v="35"/>
    <n v="0"/>
    <m/>
    <n v="0"/>
    <n v="1"/>
    <n v="1219"/>
    <n v="18"/>
    <x v="3"/>
    <n v="1"/>
    <n v="3"/>
    <n v="86"/>
    <n v="3"/>
    <n v="2"/>
    <n v="3"/>
    <n v="4601"/>
    <n v="6179"/>
    <n v="1"/>
    <n v="16"/>
    <n v="3"/>
    <n v="2"/>
    <n v="80"/>
    <n v="0"/>
    <n v="5"/>
    <n v="3"/>
    <n v="5"/>
    <n v="2"/>
    <n v="1"/>
    <n v="0"/>
  </r>
  <r>
    <x v="1"/>
    <s v="Travel_Rarely"/>
    <x v="1"/>
    <s v="Current Employees"/>
    <x v="1"/>
    <x v="0"/>
    <x v="699"/>
    <n v="976"/>
    <x v="1"/>
    <x v="5"/>
    <x v="1"/>
    <s v="No"/>
    <s v="Y"/>
    <n v="2"/>
    <n v="-2"/>
    <n v="0"/>
    <n v="52"/>
    <n v="0"/>
    <m/>
    <n v="0"/>
    <n v="1"/>
    <n v="1053"/>
    <n v="1"/>
    <x v="0"/>
    <n v="1"/>
    <n v="4"/>
    <n v="70"/>
    <n v="3"/>
    <n v="4"/>
    <n v="1"/>
    <n v="17099"/>
    <n v="13829"/>
    <n v="2"/>
    <n v="15"/>
    <n v="3"/>
    <n v="2"/>
    <n v="80"/>
    <n v="1"/>
    <n v="26"/>
    <n v="2"/>
    <n v="9"/>
    <n v="8"/>
    <n v="7"/>
    <n v="8"/>
  </r>
  <r>
    <x v="0"/>
    <s v="Travel_Rarely"/>
    <x v="3"/>
    <s v="Ex-Employees"/>
    <x v="1"/>
    <x v="4"/>
    <x v="700"/>
    <n v="977"/>
    <x v="1"/>
    <x v="1"/>
    <x v="0"/>
    <s v="No"/>
    <s v="Y"/>
    <n v="4"/>
    <n v="-2"/>
    <n v="0"/>
    <n v="58"/>
    <n v="1"/>
    <n v="1"/>
    <n v="1"/>
    <n v="0"/>
    <n v="289"/>
    <n v="2"/>
    <x v="3"/>
    <n v="1"/>
    <n v="4"/>
    <n v="51"/>
    <n v="3"/>
    <n v="1"/>
    <n v="4"/>
    <n v="2479"/>
    <n v="26227"/>
    <n v="4"/>
    <n v="24"/>
    <n v="4"/>
    <n v="1"/>
    <n v="80"/>
    <n v="0"/>
    <n v="7"/>
    <n v="3"/>
    <n v="1"/>
    <n v="0"/>
    <n v="0"/>
    <n v="0"/>
  </r>
  <r>
    <x v="1"/>
    <s v="Travel_Rarely"/>
    <x v="1"/>
    <s v="Current Employees"/>
    <x v="0"/>
    <x v="2"/>
    <x v="701"/>
    <n v="981"/>
    <x v="1"/>
    <x v="5"/>
    <x v="2"/>
    <s v="No"/>
    <s v="Y"/>
    <n v="3"/>
    <n v="-2"/>
    <n v="0"/>
    <n v="53"/>
    <n v="0"/>
    <m/>
    <n v="0"/>
    <n v="1"/>
    <n v="1376"/>
    <n v="2"/>
    <x v="0"/>
    <n v="1"/>
    <n v="3"/>
    <n v="45"/>
    <n v="3"/>
    <n v="4"/>
    <n v="3"/>
    <n v="14852"/>
    <n v="13938"/>
    <n v="6"/>
    <n v="13"/>
    <n v="3"/>
    <n v="3"/>
    <n v="80"/>
    <n v="1"/>
    <n v="22"/>
    <n v="4"/>
    <n v="17"/>
    <n v="13"/>
    <n v="15"/>
    <n v="2"/>
  </r>
  <r>
    <x v="1"/>
    <s v="Travel_Rarely"/>
    <x v="2"/>
    <s v="Current Employees"/>
    <x v="0"/>
    <x v="1"/>
    <x v="702"/>
    <n v="982"/>
    <x v="1"/>
    <x v="0"/>
    <x v="2"/>
    <s v="No"/>
    <s v="Y"/>
    <n v="2"/>
    <n v="-2"/>
    <n v="0"/>
    <n v="30"/>
    <n v="0"/>
    <m/>
    <n v="0"/>
    <n v="1"/>
    <n v="231"/>
    <n v="8"/>
    <x v="0"/>
    <n v="1"/>
    <n v="3"/>
    <n v="62"/>
    <n v="3"/>
    <n v="3"/>
    <n v="3"/>
    <n v="7264"/>
    <n v="9977"/>
    <n v="5"/>
    <n v="11"/>
    <n v="3"/>
    <n v="1"/>
    <n v="80"/>
    <n v="1"/>
    <n v="10"/>
    <n v="4"/>
    <n v="8"/>
    <n v="4"/>
    <n v="7"/>
    <n v="7"/>
  </r>
  <r>
    <x v="1"/>
    <s v="Non-Travel"/>
    <x v="0"/>
    <s v="Current Employees"/>
    <x v="0"/>
    <x v="4"/>
    <x v="703"/>
    <n v="983"/>
    <x v="0"/>
    <x v="0"/>
    <x v="0"/>
    <s v="Yes"/>
    <s v="Y"/>
    <n v="1"/>
    <n v="-2"/>
    <n v="0"/>
    <n v="38"/>
    <n v="0"/>
    <m/>
    <n v="0"/>
    <n v="1"/>
    <n v="152"/>
    <n v="10"/>
    <x v="3"/>
    <n v="1"/>
    <n v="4"/>
    <n v="85"/>
    <n v="3"/>
    <n v="2"/>
    <n v="4"/>
    <n v="5666"/>
    <n v="19899"/>
    <n v="1"/>
    <n v="13"/>
    <n v="3"/>
    <n v="2"/>
    <n v="80"/>
    <n v="0"/>
    <n v="6"/>
    <n v="3"/>
    <n v="5"/>
    <n v="3"/>
    <n v="1"/>
    <n v="3"/>
  </r>
  <r>
    <x v="1"/>
    <s v="Travel_Rarely"/>
    <x v="0"/>
    <s v="Current Employees"/>
    <x v="0"/>
    <x v="0"/>
    <x v="704"/>
    <n v="984"/>
    <x v="1"/>
    <x v="0"/>
    <x v="2"/>
    <s v="No"/>
    <s v="Y"/>
    <n v="2"/>
    <n v="-2"/>
    <n v="0"/>
    <n v="35"/>
    <n v="0"/>
    <m/>
    <n v="0"/>
    <n v="1"/>
    <n v="882"/>
    <n v="3"/>
    <x v="2"/>
    <n v="1"/>
    <n v="4"/>
    <n v="92"/>
    <n v="3"/>
    <n v="3"/>
    <n v="1"/>
    <n v="7823"/>
    <n v="6812"/>
    <n v="6"/>
    <n v="13"/>
    <n v="3"/>
    <n v="2"/>
    <n v="80"/>
    <n v="1"/>
    <n v="12"/>
    <n v="3"/>
    <n v="10"/>
    <n v="9"/>
    <n v="0"/>
    <n v="8"/>
  </r>
  <r>
    <x v="1"/>
    <s v="Travel_Rarely"/>
    <x v="0"/>
    <s v="Current Employees"/>
    <x v="0"/>
    <x v="0"/>
    <x v="705"/>
    <n v="985"/>
    <x v="1"/>
    <x v="0"/>
    <x v="0"/>
    <s v="No"/>
    <s v="Y"/>
    <n v="3"/>
    <n v="-2"/>
    <n v="0"/>
    <n v="39"/>
    <n v="0"/>
    <m/>
    <n v="0"/>
    <n v="1"/>
    <n v="903"/>
    <n v="2"/>
    <x v="4"/>
    <n v="1"/>
    <n v="1"/>
    <n v="41"/>
    <n v="4"/>
    <n v="3"/>
    <n v="1"/>
    <n v="7880"/>
    <n v="2560"/>
    <n v="0"/>
    <n v="18"/>
    <n v="3"/>
    <n v="4"/>
    <n v="80"/>
    <n v="0"/>
    <n v="9"/>
    <n v="3"/>
    <n v="8"/>
    <n v="7"/>
    <n v="0"/>
    <n v="7"/>
  </r>
  <r>
    <x v="0"/>
    <s v="Non-Travel"/>
    <x v="0"/>
    <s v="Ex-Employees"/>
    <x v="0"/>
    <x v="0"/>
    <x v="706"/>
    <n v="986"/>
    <x v="0"/>
    <x v="0"/>
    <x v="0"/>
    <s v="Yes"/>
    <s v="Y"/>
    <n v="2"/>
    <n v="-2"/>
    <n v="0"/>
    <n v="40"/>
    <n v="1"/>
    <n v="1"/>
    <n v="1"/>
    <n v="0"/>
    <n v="1479"/>
    <n v="24"/>
    <x v="3"/>
    <n v="1"/>
    <n v="2"/>
    <n v="100"/>
    <n v="4"/>
    <n v="4"/>
    <n v="1"/>
    <n v="13194"/>
    <n v="17071"/>
    <n v="4"/>
    <n v="16"/>
    <n v="3"/>
    <n v="4"/>
    <n v="80"/>
    <n v="0"/>
    <n v="22"/>
    <n v="2"/>
    <n v="1"/>
    <n v="0"/>
    <n v="0"/>
    <n v="0"/>
  </r>
  <r>
    <x v="1"/>
    <s v="Travel_Frequently"/>
    <x v="1"/>
    <s v="Current Employees"/>
    <x v="1"/>
    <x v="2"/>
    <x v="707"/>
    <n v="987"/>
    <x v="1"/>
    <x v="3"/>
    <x v="2"/>
    <s v="Yes"/>
    <s v="Y"/>
    <n v="3"/>
    <n v="-2"/>
    <n v="0"/>
    <n v="47"/>
    <n v="0"/>
    <m/>
    <n v="0"/>
    <n v="1"/>
    <n v="1379"/>
    <n v="16"/>
    <x v="2"/>
    <n v="1"/>
    <n v="3"/>
    <n v="64"/>
    <n v="4"/>
    <n v="2"/>
    <n v="3"/>
    <n v="5067"/>
    <n v="6759"/>
    <n v="1"/>
    <n v="19"/>
    <n v="3"/>
    <n v="3"/>
    <n v="80"/>
    <n v="0"/>
    <n v="20"/>
    <n v="4"/>
    <n v="19"/>
    <n v="10"/>
    <n v="2"/>
    <n v="7"/>
  </r>
  <r>
    <x v="1"/>
    <s v="Non-Travel"/>
    <x v="0"/>
    <s v="Current Employees"/>
    <x v="0"/>
    <x v="4"/>
    <x v="708"/>
    <n v="990"/>
    <x v="1"/>
    <x v="0"/>
    <x v="2"/>
    <s v="No"/>
    <s v="Y"/>
    <n v="3"/>
    <n v="-2"/>
    <n v="0"/>
    <n v="36"/>
    <n v="0"/>
    <m/>
    <n v="0"/>
    <n v="1"/>
    <n v="1229"/>
    <n v="8"/>
    <x v="2"/>
    <n v="1"/>
    <n v="4"/>
    <n v="84"/>
    <n v="3"/>
    <n v="2"/>
    <n v="4"/>
    <n v="5079"/>
    <n v="25952"/>
    <n v="4"/>
    <n v="13"/>
    <n v="3"/>
    <n v="4"/>
    <n v="80"/>
    <n v="2"/>
    <n v="12"/>
    <n v="3"/>
    <n v="7"/>
    <n v="7"/>
    <n v="0"/>
    <n v="7"/>
  </r>
  <r>
    <x v="0"/>
    <s v="Non-Travel"/>
    <x v="2"/>
    <s v="Ex-Employees"/>
    <x v="1"/>
    <x v="2"/>
    <x v="709"/>
    <n v="991"/>
    <x v="1"/>
    <x v="1"/>
    <x v="0"/>
    <s v="Yes"/>
    <s v="Y"/>
    <n v="0"/>
    <n v="-2"/>
    <n v="0"/>
    <n v="31"/>
    <n v="1"/>
    <n v="1"/>
    <n v="1"/>
    <n v="0"/>
    <n v="335"/>
    <n v="9"/>
    <x v="0"/>
    <n v="1"/>
    <n v="3"/>
    <n v="46"/>
    <n v="2"/>
    <n v="1"/>
    <n v="3"/>
    <n v="2321"/>
    <n v="10322"/>
    <n v="0"/>
    <n v="22"/>
    <n v="4"/>
    <n v="1"/>
    <n v="80"/>
    <n v="0"/>
    <n v="4"/>
    <n v="3"/>
    <n v="3"/>
    <n v="2"/>
    <n v="1"/>
    <n v="2"/>
  </r>
  <r>
    <x v="1"/>
    <s v="Non-Travel"/>
    <x v="2"/>
    <s v="Current Employees"/>
    <x v="0"/>
    <x v="0"/>
    <x v="710"/>
    <n v="992"/>
    <x v="1"/>
    <x v="5"/>
    <x v="0"/>
    <s v="No"/>
    <s v="Y"/>
    <n v="2"/>
    <n v="-2"/>
    <n v="0"/>
    <n v="33"/>
    <n v="0"/>
    <m/>
    <n v="0"/>
    <n v="1"/>
    <n v="722"/>
    <n v="17"/>
    <x v="3"/>
    <n v="1"/>
    <n v="4"/>
    <n v="38"/>
    <n v="3"/>
    <n v="4"/>
    <n v="1"/>
    <n v="17444"/>
    <n v="20489"/>
    <n v="1"/>
    <n v="11"/>
    <n v="3"/>
    <n v="4"/>
    <n v="80"/>
    <n v="0"/>
    <n v="10"/>
    <n v="3"/>
    <n v="10"/>
    <n v="8"/>
    <n v="6"/>
    <n v="0"/>
  </r>
  <r>
    <x v="0"/>
    <s v="Travel_Rarely"/>
    <x v="2"/>
    <s v="Ex-Employees"/>
    <x v="1"/>
    <x v="0"/>
    <x v="711"/>
    <n v="994"/>
    <x v="0"/>
    <x v="1"/>
    <x v="0"/>
    <s v="Yes"/>
    <s v="Y"/>
    <n v="5"/>
    <n v="-2"/>
    <n v="0"/>
    <n v="29"/>
    <n v="1"/>
    <n v="1"/>
    <n v="1"/>
    <n v="0"/>
    <n v="906"/>
    <n v="10"/>
    <x v="3"/>
    <n v="1"/>
    <n v="4"/>
    <n v="92"/>
    <n v="2"/>
    <n v="1"/>
    <n v="1"/>
    <n v="2404"/>
    <n v="11479"/>
    <n v="6"/>
    <n v="20"/>
    <n v="4"/>
    <n v="3"/>
    <n v="80"/>
    <n v="0"/>
    <n v="3"/>
    <n v="3"/>
    <n v="0"/>
    <n v="0"/>
    <n v="0"/>
    <n v="0"/>
  </r>
  <r>
    <x v="1"/>
    <s v="Travel_Rarely"/>
    <x v="2"/>
    <s v="Current Employees"/>
    <x v="1"/>
    <x v="0"/>
    <x v="712"/>
    <n v="995"/>
    <x v="0"/>
    <x v="1"/>
    <x v="0"/>
    <s v="No"/>
    <s v="Y"/>
    <n v="4"/>
    <n v="-2"/>
    <n v="0"/>
    <n v="33"/>
    <n v="0"/>
    <m/>
    <n v="0"/>
    <n v="1"/>
    <n v="461"/>
    <n v="13"/>
    <x v="1"/>
    <n v="1"/>
    <n v="2"/>
    <n v="53"/>
    <n v="3"/>
    <n v="1"/>
    <n v="1"/>
    <n v="3452"/>
    <n v="17241"/>
    <n v="3"/>
    <n v="18"/>
    <n v="3"/>
    <n v="1"/>
    <n v="80"/>
    <n v="0"/>
    <n v="5"/>
    <n v="3"/>
    <n v="3"/>
    <n v="2"/>
    <n v="0"/>
    <n v="2"/>
  </r>
  <r>
    <x v="1"/>
    <s v="Travel_Rarely"/>
    <x v="1"/>
    <s v="Current Employees"/>
    <x v="1"/>
    <x v="2"/>
    <x v="713"/>
    <n v="996"/>
    <x v="0"/>
    <x v="2"/>
    <x v="2"/>
    <s v="No"/>
    <s v="Y"/>
    <n v="2"/>
    <n v="-2"/>
    <n v="0"/>
    <n v="45"/>
    <n v="0"/>
    <m/>
    <n v="0"/>
    <n v="1"/>
    <n v="974"/>
    <n v="1"/>
    <x v="2"/>
    <n v="1"/>
    <n v="4"/>
    <n v="91"/>
    <n v="3"/>
    <n v="1"/>
    <n v="4"/>
    <n v="2270"/>
    <n v="11005"/>
    <n v="3"/>
    <n v="14"/>
    <n v="3"/>
    <n v="4"/>
    <n v="80"/>
    <n v="2"/>
    <n v="8"/>
    <n v="3"/>
    <n v="5"/>
    <n v="3"/>
    <n v="0"/>
    <n v="2"/>
  </r>
  <r>
    <x v="1"/>
    <s v="Travel_Rarely"/>
    <x v="1"/>
    <s v="Current Employees"/>
    <x v="1"/>
    <x v="2"/>
    <x v="714"/>
    <n v="997"/>
    <x v="1"/>
    <x v="7"/>
    <x v="2"/>
    <s v="No"/>
    <s v="Y"/>
    <n v="1"/>
    <n v="-2"/>
    <n v="0"/>
    <n v="50"/>
    <n v="0"/>
    <m/>
    <n v="0"/>
    <n v="1"/>
    <n v="1126"/>
    <n v="1"/>
    <x v="0"/>
    <n v="1"/>
    <n v="4"/>
    <n v="66"/>
    <n v="3"/>
    <n v="4"/>
    <n v="4"/>
    <n v="17399"/>
    <n v="6615"/>
    <n v="9"/>
    <n v="22"/>
    <n v="4"/>
    <n v="3"/>
    <n v="80"/>
    <n v="1"/>
    <n v="32"/>
    <n v="2"/>
    <n v="5"/>
    <n v="4"/>
    <n v="1"/>
    <n v="3"/>
  </r>
  <r>
    <x v="1"/>
    <s v="Travel_Frequently"/>
    <x v="2"/>
    <s v="Current Employees"/>
    <x v="1"/>
    <x v="1"/>
    <x v="715"/>
    <n v="998"/>
    <x v="0"/>
    <x v="4"/>
    <x v="1"/>
    <s v="Yes"/>
    <s v="Y"/>
    <n v="2"/>
    <n v="-2"/>
    <n v="0"/>
    <n v="33"/>
    <n v="0"/>
    <m/>
    <n v="0"/>
    <n v="1"/>
    <n v="827"/>
    <n v="1"/>
    <x v="2"/>
    <n v="1"/>
    <n v="3"/>
    <n v="84"/>
    <n v="4"/>
    <n v="2"/>
    <n v="3"/>
    <n v="5488"/>
    <n v="20161"/>
    <n v="1"/>
    <n v="13"/>
    <n v="3"/>
    <n v="1"/>
    <n v="80"/>
    <n v="1"/>
    <n v="6"/>
    <n v="3"/>
    <n v="6"/>
    <n v="5"/>
    <n v="1"/>
    <n v="2"/>
  </r>
  <r>
    <x v="1"/>
    <s v="Travel_Frequently"/>
    <x v="0"/>
    <s v="Current Employees"/>
    <x v="1"/>
    <x v="2"/>
    <x v="716"/>
    <n v="999"/>
    <x v="1"/>
    <x v="7"/>
    <x v="2"/>
    <s v="No"/>
    <s v="Y"/>
    <n v="2"/>
    <n v="-2"/>
    <n v="0"/>
    <n v="41"/>
    <n v="0"/>
    <m/>
    <n v="0"/>
    <n v="1"/>
    <n v="840"/>
    <n v="9"/>
    <x v="3"/>
    <n v="1"/>
    <n v="1"/>
    <n v="64"/>
    <n v="3"/>
    <n v="5"/>
    <n v="3"/>
    <n v="19419"/>
    <n v="3735"/>
    <n v="2"/>
    <n v="17"/>
    <n v="3"/>
    <n v="2"/>
    <n v="80"/>
    <n v="1"/>
    <n v="21"/>
    <n v="4"/>
    <n v="18"/>
    <n v="16"/>
    <n v="0"/>
    <n v="11"/>
  </r>
  <r>
    <x v="1"/>
    <s v="Travel_Rarely"/>
    <x v="2"/>
    <s v="Current Employees"/>
    <x v="1"/>
    <x v="4"/>
    <x v="717"/>
    <n v="1001"/>
    <x v="0"/>
    <x v="2"/>
    <x v="1"/>
    <s v="No"/>
    <s v="Y"/>
    <n v="2"/>
    <n v="-2"/>
    <n v="0"/>
    <n v="27"/>
    <n v="0"/>
    <m/>
    <n v="0"/>
    <n v="1"/>
    <n v="1134"/>
    <n v="16"/>
    <x v="2"/>
    <n v="1"/>
    <n v="4"/>
    <n v="37"/>
    <n v="3"/>
    <n v="1"/>
    <n v="4"/>
    <n v="2811"/>
    <n v="12086"/>
    <n v="9"/>
    <n v="14"/>
    <n v="3"/>
    <n v="2"/>
    <n v="80"/>
    <n v="1"/>
    <n v="4"/>
    <n v="3"/>
    <n v="2"/>
    <n v="2"/>
    <n v="2"/>
    <n v="2"/>
  </r>
  <r>
    <x v="1"/>
    <s v="Non-Travel"/>
    <x v="1"/>
    <s v="Current Employees"/>
    <x v="1"/>
    <x v="0"/>
    <x v="718"/>
    <n v="1002"/>
    <x v="1"/>
    <x v="2"/>
    <x v="1"/>
    <s v="Yes"/>
    <s v="Y"/>
    <n v="2"/>
    <n v="-2"/>
    <n v="0"/>
    <n v="45"/>
    <n v="0"/>
    <m/>
    <n v="0"/>
    <n v="1"/>
    <n v="248"/>
    <n v="23"/>
    <x v="0"/>
    <n v="1"/>
    <n v="4"/>
    <n v="42"/>
    <n v="3"/>
    <n v="2"/>
    <n v="1"/>
    <n v="3633"/>
    <n v="14039"/>
    <n v="1"/>
    <n v="15"/>
    <n v="3"/>
    <n v="3"/>
    <n v="80"/>
    <n v="1"/>
    <n v="9"/>
    <n v="3"/>
    <n v="9"/>
    <n v="8"/>
    <n v="0"/>
    <n v="8"/>
  </r>
  <r>
    <x v="1"/>
    <s v="Travel_Rarely"/>
    <x v="1"/>
    <s v="Current Employees"/>
    <x v="0"/>
    <x v="0"/>
    <x v="719"/>
    <n v="1003"/>
    <x v="0"/>
    <x v="0"/>
    <x v="0"/>
    <s v="Yes"/>
    <s v="Y"/>
    <n v="0"/>
    <n v="-2"/>
    <n v="0"/>
    <n v="47"/>
    <n v="0"/>
    <m/>
    <n v="0"/>
    <n v="1"/>
    <n v="955"/>
    <n v="4"/>
    <x v="0"/>
    <n v="1"/>
    <n v="4"/>
    <n v="83"/>
    <n v="3"/>
    <n v="2"/>
    <n v="1"/>
    <n v="4163"/>
    <n v="8571"/>
    <n v="1"/>
    <n v="17"/>
    <n v="3"/>
    <n v="3"/>
    <n v="80"/>
    <n v="0"/>
    <n v="9"/>
    <n v="3"/>
    <n v="9"/>
    <n v="0"/>
    <n v="0"/>
    <n v="7"/>
  </r>
  <r>
    <x v="0"/>
    <s v="Travel_Rarely"/>
    <x v="2"/>
    <s v="Ex-Employees"/>
    <x v="1"/>
    <x v="0"/>
    <x v="720"/>
    <n v="1004"/>
    <x v="0"/>
    <x v="1"/>
    <x v="1"/>
    <s v="Yes"/>
    <s v="Y"/>
    <n v="2"/>
    <n v="-2"/>
    <n v="0"/>
    <n v="30"/>
    <n v="1"/>
    <n v="1"/>
    <n v="1"/>
    <n v="0"/>
    <n v="138"/>
    <n v="22"/>
    <x v="3"/>
    <n v="1"/>
    <n v="1"/>
    <n v="48"/>
    <n v="3"/>
    <n v="1"/>
    <n v="1"/>
    <n v="2132"/>
    <n v="11539"/>
    <n v="4"/>
    <n v="11"/>
    <n v="3"/>
    <n v="2"/>
    <n v="80"/>
    <n v="0"/>
    <n v="7"/>
    <n v="3"/>
    <n v="5"/>
    <n v="2"/>
    <n v="0"/>
    <n v="1"/>
  </r>
  <r>
    <x v="1"/>
    <s v="Travel_Rarely"/>
    <x v="1"/>
    <s v="Current Employees"/>
    <x v="1"/>
    <x v="0"/>
    <x v="721"/>
    <n v="1005"/>
    <x v="1"/>
    <x v="3"/>
    <x v="1"/>
    <s v="Yes"/>
    <s v="Y"/>
    <n v="2"/>
    <n v="-2"/>
    <n v="0"/>
    <n v="50"/>
    <n v="0"/>
    <m/>
    <n v="0"/>
    <n v="1"/>
    <n v="939"/>
    <n v="24"/>
    <x v="3"/>
    <n v="1"/>
    <n v="4"/>
    <n v="95"/>
    <n v="3"/>
    <n v="4"/>
    <n v="1"/>
    <n v="13973"/>
    <n v="4161"/>
    <n v="3"/>
    <n v="18"/>
    <n v="3"/>
    <n v="4"/>
    <n v="80"/>
    <n v="1"/>
    <n v="22"/>
    <n v="3"/>
    <n v="12"/>
    <n v="11"/>
    <n v="1"/>
    <n v="5"/>
  </r>
  <r>
    <x v="1"/>
    <s v="Travel_Frequently"/>
    <x v="0"/>
    <s v="Current Employees"/>
    <x v="1"/>
    <x v="2"/>
    <x v="722"/>
    <n v="1006"/>
    <x v="1"/>
    <x v="1"/>
    <x v="1"/>
    <s v="No"/>
    <s v="Y"/>
    <n v="0"/>
    <n v="-2"/>
    <n v="0"/>
    <n v="38"/>
    <n v="0"/>
    <m/>
    <n v="0"/>
    <n v="1"/>
    <n v="1391"/>
    <n v="10"/>
    <x v="1"/>
    <n v="1"/>
    <n v="3"/>
    <n v="66"/>
    <n v="3"/>
    <n v="1"/>
    <n v="3"/>
    <n v="2684"/>
    <n v="12127"/>
    <n v="0"/>
    <n v="17"/>
    <n v="3"/>
    <n v="2"/>
    <n v="80"/>
    <n v="1"/>
    <n v="3"/>
    <n v="2"/>
    <n v="2"/>
    <n v="1"/>
    <n v="0"/>
    <n v="2"/>
  </r>
  <r>
    <x v="1"/>
    <s v="Travel_Rarely"/>
    <x v="1"/>
    <s v="Current Employees"/>
    <x v="1"/>
    <x v="2"/>
    <x v="723"/>
    <n v="1007"/>
    <x v="1"/>
    <x v="3"/>
    <x v="2"/>
    <s v="No"/>
    <s v="Y"/>
    <n v="3"/>
    <n v="-2"/>
    <n v="0"/>
    <n v="46"/>
    <n v="0"/>
    <m/>
    <n v="0"/>
    <n v="1"/>
    <n v="566"/>
    <n v="7"/>
    <x v="0"/>
    <n v="1"/>
    <n v="4"/>
    <n v="75"/>
    <n v="3"/>
    <n v="3"/>
    <n v="3"/>
    <n v="10845"/>
    <n v="24208"/>
    <n v="6"/>
    <n v="13"/>
    <n v="3"/>
    <n v="2"/>
    <n v="80"/>
    <n v="1"/>
    <n v="13"/>
    <n v="3"/>
    <n v="8"/>
    <n v="7"/>
    <n v="0"/>
    <n v="7"/>
  </r>
  <r>
    <x v="1"/>
    <s v="Travel_Rarely"/>
    <x v="4"/>
    <s v="Current Employees"/>
    <x v="1"/>
    <x v="2"/>
    <x v="724"/>
    <n v="1009"/>
    <x v="0"/>
    <x v="3"/>
    <x v="2"/>
    <s v="No"/>
    <s v="Y"/>
    <n v="6"/>
    <n v="-2"/>
    <n v="0"/>
    <n v="24"/>
    <n v="0"/>
    <m/>
    <n v="0"/>
    <n v="1"/>
    <n v="1206"/>
    <n v="17"/>
    <x v="1"/>
    <n v="1"/>
    <n v="4"/>
    <n v="41"/>
    <n v="2"/>
    <n v="2"/>
    <n v="3"/>
    <n v="4377"/>
    <n v="24117"/>
    <n v="1"/>
    <n v="15"/>
    <n v="3"/>
    <n v="2"/>
    <n v="80"/>
    <n v="2"/>
    <n v="5"/>
    <n v="3"/>
    <n v="4"/>
    <n v="2"/>
    <n v="3"/>
    <n v="2"/>
  </r>
  <r>
    <x v="0"/>
    <s v="Travel_Rarely"/>
    <x v="0"/>
    <s v="Ex-Employees"/>
    <x v="1"/>
    <x v="1"/>
    <x v="725"/>
    <n v="1010"/>
    <x v="1"/>
    <x v="2"/>
    <x v="2"/>
    <s v="Yes"/>
    <s v="Y"/>
    <n v="2"/>
    <n v="-2"/>
    <n v="0"/>
    <n v="35"/>
    <n v="1"/>
    <n v="1"/>
    <n v="1"/>
    <n v="0"/>
    <n v="622"/>
    <n v="14"/>
    <x v="2"/>
    <n v="1"/>
    <n v="3"/>
    <n v="39"/>
    <n v="2"/>
    <n v="1"/>
    <n v="3"/>
    <n v="3743"/>
    <n v="10074"/>
    <n v="1"/>
    <n v="24"/>
    <n v="4"/>
    <n v="4"/>
    <n v="80"/>
    <n v="1"/>
    <n v="5"/>
    <n v="1"/>
    <n v="4"/>
    <n v="2"/>
    <n v="0"/>
    <n v="2"/>
  </r>
  <r>
    <x v="1"/>
    <s v="Travel_Frequently"/>
    <x v="2"/>
    <s v="Current Employees"/>
    <x v="1"/>
    <x v="0"/>
    <x v="726"/>
    <n v="1011"/>
    <x v="0"/>
    <x v="3"/>
    <x v="1"/>
    <s v="No"/>
    <s v="Y"/>
    <n v="1"/>
    <n v="-2"/>
    <n v="0"/>
    <n v="31"/>
    <n v="0"/>
    <m/>
    <n v="0"/>
    <n v="1"/>
    <n v="853"/>
    <n v="1"/>
    <x v="1"/>
    <n v="1"/>
    <n v="3"/>
    <n v="96"/>
    <n v="3"/>
    <n v="2"/>
    <n v="1"/>
    <n v="4148"/>
    <n v="11275"/>
    <n v="1"/>
    <n v="12"/>
    <n v="3"/>
    <n v="3"/>
    <n v="80"/>
    <n v="1"/>
    <n v="4"/>
    <n v="3"/>
    <n v="4"/>
    <n v="3"/>
    <n v="0"/>
    <n v="3"/>
  </r>
  <r>
    <x v="1"/>
    <s v="Non-Travel"/>
    <x v="4"/>
    <s v="Current Employees"/>
    <x v="1"/>
    <x v="0"/>
    <x v="727"/>
    <n v="1012"/>
    <x v="1"/>
    <x v="1"/>
    <x v="0"/>
    <s v="No"/>
    <s v="Y"/>
    <n v="2"/>
    <n v="-2"/>
    <n v="0"/>
    <n v="18"/>
    <n v="0"/>
    <m/>
    <n v="0"/>
    <n v="1"/>
    <n v="287"/>
    <n v="5"/>
    <x v="0"/>
    <n v="1"/>
    <n v="2"/>
    <n v="73"/>
    <n v="3"/>
    <n v="1"/>
    <n v="1"/>
    <n v="1051"/>
    <n v="13493"/>
    <n v="1"/>
    <n v="15"/>
    <n v="3"/>
    <n v="4"/>
    <n v="80"/>
    <n v="0"/>
    <n v="0"/>
    <n v="3"/>
    <n v="0"/>
    <n v="0"/>
    <n v="0"/>
    <n v="0"/>
  </r>
  <r>
    <x v="1"/>
    <s v="Travel_Rarely"/>
    <x v="1"/>
    <s v="Current Employees"/>
    <x v="1"/>
    <x v="4"/>
    <x v="728"/>
    <n v="1013"/>
    <x v="0"/>
    <x v="3"/>
    <x v="1"/>
    <s v="No"/>
    <s v="Y"/>
    <n v="2"/>
    <n v="-2"/>
    <n v="0"/>
    <n v="54"/>
    <n v="0"/>
    <m/>
    <n v="0"/>
    <n v="1"/>
    <n v="1441"/>
    <n v="17"/>
    <x v="3"/>
    <n v="1"/>
    <n v="4"/>
    <n v="56"/>
    <n v="3"/>
    <n v="3"/>
    <n v="4"/>
    <n v="10739"/>
    <n v="13943"/>
    <n v="8"/>
    <n v="11"/>
    <n v="3"/>
    <n v="3"/>
    <n v="80"/>
    <n v="1"/>
    <n v="22"/>
    <n v="3"/>
    <n v="10"/>
    <n v="7"/>
    <n v="0"/>
    <n v="8"/>
  </r>
  <r>
    <x v="1"/>
    <s v="Travel_Rarely"/>
    <x v="0"/>
    <s v="Current Employees"/>
    <x v="1"/>
    <x v="2"/>
    <x v="729"/>
    <n v="1014"/>
    <x v="0"/>
    <x v="4"/>
    <x v="2"/>
    <s v="Yes"/>
    <s v="Y"/>
    <n v="3"/>
    <n v="-2"/>
    <n v="0"/>
    <n v="35"/>
    <n v="0"/>
    <m/>
    <n v="0"/>
    <n v="1"/>
    <n v="583"/>
    <n v="25"/>
    <x v="2"/>
    <n v="1"/>
    <n v="3"/>
    <n v="57"/>
    <n v="3"/>
    <n v="3"/>
    <n v="3"/>
    <n v="10388"/>
    <n v="6975"/>
    <n v="1"/>
    <n v="11"/>
    <n v="3"/>
    <n v="3"/>
    <n v="80"/>
    <n v="1"/>
    <n v="16"/>
    <n v="2"/>
    <n v="16"/>
    <n v="10"/>
    <n v="10"/>
    <n v="1"/>
  </r>
  <r>
    <x v="1"/>
    <s v="Travel_Rarely"/>
    <x v="2"/>
    <s v="Current Employees"/>
    <x v="1"/>
    <x v="0"/>
    <x v="730"/>
    <n v="1015"/>
    <x v="0"/>
    <x v="7"/>
    <x v="1"/>
    <s v="Yes"/>
    <s v="Y"/>
    <n v="4"/>
    <n v="-2"/>
    <n v="0"/>
    <n v="30"/>
    <n v="0"/>
    <m/>
    <n v="0"/>
    <n v="1"/>
    <n v="153"/>
    <n v="8"/>
    <x v="0"/>
    <n v="1"/>
    <n v="2"/>
    <n v="73"/>
    <n v="4"/>
    <n v="3"/>
    <n v="1"/>
    <n v="11416"/>
    <n v="17802"/>
    <n v="0"/>
    <n v="12"/>
    <n v="3"/>
    <n v="3"/>
    <n v="80"/>
    <n v="3"/>
    <n v="9"/>
    <n v="2"/>
    <n v="8"/>
    <n v="7"/>
    <n v="1"/>
    <n v="7"/>
  </r>
  <r>
    <x v="0"/>
    <s v="Travel_Rarely"/>
    <x v="4"/>
    <s v="Ex-Employees"/>
    <x v="1"/>
    <x v="2"/>
    <x v="731"/>
    <n v="1016"/>
    <x v="0"/>
    <x v="1"/>
    <x v="0"/>
    <s v="Yes"/>
    <s v="Y"/>
    <n v="2"/>
    <n v="-2"/>
    <n v="0"/>
    <n v="20"/>
    <n v="1"/>
    <n v="1"/>
    <n v="1"/>
    <n v="0"/>
    <n v="1097"/>
    <n v="11"/>
    <x v="3"/>
    <n v="1"/>
    <n v="4"/>
    <n v="98"/>
    <n v="2"/>
    <n v="1"/>
    <n v="3"/>
    <n v="2600"/>
    <n v="18275"/>
    <n v="1"/>
    <n v="15"/>
    <n v="3"/>
    <n v="1"/>
    <n v="80"/>
    <n v="0"/>
    <n v="1"/>
    <n v="3"/>
    <n v="1"/>
    <n v="0"/>
    <n v="0"/>
    <n v="0"/>
  </r>
  <r>
    <x v="0"/>
    <s v="Travel_Frequently"/>
    <x v="2"/>
    <s v="Ex-Employees"/>
    <x v="1"/>
    <x v="2"/>
    <x v="732"/>
    <n v="1017"/>
    <x v="0"/>
    <x v="2"/>
    <x v="0"/>
    <s v="No"/>
    <s v="Y"/>
    <n v="3"/>
    <n v="-2"/>
    <n v="0"/>
    <n v="30"/>
    <n v="1"/>
    <n v="1"/>
    <n v="1"/>
    <n v="0"/>
    <n v="109"/>
    <n v="5"/>
    <x v="3"/>
    <n v="1"/>
    <n v="2"/>
    <n v="60"/>
    <n v="3"/>
    <n v="1"/>
    <n v="3"/>
    <n v="2422"/>
    <n v="25725"/>
    <n v="0"/>
    <n v="17"/>
    <n v="3"/>
    <n v="1"/>
    <n v="80"/>
    <n v="0"/>
    <n v="4"/>
    <n v="3"/>
    <n v="3"/>
    <n v="2"/>
    <n v="1"/>
    <n v="2"/>
  </r>
  <r>
    <x v="1"/>
    <s v="Travel_Rarely"/>
    <x v="2"/>
    <s v="Current Employees"/>
    <x v="1"/>
    <x v="2"/>
    <x v="733"/>
    <n v="1018"/>
    <x v="1"/>
    <x v="3"/>
    <x v="1"/>
    <s v="No"/>
    <s v="Y"/>
    <n v="2"/>
    <n v="-2"/>
    <n v="0"/>
    <n v="26"/>
    <n v="0"/>
    <m/>
    <n v="0"/>
    <n v="1"/>
    <n v="1066"/>
    <n v="2"/>
    <x v="0"/>
    <n v="1"/>
    <n v="4"/>
    <n v="32"/>
    <n v="4"/>
    <n v="2"/>
    <n v="4"/>
    <n v="5472"/>
    <n v="3334"/>
    <n v="1"/>
    <n v="12"/>
    <n v="3"/>
    <n v="2"/>
    <n v="80"/>
    <n v="0"/>
    <n v="8"/>
    <n v="3"/>
    <n v="8"/>
    <n v="7"/>
    <n v="1"/>
    <n v="3"/>
  </r>
  <r>
    <x v="1"/>
    <s v="Travel_Rarely"/>
    <x v="4"/>
    <s v="Current Employees"/>
    <x v="1"/>
    <x v="0"/>
    <x v="734"/>
    <n v="1019"/>
    <x v="1"/>
    <x v="2"/>
    <x v="1"/>
    <s v="No"/>
    <s v="Y"/>
    <n v="3"/>
    <n v="-2"/>
    <n v="0"/>
    <n v="22"/>
    <n v="0"/>
    <m/>
    <n v="0"/>
    <n v="1"/>
    <n v="217"/>
    <n v="8"/>
    <x v="1"/>
    <n v="1"/>
    <n v="2"/>
    <n v="94"/>
    <n v="1"/>
    <n v="1"/>
    <n v="1"/>
    <n v="2451"/>
    <n v="6881"/>
    <n v="1"/>
    <n v="15"/>
    <n v="3"/>
    <n v="1"/>
    <n v="80"/>
    <n v="1"/>
    <n v="4"/>
    <n v="2"/>
    <n v="4"/>
    <n v="3"/>
    <n v="1"/>
    <n v="1"/>
  </r>
  <r>
    <x v="1"/>
    <s v="Travel_Rarely"/>
    <x v="1"/>
    <s v="Current Employees"/>
    <x v="1"/>
    <x v="0"/>
    <x v="735"/>
    <n v="1022"/>
    <x v="1"/>
    <x v="4"/>
    <x v="0"/>
    <s v="No"/>
    <s v="Y"/>
    <n v="0"/>
    <n v="-2"/>
    <n v="0"/>
    <n v="48"/>
    <n v="0"/>
    <m/>
    <n v="0"/>
    <n v="1"/>
    <n v="277"/>
    <n v="6"/>
    <x v="3"/>
    <n v="1"/>
    <n v="1"/>
    <n v="97"/>
    <n v="2"/>
    <n v="2"/>
    <n v="1"/>
    <n v="4240"/>
    <n v="13119"/>
    <n v="2"/>
    <n v="13"/>
    <n v="3"/>
    <n v="4"/>
    <n v="80"/>
    <n v="0"/>
    <n v="19"/>
    <n v="3"/>
    <n v="2"/>
    <n v="2"/>
    <n v="2"/>
    <n v="2"/>
  </r>
  <r>
    <x v="1"/>
    <s v="Travel_Rarely"/>
    <x v="1"/>
    <s v="Current Employees"/>
    <x v="1"/>
    <x v="0"/>
    <x v="736"/>
    <n v="1024"/>
    <x v="1"/>
    <x v="4"/>
    <x v="0"/>
    <s v="No"/>
    <s v="Y"/>
    <n v="3"/>
    <n v="-2"/>
    <n v="0"/>
    <n v="48"/>
    <n v="0"/>
    <m/>
    <n v="0"/>
    <n v="1"/>
    <n v="1355"/>
    <n v="4"/>
    <x v="2"/>
    <n v="1"/>
    <n v="3"/>
    <n v="78"/>
    <n v="2"/>
    <n v="3"/>
    <n v="1"/>
    <n v="10999"/>
    <n v="22245"/>
    <n v="7"/>
    <n v="14"/>
    <n v="3"/>
    <n v="2"/>
    <n v="80"/>
    <n v="0"/>
    <n v="27"/>
    <n v="3"/>
    <n v="15"/>
    <n v="11"/>
    <n v="4"/>
    <n v="8"/>
  </r>
  <r>
    <x v="1"/>
    <s v="Travel_Rarely"/>
    <x v="0"/>
    <s v="Current Employees"/>
    <x v="1"/>
    <x v="2"/>
    <x v="737"/>
    <n v="1025"/>
    <x v="0"/>
    <x v="3"/>
    <x v="0"/>
    <s v="No"/>
    <s v="Y"/>
    <n v="6"/>
    <n v="-2"/>
    <n v="0"/>
    <n v="41"/>
    <n v="0"/>
    <m/>
    <n v="0"/>
    <n v="1"/>
    <n v="549"/>
    <n v="7"/>
    <x v="0"/>
    <n v="1"/>
    <n v="4"/>
    <n v="42"/>
    <n v="3"/>
    <n v="2"/>
    <n v="3"/>
    <n v="5003"/>
    <n v="23371"/>
    <n v="6"/>
    <n v="14"/>
    <n v="3"/>
    <n v="2"/>
    <n v="80"/>
    <n v="0"/>
    <n v="8"/>
    <n v="3"/>
    <n v="2"/>
    <n v="2"/>
    <n v="2"/>
    <n v="1"/>
  </r>
  <r>
    <x v="1"/>
    <s v="Travel_Rarely"/>
    <x v="0"/>
    <s v="Current Employees"/>
    <x v="1"/>
    <x v="0"/>
    <x v="738"/>
    <n v="1026"/>
    <x v="0"/>
    <x v="3"/>
    <x v="1"/>
    <s v="No"/>
    <s v="Y"/>
    <n v="3"/>
    <n v="-2"/>
    <n v="0"/>
    <n v="39"/>
    <n v="0"/>
    <m/>
    <n v="0"/>
    <n v="1"/>
    <n v="466"/>
    <n v="1"/>
    <x v="1"/>
    <n v="1"/>
    <n v="4"/>
    <n v="65"/>
    <n v="2"/>
    <n v="4"/>
    <n v="1"/>
    <n v="12742"/>
    <n v="7060"/>
    <n v="1"/>
    <n v="16"/>
    <n v="3"/>
    <n v="3"/>
    <n v="80"/>
    <n v="1"/>
    <n v="21"/>
    <n v="3"/>
    <n v="21"/>
    <n v="6"/>
    <n v="11"/>
    <n v="8"/>
  </r>
  <r>
    <x v="1"/>
    <s v="Travel_Rarely"/>
    <x v="2"/>
    <s v="Current Employees"/>
    <x v="1"/>
    <x v="0"/>
    <x v="739"/>
    <n v="1027"/>
    <x v="0"/>
    <x v="3"/>
    <x v="1"/>
    <s v="No"/>
    <s v="Y"/>
    <n v="2"/>
    <n v="-2"/>
    <n v="0"/>
    <n v="27"/>
    <n v="0"/>
    <m/>
    <n v="0"/>
    <n v="1"/>
    <n v="1055"/>
    <n v="2"/>
    <x v="2"/>
    <n v="1"/>
    <n v="1"/>
    <n v="47"/>
    <n v="3"/>
    <n v="2"/>
    <n v="1"/>
    <n v="4227"/>
    <n v="4658"/>
    <n v="0"/>
    <n v="18"/>
    <n v="3"/>
    <n v="2"/>
    <n v="80"/>
    <n v="1"/>
    <n v="4"/>
    <n v="3"/>
    <n v="3"/>
    <n v="2"/>
    <n v="2"/>
    <n v="2"/>
  </r>
  <r>
    <x v="1"/>
    <s v="Travel_Rarely"/>
    <x v="0"/>
    <s v="Current Employees"/>
    <x v="1"/>
    <x v="1"/>
    <x v="740"/>
    <n v="1028"/>
    <x v="1"/>
    <x v="2"/>
    <x v="2"/>
    <s v="No"/>
    <s v="Y"/>
    <n v="4"/>
    <n v="-2"/>
    <n v="0"/>
    <n v="35"/>
    <n v="0"/>
    <m/>
    <n v="0"/>
    <n v="1"/>
    <n v="802"/>
    <n v="10"/>
    <x v="3"/>
    <n v="1"/>
    <n v="2"/>
    <n v="45"/>
    <n v="3"/>
    <n v="1"/>
    <n v="4"/>
    <n v="3917"/>
    <n v="9541"/>
    <n v="1"/>
    <n v="20"/>
    <n v="4"/>
    <n v="1"/>
    <n v="80"/>
    <n v="1"/>
    <n v="3"/>
    <n v="2"/>
    <n v="3"/>
    <n v="2"/>
    <n v="1"/>
    <n v="2"/>
  </r>
  <r>
    <x v="1"/>
    <s v="Travel_Rarely"/>
    <x v="0"/>
    <s v="Current Employees"/>
    <x v="0"/>
    <x v="3"/>
    <x v="741"/>
    <n v="1029"/>
    <x v="1"/>
    <x v="5"/>
    <x v="1"/>
    <s v="No"/>
    <s v="Y"/>
    <n v="3"/>
    <n v="-2"/>
    <n v="0"/>
    <n v="42"/>
    <n v="0"/>
    <m/>
    <n v="0"/>
    <n v="1"/>
    <n v="265"/>
    <n v="5"/>
    <x v="0"/>
    <n v="1"/>
    <n v="4"/>
    <n v="90"/>
    <n v="3"/>
    <n v="5"/>
    <n v="2"/>
    <n v="18303"/>
    <n v="7770"/>
    <n v="6"/>
    <n v="13"/>
    <n v="3"/>
    <n v="2"/>
    <n v="80"/>
    <n v="0"/>
    <n v="21"/>
    <n v="4"/>
    <n v="1"/>
    <n v="0"/>
    <n v="0"/>
    <n v="0"/>
  </r>
  <r>
    <x v="1"/>
    <s v="Travel_Rarely"/>
    <x v="1"/>
    <s v="Current Employees"/>
    <x v="1"/>
    <x v="0"/>
    <x v="742"/>
    <n v="1030"/>
    <x v="1"/>
    <x v="2"/>
    <x v="1"/>
    <s v="No"/>
    <s v="Y"/>
    <n v="5"/>
    <n v="-2"/>
    <n v="0"/>
    <n v="50"/>
    <n v="0"/>
    <m/>
    <n v="0"/>
    <n v="1"/>
    <n v="804"/>
    <n v="9"/>
    <x v="3"/>
    <n v="1"/>
    <n v="1"/>
    <n v="64"/>
    <n v="3"/>
    <n v="1"/>
    <n v="1"/>
    <n v="2380"/>
    <n v="20165"/>
    <n v="4"/>
    <n v="18"/>
    <n v="3"/>
    <n v="2"/>
    <n v="80"/>
    <n v="0"/>
    <n v="8"/>
    <n v="3"/>
    <n v="1"/>
    <n v="0"/>
    <n v="0"/>
    <n v="0"/>
  </r>
  <r>
    <x v="1"/>
    <s v="Travel_Rarely"/>
    <x v="3"/>
    <s v="Current Employees"/>
    <x v="1"/>
    <x v="0"/>
    <x v="743"/>
    <n v="1032"/>
    <x v="0"/>
    <x v="3"/>
    <x v="0"/>
    <s v="Yes"/>
    <s v="Y"/>
    <n v="4"/>
    <n v="-2"/>
    <n v="0"/>
    <n v="59"/>
    <n v="0"/>
    <m/>
    <n v="0"/>
    <n v="1"/>
    <n v="715"/>
    <n v="2"/>
    <x v="3"/>
    <n v="1"/>
    <n v="3"/>
    <n v="69"/>
    <n v="2"/>
    <n v="4"/>
    <n v="1"/>
    <n v="13726"/>
    <n v="21829"/>
    <n v="3"/>
    <n v="13"/>
    <n v="3"/>
    <n v="1"/>
    <n v="80"/>
    <n v="0"/>
    <n v="30"/>
    <n v="3"/>
    <n v="5"/>
    <n v="3"/>
    <n v="4"/>
    <n v="3"/>
  </r>
  <r>
    <x v="0"/>
    <s v="Travel_Rarely"/>
    <x v="0"/>
    <s v="Ex-Employees"/>
    <x v="1"/>
    <x v="2"/>
    <x v="744"/>
    <n v="1033"/>
    <x v="0"/>
    <x v="4"/>
    <x v="1"/>
    <s v="No"/>
    <s v="Y"/>
    <n v="2"/>
    <n v="-2"/>
    <n v="0"/>
    <n v="37"/>
    <n v="1"/>
    <n v="1"/>
    <n v="1"/>
    <n v="0"/>
    <n v="1141"/>
    <n v="11"/>
    <x v="0"/>
    <n v="1"/>
    <n v="1"/>
    <n v="61"/>
    <n v="1"/>
    <n v="2"/>
    <n v="3"/>
    <n v="4777"/>
    <n v="14382"/>
    <n v="5"/>
    <n v="15"/>
    <n v="3"/>
    <n v="1"/>
    <n v="80"/>
    <n v="0"/>
    <n v="15"/>
    <n v="1"/>
    <n v="1"/>
    <n v="0"/>
    <n v="0"/>
    <n v="0"/>
  </r>
  <r>
    <x v="1"/>
    <s v="Travel_Frequently"/>
    <x v="3"/>
    <s v="Current Employees"/>
    <x v="1"/>
    <x v="2"/>
    <x v="745"/>
    <n v="1034"/>
    <x v="1"/>
    <x v="4"/>
    <x v="1"/>
    <s v="Yes"/>
    <s v="Y"/>
    <n v="3"/>
    <n v="-2"/>
    <n v="0"/>
    <n v="55"/>
    <n v="0"/>
    <m/>
    <n v="0"/>
    <n v="1"/>
    <n v="135"/>
    <n v="18"/>
    <x v="2"/>
    <n v="1"/>
    <n v="3"/>
    <n v="62"/>
    <n v="3"/>
    <n v="2"/>
    <n v="3"/>
    <n v="6385"/>
    <n v="12992"/>
    <n v="3"/>
    <n v="14"/>
    <n v="3"/>
    <n v="4"/>
    <n v="80"/>
    <n v="2"/>
    <n v="17"/>
    <n v="3"/>
    <n v="8"/>
    <n v="7"/>
    <n v="6"/>
    <n v="7"/>
  </r>
  <r>
    <x v="1"/>
    <s v="Non-Travel"/>
    <x v="0"/>
    <s v="Current Employees"/>
    <x v="1"/>
    <x v="0"/>
    <x v="746"/>
    <n v="1035"/>
    <x v="0"/>
    <x v="7"/>
    <x v="2"/>
    <s v="No"/>
    <s v="Y"/>
    <n v="3"/>
    <n v="-2"/>
    <n v="0"/>
    <n v="41"/>
    <n v="0"/>
    <m/>
    <n v="0"/>
    <n v="1"/>
    <n v="247"/>
    <n v="7"/>
    <x v="1"/>
    <n v="1"/>
    <n v="2"/>
    <n v="55"/>
    <n v="1"/>
    <n v="5"/>
    <n v="1"/>
    <n v="19973"/>
    <n v="20284"/>
    <n v="1"/>
    <n v="22"/>
    <n v="4"/>
    <n v="2"/>
    <n v="80"/>
    <n v="2"/>
    <n v="21"/>
    <n v="3"/>
    <n v="21"/>
    <n v="16"/>
    <n v="5"/>
    <n v="10"/>
  </r>
  <r>
    <x v="1"/>
    <s v="Travel_Rarely"/>
    <x v="0"/>
    <s v="Current Employees"/>
    <x v="0"/>
    <x v="0"/>
    <x v="747"/>
    <n v="1036"/>
    <x v="1"/>
    <x v="0"/>
    <x v="0"/>
    <s v="Yes"/>
    <s v="Y"/>
    <n v="1"/>
    <n v="-2"/>
    <n v="0"/>
    <n v="38"/>
    <n v="0"/>
    <m/>
    <n v="0"/>
    <n v="1"/>
    <n v="1035"/>
    <n v="3"/>
    <x v="2"/>
    <n v="1"/>
    <n v="2"/>
    <n v="42"/>
    <n v="3"/>
    <n v="2"/>
    <n v="1"/>
    <n v="6861"/>
    <n v="4981"/>
    <n v="8"/>
    <n v="12"/>
    <n v="3"/>
    <n v="3"/>
    <n v="80"/>
    <n v="0"/>
    <n v="19"/>
    <n v="3"/>
    <n v="1"/>
    <n v="0"/>
    <n v="0"/>
    <n v="0"/>
  </r>
  <r>
    <x v="0"/>
    <s v="Non-Travel"/>
    <x v="2"/>
    <s v="Ex-Employees"/>
    <x v="0"/>
    <x v="2"/>
    <x v="748"/>
    <n v="1037"/>
    <x v="1"/>
    <x v="0"/>
    <x v="0"/>
    <s v="No"/>
    <s v="Y"/>
    <n v="6"/>
    <n v="-2"/>
    <n v="0"/>
    <n v="26"/>
    <n v="1"/>
    <n v="1"/>
    <n v="1"/>
    <n v="0"/>
    <n v="265"/>
    <n v="29"/>
    <x v="0"/>
    <n v="1"/>
    <n v="2"/>
    <n v="79"/>
    <n v="1"/>
    <n v="2"/>
    <n v="3"/>
    <n v="4969"/>
    <n v="21813"/>
    <n v="8"/>
    <n v="18"/>
    <n v="3"/>
    <n v="4"/>
    <n v="80"/>
    <n v="0"/>
    <n v="7"/>
    <n v="3"/>
    <n v="2"/>
    <n v="2"/>
    <n v="2"/>
    <n v="2"/>
  </r>
  <r>
    <x v="0"/>
    <s v="Travel_Rarely"/>
    <x v="1"/>
    <s v="Ex-Employees"/>
    <x v="0"/>
    <x v="3"/>
    <x v="749"/>
    <n v="1038"/>
    <x v="0"/>
    <x v="5"/>
    <x v="1"/>
    <s v="No"/>
    <s v="Y"/>
    <n v="3"/>
    <n v="-2"/>
    <n v="0"/>
    <n v="52"/>
    <n v="1"/>
    <n v="1"/>
    <n v="1"/>
    <n v="0"/>
    <n v="266"/>
    <n v="2"/>
    <x v="1"/>
    <n v="1"/>
    <n v="1"/>
    <n v="57"/>
    <n v="1"/>
    <n v="5"/>
    <n v="2"/>
    <n v="19845"/>
    <n v="25846"/>
    <n v="1"/>
    <n v="15"/>
    <n v="3"/>
    <n v="4"/>
    <n v="80"/>
    <n v="1"/>
    <n v="33"/>
    <n v="3"/>
    <n v="32"/>
    <n v="14"/>
    <n v="6"/>
    <n v="9"/>
  </r>
  <r>
    <x v="1"/>
    <s v="Travel_Rarely"/>
    <x v="0"/>
    <s v="Current Employees"/>
    <x v="0"/>
    <x v="2"/>
    <x v="750"/>
    <n v="1039"/>
    <x v="0"/>
    <x v="0"/>
    <x v="1"/>
    <s v="Yes"/>
    <s v="Y"/>
    <n v="2"/>
    <n v="-2"/>
    <n v="0"/>
    <n v="44"/>
    <n v="0"/>
    <m/>
    <n v="0"/>
    <n v="1"/>
    <n v="1448"/>
    <n v="28"/>
    <x v="3"/>
    <n v="1"/>
    <n v="4"/>
    <n v="53"/>
    <n v="4"/>
    <n v="4"/>
    <n v="4"/>
    <n v="13320"/>
    <n v="11737"/>
    <n v="3"/>
    <n v="18"/>
    <n v="3"/>
    <n v="3"/>
    <n v="80"/>
    <n v="1"/>
    <n v="23"/>
    <n v="3"/>
    <n v="12"/>
    <n v="11"/>
    <n v="11"/>
    <n v="11"/>
  </r>
  <r>
    <x v="1"/>
    <s v="Non-Travel"/>
    <x v="1"/>
    <s v="Current Employees"/>
    <x v="0"/>
    <x v="0"/>
    <x v="751"/>
    <n v="1040"/>
    <x v="0"/>
    <x v="0"/>
    <x v="1"/>
    <s v="No"/>
    <s v="Y"/>
    <n v="3"/>
    <n v="-2"/>
    <n v="0"/>
    <n v="50"/>
    <n v="0"/>
    <m/>
    <n v="0"/>
    <n v="1"/>
    <n v="145"/>
    <n v="1"/>
    <x v="3"/>
    <n v="1"/>
    <n v="4"/>
    <n v="95"/>
    <n v="3"/>
    <n v="2"/>
    <n v="1"/>
    <n v="6347"/>
    <n v="24920"/>
    <n v="0"/>
    <n v="12"/>
    <n v="3"/>
    <n v="1"/>
    <n v="80"/>
    <n v="1"/>
    <n v="19"/>
    <n v="3"/>
    <n v="18"/>
    <n v="7"/>
    <n v="0"/>
    <n v="13"/>
  </r>
  <r>
    <x v="0"/>
    <s v="Travel_Rarely"/>
    <x v="0"/>
    <s v="Ex-Employees"/>
    <x v="1"/>
    <x v="0"/>
    <x v="752"/>
    <n v="1042"/>
    <x v="0"/>
    <x v="2"/>
    <x v="0"/>
    <s v="No"/>
    <s v="Y"/>
    <n v="1"/>
    <n v="-2"/>
    <n v="0"/>
    <n v="36"/>
    <n v="1"/>
    <n v="1"/>
    <n v="1"/>
    <n v="0"/>
    <n v="885"/>
    <n v="16"/>
    <x v="2"/>
    <n v="1"/>
    <n v="3"/>
    <n v="43"/>
    <n v="4"/>
    <n v="1"/>
    <n v="1"/>
    <n v="2743"/>
    <n v="8269"/>
    <n v="1"/>
    <n v="16"/>
    <n v="3"/>
    <n v="3"/>
    <n v="80"/>
    <n v="0"/>
    <n v="18"/>
    <n v="3"/>
    <n v="17"/>
    <n v="13"/>
    <n v="15"/>
    <n v="14"/>
  </r>
  <r>
    <x v="1"/>
    <s v="Travel_Frequently"/>
    <x v="0"/>
    <s v="Current Employees"/>
    <x v="1"/>
    <x v="2"/>
    <x v="753"/>
    <n v="1043"/>
    <x v="0"/>
    <x v="3"/>
    <x v="0"/>
    <s v="Yes"/>
    <s v="Y"/>
    <n v="2"/>
    <n v="-2"/>
    <n v="0"/>
    <n v="39"/>
    <n v="0"/>
    <m/>
    <n v="0"/>
    <n v="1"/>
    <n v="945"/>
    <n v="22"/>
    <x v="3"/>
    <n v="1"/>
    <n v="4"/>
    <n v="82"/>
    <n v="3"/>
    <n v="3"/>
    <n v="3"/>
    <n v="10880"/>
    <n v="5083"/>
    <n v="1"/>
    <n v="13"/>
    <n v="3"/>
    <n v="3"/>
    <n v="80"/>
    <n v="0"/>
    <n v="21"/>
    <n v="3"/>
    <n v="21"/>
    <n v="6"/>
    <n v="2"/>
    <n v="8"/>
  </r>
  <r>
    <x v="1"/>
    <s v="Non-Travel"/>
    <x v="2"/>
    <s v="Current Employees"/>
    <x v="0"/>
    <x v="0"/>
    <x v="754"/>
    <n v="1044"/>
    <x v="0"/>
    <x v="6"/>
    <x v="0"/>
    <s v="No"/>
    <s v="Y"/>
    <n v="2"/>
    <n v="-2"/>
    <n v="0"/>
    <n v="33"/>
    <n v="0"/>
    <m/>
    <n v="0"/>
    <n v="1"/>
    <n v="1038"/>
    <n v="8"/>
    <x v="1"/>
    <n v="1"/>
    <n v="2"/>
    <n v="88"/>
    <n v="2"/>
    <n v="1"/>
    <n v="1"/>
    <n v="2342"/>
    <n v="21437"/>
    <n v="0"/>
    <n v="19"/>
    <n v="3"/>
    <n v="4"/>
    <n v="80"/>
    <n v="0"/>
    <n v="3"/>
    <n v="2"/>
    <n v="2"/>
    <n v="2"/>
    <n v="2"/>
    <n v="2"/>
  </r>
  <r>
    <x v="1"/>
    <s v="Travel_Rarely"/>
    <x v="1"/>
    <s v="Current Employees"/>
    <x v="0"/>
    <x v="0"/>
    <x v="755"/>
    <n v="1045"/>
    <x v="0"/>
    <x v="5"/>
    <x v="1"/>
    <s v="No"/>
    <s v="Y"/>
    <n v="4"/>
    <n v="-2"/>
    <n v="0"/>
    <n v="45"/>
    <n v="0"/>
    <m/>
    <n v="0"/>
    <n v="1"/>
    <n v="1234"/>
    <n v="11"/>
    <x v="0"/>
    <n v="1"/>
    <n v="4"/>
    <n v="90"/>
    <n v="3"/>
    <n v="4"/>
    <n v="1"/>
    <n v="17650"/>
    <n v="5404"/>
    <n v="3"/>
    <n v="13"/>
    <n v="3"/>
    <n v="2"/>
    <n v="80"/>
    <n v="1"/>
    <n v="26"/>
    <n v="4"/>
    <n v="9"/>
    <n v="3"/>
    <n v="1"/>
    <n v="1"/>
  </r>
  <r>
    <x v="1"/>
    <s v="Non-Travel"/>
    <x v="2"/>
    <s v="Current Employees"/>
    <x v="1"/>
    <x v="2"/>
    <x v="756"/>
    <n v="1046"/>
    <x v="0"/>
    <x v="2"/>
    <x v="0"/>
    <s v="No"/>
    <s v="Y"/>
    <n v="2"/>
    <n v="-2"/>
    <n v="0"/>
    <n v="32"/>
    <n v="0"/>
    <m/>
    <n v="0"/>
    <n v="1"/>
    <n v="1109"/>
    <n v="29"/>
    <x v="2"/>
    <n v="1"/>
    <n v="4"/>
    <n v="69"/>
    <n v="3"/>
    <n v="1"/>
    <n v="3"/>
    <n v="4025"/>
    <n v="11135"/>
    <n v="9"/>
    <n v="12"/>
    <n v="3"/>
    <n v="2"/>
    <n v="80"/>
    <n v="0"/>
    <n v="10"/>
    <n v="3"/>
    <n v="8"/>
    <n v="7"/>
    <n v="7"/>
    <n v="7"/>
  </r>
  <r>
    <x v="1"/>
    <s v="Travel_Rarely"/>
    <x v="2"/>
    <s v="Current Employees"/>
    <x v="0"/>
    <x v="3"/>
    <x v="757"/>
    <n v="1047"/>
    <x v="1"/>
    <x v="0"/>
    <x v="2"/>
    <s v="No"/>
    <s v="Y"/>
    <n v="2"/>
    <n v="-2"/>
    <n v="0"/>
    <n v="34"/>
    <n v="0"/>
    <m/>
    <n v="0"/>
    <n v="1"/>
    <n v="216"/>
    <n v="1"/>
    <x v="2"/>
    <n v="1"/>
    <n v="2"/>
    <n v="75"/>
    <n v="4"/>
    <n v="2"/>
    <n v="2"/>
    <n v="9725"/>
    <n v="12278"/>
    <n v="0"/>
    <n v="11"/>
    <n v="3"/>
    <n v="4"/>
    <n v="80"/>
    <n v="1"/>
    <n v="16"/>
    <n v="2"/>
    <n v="15"/>
    <n v="1"/>
    <n v="0"/>
    <n v="9"/>
  </r>
  <r>
    <x v="1"/>
    <s v="Travel_Rarely"/>
    <x v="3"/>
    <s v="Current Employees"/>
    <x v="0"/>
    <x v="4"/>
    <x v="758"/>
    <n v="1048"/>
    <x v="1"/>
    <x v="5"/>
    <x v="1"/>
    <s v="Yes"/>
    <s v="Y"/>
    <n v="1"/>
    <n v="-2"/>
    <n v="0"/>
    <n v="59"/>
    <n v="0"/>
    <m/>
    <n v="0"/>
    <n v="1"/>
    <n v="1089"/>
    <n v="1"/>
    <x v="0"/>
    <n v="1"/>
    <n v="4"/>
    <n v="66"/>
    <n v="3"/>
    <n v="3"/>
    <n v="4"/>
    <n v="11904"/>
    <n v="11038"/>
    <n v="3"/>
    <n v="14"/>
    <n v="3"/>
    <n v="3"/>
    <n v="80"/>
    <n v="1"/>
    <n v="14"/>
    <n v="1"/>
    <n v="6"/>
    <n v="4"/>
    <n v="0"/>
    <n v="4"/>
  </r>
  <r>
    <x v="1"/>
    <s v="Travel_Rarely"/>
    <x v="1"/>
    <s v="Current Employees"/>
    <x v="2"/>
    <x v="2"/>
    <x v="759"/>
    <n v="1049"/>
    <x v="1"/>
    <x v="8"/>
    <x v="0"/>
    <s v="No"/>
    <s v="Y"/>
    <n v="3"/>
    <n v="-2"/>
    <n v="0"/>
    <n v="45"/>
    <n v="0"/>
    <m/>
    <n v="0"/>
    <n v="1"/>
    <n v="788"/>
    <n v="24"/>
    <x v="2"/>
    <n v="1"/>
    <n v="2"/>
    <n v="36"/>
    <n v="3"/>
    <n v="1"/>
    <n v="3"/>
    <n v="2177"/>
    <n v="8318"/>
    <n v="1"/>
    <n v="16"/>
    <n v="3"/>
    <n v="1"/>
    <n v="80"/>
    <n v="0"/>
    <n v="6"/>
    <n v="3"/>
    <n v="6"/>
    <n v="3"/>
    <n v="0"/>
    <n v="4"/>
  </r>
  <r>
    <x v="1"/>
    <s v="Travel_Frequently"/>
    <x v="1"/>
    <s v="Current Employees"/>
    <x v="0"/>
    <x v="3"/>
    <x v="760"/>
    <n v="1050"/>
    <x v="0"/>
    <x v="0"/>
    <x v="1"/>
    <s v="No"/>
    <s v="Y"/>
    <n v="2"/>
    <n v="-2"/>
    <n v="0"/>
    <n v="53"/>
    <n v="0"/>
    <m/>
    <n v="0"/>
    <n v="1"/>
    <n v="124"/>
    <n v="2"/>
    <x v="3"/>
    <n v="1"/>
    <n v="3"/>
    <n v="38"/>
    <n v="2"/>
    <n v="3"/>
    <n v="2"/>
    <n v="7525"/>
    <n v="23537"/>
    <n v="2"/>
    <n v="12"/>
    <n v="3"/>
    <n v="1"/>
    <n v="80"/>
    <n v="1"/>
    <n v="30"/>
    <n v="3"/>
    <n v="15"/>
    <n v="7"/>
    <n v="6"/>
    <n v="12"/>
  </r>
  <r>
    <x v="0"/>
    <s v="Travel_Rarely"/>
    <x v="0"/>
    <s v="Ex-Employees"/>
    <x v="1"/>
    <x v="1"/>
    <x v="761"/>
    <n v="1052"/>
    <x v="1"/>
    <x v="2"/>
    <x v="2"/>
    <s v="No"/>
    <s v="Y"/>
    <n v="3"/>
    <n v="-2"/>
    <n v="0"/>
    <n v="36"/>
    <n v="1"/>
    <n v="1"/>
    <n v="1"/>
    <n v="0"/>
    <n v="660"/>
    <n v="15"/>
    <x v="3"/>
    <n v="1"/>
    <n v="1"/>
    <n v="81"/>
    <n v="3"/>
    <n v="2"/>
    <n v="3"/>
    <n v="4834"/>
    <n v="7858"/>
    <n v="7"/>
    <n v="14"/>
    <n v="3"/>
    <n v="2"/>
    <n v="80"/>
    <n v="1"/>
    <n v="9"/>
    <n v="2"/>
    <n v="1"/>
    <n v="0"/>
    <n v="0"/>
    <n v="0"/>
  </r>
  <r>
    <x v="0"/>
    <s v="Travel_Frequently"/>
    <x v="2"/>
    <s v="Ex-Employees"/>
    <x v="1"/>
    <x v="0"/>
    <x v="762"/>
    <n v="1053"/>
    <x v="1"/>
    <x v="1"/>
    <x v="1"/>
    <s v="Yes"/>
    <s v="Y"/>
    <n v="2"/>
    <n v="-2"/>
    <n v="0"/>
    <n v="26"/>
    <n v="1"/>
    <n v="1"/>
    <n v="1"/>
    <n v="0"/>
    <n v="342"/>
    <n v="2"/>
    <x v="3"/>
    <n v="1"/>
    <n v="1"/>
    <n v="57"/>
    <n v="3"/>
    <n v="1"/>
    <n v="1"/>
    <n v="2042"/>
    <n v="15346"/>
    <n v="6"/>
    <n v="14"/>
    <n v="3"/>
    <n v="2"/>
    <n v="80"/>
    <n v="1"/>
    <n v="6"/>
    <n v="3"/>
    <n v="3"/>
    <n v="2"/>
    <n v="1"/>
    <n v="2"/>
  </r>
  <r>
    <x v="1"/>
    <s v="Travel_Rarely"/>
    <x v="2"/>
    <s v="Current Employees"/>
    <x v="0"/>
    <x v="0"/>
    <x v="763"/>
    <n v="1055"/>
    <x v="0"/>
    <x v="6"/>
    <x v="1"/>
    <s v="Yes"/>
    <s v="Y"/>
    <n v="2"/>
    <n v="-2"/>
    <n v="0"/>
    <n v="34"/>
    <n v="0"/>
    <m/>
    <n v="0"/>
    <n v="1"/>
    <n v="1333"/>
    <n v="10"/>
    <x v="2"/>
    <n v="1"/>
    <n v="3"/>
    <n v="87"/>
    <n v="3"/>
    <n v="1"/>
    <n v="1"/>
    <n v="2220"/>
    <n v="18410"/>
    <n v="1"/>
    <n v="19"/>
    <n v="3"/>
    <n v="4"/>
    <n v="80"/>
    <n v="1"/>
    <n v="1"/>
    <n v="3"/>
    <n v="1"/>
    <n v="1"/>
    <n v="0"/>
    <n v="0"/>
  </r>
  <r>
    <x v="1"/>
    <s v="Travel_Rarely"/>
    <x v="2"/>
    <s v="Current Employees"/>
    <x v="0"/>
    <x v="2"/>
    <x v="764"/>
    <n v="1056"/>
    <x v="1"/>
    <x v="6"/>
    <x v="1"/>
    <s v="No"/>
    <s v="Y"/>
    <n v="5"/>
    <n v="-2"/>
    <n v="0"/>
    <n v="28"/>
    <n v="0"/>
    <m/>
    <n v="0"/>
    <n v="1"/>
    <n v="1144"/>
    <n v="10"/>
    <x v="1"/>
    <n v="1"/>
    <n v="4"/>
    <n v="74"/>
    <n v="3"/>
    <n v="1"/>
    <n v="3"/>
    <n v="1052"/>
    <n v="23384"/>
    <n v="1"/>
    <n v="22"/>
    <n v="4"/>
    <n v="2"/>
    <n v="80"/>
    <n v="0"/>
    <n v="1"/>
    <n v="3"/>
    <n v="1"/>
    <n v="0"/>
    <n v="0"/>
    <n v="0"/>
  </r>
  <r>
    <x v="1"/>
    <s v="Travel_Frequently"/>
    <x v="0"/>
    <s v="Current Employees"/>
    <x v="1"/>
    <x v="1"/>
    <x v="765"/>
    <n v="1060"/>
    <x v="1"/>
    <x v="1"/>
    <x v="1"/>
    <s v="No"/>
    <s v="Y"/>
    <n v="2"/>
    <n v="-2"/>
    <n v="0"/>
    <n v="38"/>
    <n v="0"/>
    <m/>
    <n v="0"/>
    <n v="1"/>
    <n v="1186"/>
    <n v="3"/>
    <x v="2"/>
    <n v="1"/>
    <n v="3"/>
    <n v="44"/>
    <n v="3"/>
    <n v="1"/>
    <n v="3"/>
    <n v="2821"/>
    <n v="2997"/>
    <n v="3"/>
    <n v="16"/>
    <n v="3"/>
    <n v="1"/>
    <n v="80"/>
    <n v="1"/>
    <n v="8"/>
    <n v="3"/>
    <n v="2"/>
    <n v="2"/>
    <n v="2"/>
    <n v="2"/>
  </r>
  <r>
    <x v="1"/>
    <s v="Travel_Rarely"/>
    <x v="1"/>
    <s v="Current Employees"/>
    <x v="1"/>
    <x v="2"/>
    <x v="766"/>
    <n v="1061"/>
    <x v="1"/>
    <x v="7"/>
    <x v="1"/>
    <s v="Yes"/>
    <s v="Y"/>
    <n v="2"/>
    <n v="-2"/>
    <n v="0"/>
    <n v="50"/>
    <n v="0"/>
    <m/>
    <n v="0"/>
    <n v="1"/>
    <n v="1464"/>
    <n v="2"/>
    <x v="2"/>
    <n v="1"/>
    <n v="2"/>
    <n v="62"/>
    <n v="3"/>
    <n v="5"/>
    <n v="3"/>
    <n v="19237"/>
    <n v="12853"/>
    <n v="2"/>
    <n v="11"/>
    <n v="3"/>
    <n v="4"/>
    <n v="80"/>
    <n v="1"/>
    <n v="29"/>
    <n v="2"/>
    <n v="8"/>
    <n v="1"/>
    <n v="7"/>
    <n v="7"/>
  </r>
  <r>
    <x v="1"/>
    <s v="Travel_Rarely"/>
    <x v="0"/>
    <s v="Current Employees"/>
    <x v="1"/>
    <x v="1"/>
    <x v="767"/>
    <n v="1062"/>
    <x v="0"/>
    <x v="4"/>
    <x v="0"/>
    <s v="No"/>
    <s v="Y"/>
    <n v="3"/>
    <n v="-2"/>
    <n v="0"/>
    <n v="37"/>
    <n v="0"/>
    <m/>
    <n v="0"/>
    <n v="1"/>
    <n v="124"/>
    <n v="3"/>
    <x v="3"/>
    <n v="1"/>
    <n v="4"/>
    <n v="35"/>
    <n v="3"/>
    <n v="2"/>
    <n v="3"/>
    <n v="4107"/>
    <n v="13848"/>
    <n v="3"/>
    <n v="15"/>
    <n v="3"/>
    <n v="1"/>
    <n v="80"/>
    <n v="0"/>
    <n v="8"/>
    <n v="2"/>
    <n v="4"/>
    <n v="3"/>
    <n v="0"/>
    <n v="1"/>
  </r>
  <r>
    <x v="1"/>
    <s v="Travel_Rarely"/>
    <x v="0"/>
    <s v="Current Employees"/>
    <x v="0"/>
    <x v="3"/>
    <x v="768"/>
    <n v="1066"/>
    <x v="1"/>
    <x v="0"/>
    <x v="1"/>
    <s v="No"/>
    <s v="Y"/>
    <n v="3"/>
    <n v="-2"/>
    <n v="0"/>
    <n v="40"/>
    <n v="0"/>
    <m/>
    <n v="0"/>
    <n v="1"/>
    <n v="300"/>
    <n v="26"/>
    <x v="3"/>
    <n v="1"/>
    <n v="3"/>
    <n v="74"/>
    <n v="3"/>
    <n v="2"/>
    <n v="2"/>
    <n v="8396"/>
    <n v="22217"/>
    <n v="1"/>
    <n v="14"/>
    <n v="3"/>
    <n v="2"/>
    <n v="80"/>
    <n v="1"/>
    <n v="8"/>
    <n v="2"/>
    <n v="7"/>
    <n v="7"/>
    <n v="7"/>
    <n v="5"/>
  </r>
  <r>
    <x v="1"/>
    <s v="Travel_Frequently"/>
    <x v="2"/>
    <s v="Current Employees"/>
    <x v="1"/>
    <x v="2"/>
    <x v="769"/>
    <n v="1068"/>
    <x v="0"/>
    <x v="1"/>
    <x v="2"/>
    <s v="No"/>
    <s v="Y"/>
    <n v="5"/>
    <n v="-2"/>
    <n v="0"/>
    <n v="26"/>
    <n v="0"/>
    <m/>
    <n v="0"/>
    <n v="1"/>
    <n v="921"/>
    <n v="1"/>
    <x v="1"/>
    <n v="1"/>
    <n v="1"/>
    <n v="66"/>
    <n v="2"/>
    <n v="1"/>
    <n v="3"/>
    <n v="2007"/>
    <n v="25265"/>
    <n v="1"/>
    <n v="13"/>
    <n v="3"/>
    <n v="3"/>
    <n v="80"/>
    <n v="2"/>
    <n v="5"/>
    <n v="3"/>
    <n v="5"/>
    <n v="3"/>
    <n v="1"/>
    <n v="3"/>
  </r>
  <r>
    <x v="1"/>
    <s v="Travel_Rarely"/>
    <x v="1"/>
    <s v="Current Employees"/>
    <x v="1"/>
    <x v="2"/>
    <x v="770"/>
    <n v="1069"/>
    <x v="1"/>
    <x v="7"/>
    <x v="2"/>
    <s v="No"/>
    <s v="Y"/>
    <n v="0"/>
    <n v="-2"/>
    <n v="0"/>
    <n v="46"/>
    <n v="0"/>
    <m/>
    <n v="0"/>
    <n v="1"/>
    <n v="430"/>
    <n v="1"/>
    <x v="2"/>
    <n v="1"/>
    <n v="4"/>
    <n v="40"/>
    <n v="3"/>
    <n v="5"/>
    <n v="4"/>
    <n v="19627"/>
    <n v="21445"/>
    <n v="9"/>
    <n v="17"/>
    <n v="3"/>
    <n v="4"/>
    <n v="80"/>
    <n v="2"/>
    <n v="23"/>
    <n v="3"/>
    <n v="2"/>
    <n v="2"/>
    <n v="2"/>
    <n v="2"/>
  </r>
  <r>
    <x v="1"/>
    <s v="Travel_Rarely"/>
    <x v="1"/>
    <s v="Current Employees"/>
    <x v="0"/>
    <x v="0"/>
    <x v="771"/>
    <n v="1070"/>
    <x v="0"/>
    <x v="0"/>
    <x v="1"/>
    <s v="No"/>
    <s v="Y"/>
    <n v="4"/>
    <n v="-2"/>
    <n v="0"/>
    <n v="54"/>
    <n v="0"/>
    <m/>
    <n v="0"/>
    <n v="1"/>
    <n v="1082"/>
    <n v="2"/>
    <x v="2"/>
    <n v="1"/>
    <n v="3"/>
    <n v="41"/>
    <n v="2"/>
    <n v="3"/>
    <n v="1"/>
    <n v="10686"/>
    <n v="8392"/>
    <n v="6"/>
    <n v="11"/>
    <n v="3"/>
    <n v="2"/>
    <n v="80"/>
    <n v="1"/>
    <n v="13"/>
    <n v="3"/>
    <n v="9"/>
    <n v="4"/>
    <n v="7"/>
    <n v="0"/>
  </r>
  <r>
    <x v="1"/>
    <s v="Travel_Frequently"/>
    <x v="3"/>
    <s v="Current Employees"/>
    <x v="1"/>
    <x v="2"/>
    <x v="772"/>
    <n v="1071"/>
    <x v="0"/>
    <x v="1"/>
    <x v="1"/>
    <s v="No"/>
    <s v="Y"/>
    <n v="4"/>
    <n v="-2"/>
    <n v="0"/>
    <n v="56"/>
    <n v="0"/>
    <m/>
    <n v="0"/>
    <n v="1"/>
    <n v="1240"/>
    <n v="9"/>
    <x v="3"/>
    <n v="1"/>
    <n v="1"/>
    <n v="63"/>
    <n v="3"/>
    <n v="1"/>
    <n v="3"/>
    <n v="2942"/>
    <n v="12154"/>
    <n v="2"/>
    <n v="19"/>
    <n v="3"/>
    <n v="2"/>
    <n v="80"/>
    <n v="1"/>
    <n v="18"/>
    <n v="3"/>
    <n v="5"/>
    <n v="4"/>
    <n v="0"/>
    <n v="3"/>
  </r>
  <r>
    <x v="1"/>
    <s v="Travel_Rarely"/>
    <x v="0"/>
    <s v="Current Employees"/>
    <x v="1"/>
    <x v="2"/>
    <x v="773"/>
    <n v="1073"/>
    <x v="0"/>
    <x v="3"/>
    <x v="0"/>
    <s v="No"/>
    <s v="Y"/>
    <n v="2"/>
    <n v="-2"/>
    <n v="0"/>
    <n v="36"/>
    <n v="0"/>
    <m/>
    <n v="0"/>
    <n v="1"/>
    <n v="796"/>
    <n v="12"/>
    <x v="4"/>
    <n v="1"/>
    <n v="4"/>
    <n v="51"/>
    <n v="2"/>
    <n v="3"/>
    <n v="4"/>
    <n v="8858"/>
    <n v="15669"/>
    <n v="0"/>
    <n v="11"/>
    <n v="3"/>
    <n v="2"/>
    <n v="80"/>
    <n v="0"/>
    <n v="15"/>
    <n v="2"/>
    <n v="14"/>
    <n v="8"/>
    <n v="7"/>
    <n v="8"/>
  </r>
  <r>
    <x v="1"/>
    <s v="Non-Travel"/>
    <x v="3"/>
    <s v="Current Employees"/>
    <x v="1"/>
    <x v="2"/>
    <x v="774"/>
    <n v="1074"/>
    <x v="1"/>
    <x v="5"/>
    <x v="0"/>
    <s v="No"/>
    <s v="Y"/>
    <n v="3"/>
    <n v="-2"/>
    <n v="0"/>
    <n v="55"/>
    <n v="0"/>
    <m/>
    <n v="0"/>
    <n v="1"/>
    <n v="444"/>
    <n v="2"/>
    <x v="1"/>
    <n v="1"/>
    <n v="3"/>
    <n v="40"/>
    <n v="2"/>
    <n v="4"/>
    <n v="3"/>
    <n v="16756"/>
    <n v="17323"/>
    <n v="7"/>
    <n v="15"/>
    <n v="3"/>
    <n v="2"/>
    <n v="80"/>
    <n v="0"/>
    <n v="31"/>
    <n v="4"/>
    <n v="9"/>
    <n v="7"/>
    <n v="6"/>
    <n v="2"/>
  </r>
  <r>
    <x v="1"/>
    <s v="Travel_Rarely"/>
    <x v="0"/>
    <s v="Current Employees"/>
    <x v="0"/>
    <x v="2"/>
    <x v="775"/>
    <n v="1076"/>
    <x v="1"/>
    <x v="0"/>
    <x v="2"/>
    <s v="No"/>
    <s v="Y"/>
    <n v="5"/>
    <n v="-2"/>
    <n v="0"/>
    <n v="43"/>
    <n v="0"/>
    <m/>
    <n v="0"/>
    <n v="1"/>
    <n v="415"/>
    <n v="25"/>
    <x v="3"/>
    <n v="1"/>
    <n v="3"/>
    <n v="79"/>
    <n v="2"/>
    <n v="3"/>
    <n v="4"/>
    <n v="10798"/>
    <n v="5268"/>
    <n v="5"/>
    <n v="13"/>
    <n v="3"/>
    <n v="3"/>
    <n v="80"/>
    <n v="1"/>
    <n v="18"/>
    <n v="3"/>
    <n v="1"/>
    <n v="0"/>
    <n v="0"/>
    <n v="0"/>
  </r>
  <r>
    <x v="0"/>
    <s v="Travel_Frequently"/>
    <x v="4"/>
    <s v="Ex-Employees"/>
    <x v="0"/>
    <x v="3"/>
    <x v="776"/>
    <n v="1077"/>
    <x v="0"/>
    <x v="6"/>
    <x v="0"/>
    <s v="Yes"/>
    <s v="Y"/>
    <n v="3"/>
    <n v="-2"/>
    <n v="0"/>
    <n v="20"/>
    <n v="1"/>
    <n v="1"/>
    <n v="1"/>
    <n v="0"/>
    <n v="769"/>
    <n v="9"/>
    <x v="3"/>
    <n v="1"/>
    <n v="4"/>
    <n v="54"/>
    <n v="3"/>
    <n v="1"/>
    <n v="2"/>
    <n v="2323"/>
    <n v="17205"/>
    <n v="1"/>
    <n v="14"/>
    <n v="3"/>
    <n v="2"/>
    <n v="80"/>
    <n v="0"/>
    <n v="2"/>
    <n v="3"/>
    <n v="2"/>
    <n v="2"/>
    <n v="0"/>
    <n v="2"/>
  </r>
  <r>
    <x v="0"/>
    <s v="Travel_Rarely"/>
    <x v="4"/>
    <s v="Ex-Employees"/>
    <x v="1"/>
    <x v="0"/>
    <x v="777"/>
    <n v="1079"/>
    <x v="0"/>
    <x v="2"/>
    <x v="0"/>
    <s v="No"/>
    <s v="Y"/>
    <n v="6"/>
    <n v="-2"/>
    <n v="0"/>
    <n v="21"/>
    <n v="1"/>
    <n v="1"/>
    <n v="1"/>
    <n v="0"/>
    <n v="1334"/>
    <n v="10"/>
    <x v="3"/>
    <n v="1"/>
    <n v="3"/>
    <n v="36"/>
    <n v="2"/>
    <n v="1"/>
    <n v="1"/>
    <n v="1416"/>
    <n v="17258"/>
    <n v="1"/>
    <n v="13"/>
    <n v="3"/>
    <n v="1"/>
    <n v="80"/>
    <n v="0"/>
    <n v="1"/>
    <n v="2"/>
    <n v="1"/>
    <n v="0"/>
    <n v="1"/>
    <n v="0"/>
  </r>
  <r>
    <x v="1"/>
    <s v="Travel_Rarely"/>
    <x v="1"/>
    <s v="Current Employees"/>
    <x v="1"/>
    <x v="0"/>
    <x v="778"/>
    <n v="1080"/>
    <x v="0"/>
    <x v="1"/>
    <x v="2"/>
    <s v="Yes"/>
    <s v="Y"/>
    <n v="2"/>
    <n v="-2"/>
    <n v="0"/>
    <n v="46"/>
    <n v="0"/>
    <m/>
    <n v="0"/>
    <n v="1"/>
    <n v="1003"/>
    <n v="8"/>
    <x v="2"/>
    <n v="1"/>
    <n v="4"/>
    <n v="74"/>
    <n v="2"/>
    <n v="2"/>
    <n v="1"/>
    <n v="4615"/>
    <n v="21029"/>
    <n v="8"/>
    <n v="23"/>
    <n v="4"/>
    <n v="1"/>
    <n v="80"/>
    <n v="3"/>
    <n v="19"/>
    <n v="3"/>
    <n v="16"/>
    <n v="13"/>
    <n v="1"/>
    <n v="7"/>
  </r>
  <r>
    <x v="0"/>
    <s v="Travel_Rarely"/>
    <x v="1"/>
    <s v="Ex-Employees"/>
    <x v="1"/>
    <x v="0"/>
    <x v="779"/>
    <n v="1081"/>
    <x v="1"/>
    <x v="1"/>
    <x v="1"/>
    <s v="Yes"/>
    <s v="Y"/>
    <n v="2"/>
    <n v="-2"/>
    <n v="0"/>
    <n v="51"/>
    <n v="1"/>
    <n v="1"/>
    <n v="1"/>
    <n v="0"/>
    <n v="1323"/>
    <n v="4"/>
    <x v="2"/>
    <n v="1"/>
    <n v="1"/>
    <n v="34"/>
    <n v="3"/>
    <n v="1"/>
    <n v="1"/>
    <n v="2461"/>
    <n v="10332"/>
    <n v="9"/>
    <n v="12"/>
    <n v="3"/>
    <n v="3"/>
    <n v="80"/>
    <n v="3"/>
    <n v="18"/>
    <n v="4"/>
    <n v="10"/>
    <n v="0"/>
    <n v="2"/>
    <n v="7"/>
  </r>
  <r>
    <x v="0"/>
    <s v="Non-Travel"/>
    <x v="2"/>
    <s v="Ex-Employees"/>
    <x v="1"/>
    <x v="4"/>
    <x v="780"/>
    <n v="1082"/>
    <x v="1"/>
    <x v="4"/>
    <x v="0"/>
    <s v="No"/>
    <s v="Y"/>
    <n v="2"/>
    <n v="-2"/>
    <n v="0"/>
    <n v="28"/>
    <n v="1"/>
    <n v="1"/>
    <n v="1"/>
    <n v="0"/>
    <n v="1366"/>
    <n v="24"/>
    <x v="0"/>
    <n v="1"/>
    <n v="4"/>
    <n v="72"/>
    <n v="2"/>
    <n v="3"/>
    <n v="4"/>
    <n v="8722"/>
    <n v="12355"/>
    <n v="1"/>
    <n v="12"/>
    <n v="3"/>
    <n v="1"/>
    <n v="80"/>
    <n v="0"/>
    <n v="10"/>
    <n v="2"/>
    <n v="10"/>
    <n v="7"/>
    <n v="1"/>
    <n v="9"/>
  </r>
  <r>
    <x v="1"/>
    <s v="Travel_Rarely"/>
    <x v="2"/>
    <s v="Current Employees"/>
    <x v="1"/>
    <x v="2"/>
    <x v="781"/>
    <n v="1083"/>
    <x v="1"/>
    <x v="2"/>
    <x v="1"/>
    <s v="No"/>
    <s v="Y"/>
    <n v="2"/>
    <n v="-2"/>
    <n v="0"/>
    <n v="26"/>
    <n v="0"/>
    <m/>
    <n v="0"/>
    <n v="1"/>
    <n v="192"/>
    <n v="1"/>
    <x v="0"/>
    <n v="1"/>
    <n v="1"/>
    <n v="59"/>
    <n v="2"/>
    <n v="1"/>
    <n v="3"/>
    <n v="3955"/>
    <n v="11141"/>
    <n v="1"/>
    <n v="16"/>
    <n v="3"/>
    <n v="1"/>
    <n v="80"/>
    <n v="2"/>
    <n v="6"/>
    <n v="3"/>
    <n v="5"/>
    <n v="3"/>
    <n v="1"/>
    <n v="3"/>
  </r>
  <r>
    <x v="1"/>
    <s v="Travel_Rarely"/>
    <x v="2"/>
    <s v="Current Employees"/>
    <x v="1"/>
    <x v="1"/>
    <x v="782"/>
    <n v="1084"/>
    <x v="1"/>
    <x v="3"/>
    <x v="1"/>
    <s v="No"/>
    <s v="Y"/>
    <n v="1"/>
    <n v="-2"/>
    <n v="0"/>
    <n v="30"/>
    <n v="0"/>
    <m/>
    <n v="0"/>
    <n v="1"/>
    <n v="1176"/>
    <n v="20"/>
    <x v="3"/>
    <n v="1"/>
    <n v="3"/>
    <n v="85"/>
    <n v="3"/>
    <n v="2"/>
    <n v="3"/>
    <n v="9957"/>
    <n v="9096"/>
    <n v="0"/>
    <n v="15"/>
    <n v="3"/>
    <n v="3"/>
    <n v="80"/>
    <n v="1"/>
    <n v="7"/>
    <n v="2"/>
    <n v="6"/>
    <n v="2"/>
    <n v="0"/>
    <n v="2"/>
  </r>
  <r>
    <x v="1"/>
    <s v="Travel_Rarely"/>
    <x v="0"/>
    <s v="Current Employees"/>
    <x v="1"/>
    <x v="4"/>
    <x v="783"/>
    <n v="1085"/>
    <x v="0"/>
    <x v="1"/>
    <x v="1"/>
    <s v="No"/>
    <s v="Y"/>
    <n v="3"/>
    <n v="-2"/>
    <n v="0"/>
    <n v="41"/>
    <n v="0"/>
    <m/>
    <n v="0"/>
    <n v="1"/>
    <n v="509"/>
    <n v="7"/>
    <x v="0"/>
    <n v="1"/>
    <n v="4"/>
    <n v="43"/>
    <n v="4"/>
    <n v="1"/>
    <n v="4"/>
    <n v="3376"/>
    <n v="18863"/>
    <n v="1"/>
    <n v="13"/>
    <n v="3"/>
    <n v="3"/>
    <n v="80"/>
    <n v="0"/>
    <n v="10"/>
    <n v="3"/>
    <n v="10"/>
    <n v="6"/>
    <n v="0"/>
    <n v="8"/>
  </r>
  <r>
    <x v="1"/>
    <s v="Travel_Rarely"/>
    <x v="0"/>
    <s v="Current Employees"/>
    <x v="1"/>
    <x v="0"/>
    <x v="784"/>
    <n v="1088"/>
    <x v="0"/>
    <x v="4"/>
    <x v="1"/>
    <s v="No"/>
    <s v="Y"/>
    <n v="4"/>
    <n v="-2"/>
    <n v="0"/>
    <n v="38"/>
    <n v="0"/>
    <m/>
    <n v="0"/>
    <n v="1"/>
    <n v="330"/>
    <n v="17"/>
    <x v="1"/>
    <n v="1"/>
    <n v="3"/>
    <n v="65"/>
    <n v="2"/>
    <n v="3"/>
    <n v="1"/>
    <n v="8823"/>
    <n v="24608"/>
    <n v="0"/>
    <n v="18"/>
    <n v="3"/>
    <n v="1"/>
    <n v="80"/>
    <n v="1"/>
    <n v="20"/>
    <n v="2"/>
    <n v="19"/>
    <n v="9"/>
    <n v="1"/>
    <n v="9"/>
  </r>
  <r>
    <x v="1"/>
    <s v="Travel_Rarely"/>
    <x v="0"/>
    <s v="Current Employees"/>
    <x v="1"/>
    <x v="4"/>
    <x v="785"/>
    <n v="1092"/>
    <x v="1"/>
    <x v="4"/>
    <x v="1"/>
    <s v="No"/>
    <s v="Y"/>
    <n v="6"/>
    <n v="-2"/>
    <n v="0"/>
    <n v="40"/>
    <n v="0"/>
    <m/>
    <n v="0"/>
    <n v="1"/>
    <n v="1492"/>
    <n v="20"/>
    <x v="2"/>
    <n v="1"/>
    <n v="4"/>
    <n v="61"/>
    <n v="3"/>
    <n v="3"/>
    <n v="4"/>
    <n v="10322"/>
    <n v="26542"/>
    <n v="4"/>
    <n v="20"/>
    <n v="4"/>
    <n v="4"/>
    <n v="80"/>
    <n v="1"/>
    <n v="14"/>
    <n v="3"/>
    <n v="11"/>
    <n v="10"/>
    <n v="11"/>
    <n v="1"/>
  </r>
  <r>
    <x v="1"/>
    <s v="Non-Travel"/>
    <x v="2"/>
    <s v="Current Employees"/>
    <x v="1"/>
    <x v="0"/>
    <x v="786"/>
    <n v="1094"/>
    <x v="1"/>
    <x v="2"/>
    <x v="1"/>
    <s v="No"/>
    <s v="Y"/>
    <n v="4"/>
    <n v="-2"/>
    <n v="0"/>
    <n v="27"/>
    <n v="0"/>
    <m/>
    <n v="0"/>
    <n v="1"/>
    <n v="1277"/>
    <n v="8"/>
    <x v="4"/>
    <n v="1"/>
    <n v="1"/>
    <n v="87"/>
    <n v="1"/>
    <n v="1"/>
    <n v="1"/>
    <n v="4621"/>
    <n v="5869"/>
    <n v="1"/>
    <n v="19"/>
    <n v="3"/>
    <n v="4"/>
    <n v="80"/>
    <n v="3"/>
    <n v="3"/>
    <n v="3"/>
    <n v="3"/>
    <n v="2"/>
    <n v="1"/>
    <n v="2"/>
  </r>
  <r>
    <x v="1"/>
    <s v="Travel_Frequently"/>
    <x v="3"/>
    <s v="Current Employees"/>
    <x v="1"/>
    <x v="0"/>
    <x v="787"/>
    <n v="1096"/>
    <x v="1"/>
    <x v="3"/>
    <x v="1"/>
    <s v="No"/>
    <s v="Y"/>
    <n v="4"/>
    <n v="-2"/>
    <n v="0"/>
    <n v="55"/>
    <n v="0"/>
    <m/>
    <n v="0"/>
    <n v="1"/>
    <n v="1091"/>
    <n v="2"/>
    <x v="1"/>
    <n v="1"/>
    <n v="4"/>
    <n v="65"/>
    <n v="3"/>
    <n v="3"/>
    <n v="1"/>
    <n v="10976"/>
    <n v="15813"/>
    <n v="3"/>
    <n v="18"/>
    <n v="3"/>
    <n v="2"/>
    <n v="80"/>
    <n v="1"/>
    <n v="23"/>
    <n v="3"/>
    <n v="3"/>
    <n v="2"/>
    <n v="1"/>
    <n v="2"/>
  </r>
  <r>
    <x v="1"/>
    <s v="Travel_Rarely"/>
    <x v="2"/>
    <s v="Current Employees"/>
    <x v="1"/>
    <x v="1"/>
    <x v="788"/>
    <n v="1097"/>
    <x v="0"/>
    <x v="1"/>
    <x v="0"/>
    <s v="No"/>
    <s v="Y"/>
    <n v="4"/>
    <n v="-2"/>
    <n v="0"/>
    <n v="28"/>
    <n v="0"/>
    <m/>
    <n v="0"/>
    <n v="1"/>
    <n v="857"/>
    <n v="10"/>
    <x v="3"/>
    <n v="1"/>
    <n v="3"/>
    <n v="59"/>
    <n v="3"/>
    <n v="2"/>
    <n v="3"/>
    <n v="3660"/>
    <n v="7909"/>
    <n v="3"/>
    <n v="13"/>
    <n v="3"/>
    <n v="4"/>
    <n v="80"/>
    <n v="0"/>
    <n v="10"/>
    <n v="4"/>
    <n v="8"/>
    <n v="7"/>
    <n v="1"/>
    <n v="7"/>
  </r>
  <r>
    <x v="0"/>
    <s v="Travel_Rarely"/>
    <x v="0"/>
    <s v="Ex-Employees"/>
    <x v="2"/>
    <x v="2"/>
    <x v="789"/>
    <n v="1098"/>
    <x v="1"/>
    <x v="8"/>
    <x v="1"/>
    <s v="No"/>
    <s v="Y"/>
    <n v="1"/>
    <n v="-2"/>
    <n v="0"/>
    <n v="44"/>
    <n v="1"/>
    <n v="1"/>
    <n v="1"/>
    <n v="0"/>
    <n v="1376"/>
    <n v="1"/>
    <x v="0"/>
    <n v="1"/>
    <n v="2"/>
    <n v="91"/>
    <n v="2"/>
    <n v="3"/>
    <n v="3"/>
    <n v="10482"/>
    <n v="2326"/>
    <n v="9"/>
    <n v="14"/>
    <n v="3"/>
    <n v="4"/>
    <n v="80"/>
    <n v="1"/>
    <n v="24"/>
    <n v="3"/>
    <n v="20"/>
    <n v="6"/>
    <n v="3"/>
    <n v="6"/>
  </r>
  <r>
    <x v="1"/>
    <s v="Travel_Rarely"/>
    <x v="2"/>
    <s v="Current Employees"/>
    <x v="1"/>
    <x v="0"/>
    <x v="790"/>
    <n v="1099"/>
    <x v="1"/>
    <x v="4"/>
    <x v="2"/>
    <s v="No"/>
    <s v="Y"/>
    <n v="2"/>
    <n v="-2"/>
    <n v="0"/>
    <n v="33"/>
    <n v="0"/>
    <m/>
    <n v="0"/>
    <n v="1"/>
    <n v="654"/>
    <n v="5"/>
    <x v="3"/>
    <n v="1"/>
    <n v="4"/>
    <n v="34"/>
    <n v="2"/>
    <n v="3"/>
    <n v="1"/>
    <n v="7119"/>
    <n v="21214"/>
    <n v="4"/>
    <n v="15"/>
    <n v="3"/>
    <n v="3"/>
    <n v="80"/>
    <n v="1"/>
    <n v="9"/>
    <n v="3"/>
    <n v="3"/>
    <n v="2"/>
    <n v="1"/>
    <n v="2"/>
  </r>
  <r>
    <x v="0"/>
    <s v="Travel_Rarely"/>
    <x v="0"/>
    <s v="Ex-Employees"/>
    <x v="0"/>
    <x v="4"/>
    <x v="791"/>
    <n v="1100"/>
    <x v="1"/>
    <x v="0"/>
    <x v="0"/>
    <s v="Yes"/>
    <s v="Y"/>
    <n v="2"/>
    <n v="-2"/>
    <n v="0"/>
    <n v="35"/>
    <n v="1"/>
    <n v="1"/>
    <n v="1"/>
    <n v="0"/>
    <n v="1204"/>
    <n v="4"/>
    <x v="3"/>
    <n v="1"/>
    <n v="4"/>
    <n v="86"/>
    <n v="3"/>
    <n v="3"/>
    <n v="4"/>
    <n v="9582"/>
    <n v="10333"/>
    <n v="0"/>
    <n v="22"/>
    <n v="4"/>
    <n v="1"/>
    <n v="80"/>
    <n v="0"/>
    <n v="9"/>
    <n v="3"/>
    <n v="8"/>
    <n v="7"/>
    <n v="4"/>
    <n v="7"/>
  </r>
  <r>
    <x v="0"/>
    <s v="Travel_Frequently"/>
    <x v="2"/>
    <s v="Ex-Employees"/>
    <x v="1"/>
    <x v="2"/>
    <x v="792"/>
    <n v="1101"/>
    <x v="0"/>
    <x v="1"/>
    <x v="0"/>
    <s v="No"/>
    <s v="Y"/>
    <n v="4"/>
    <n v="-2"/>
    <n v="0"/>
    <n v="33"/>
    <n v="1"/>
    <n v="1"/>
    <n v="1"/>
    <n v="0"/>
    <n v="827"/>
    <n v="29"/>
    <x v="2"/>
    <n v="1"/>
    <n v="1"/>
    <n v="54"/>
    <n v="2"/>
    <n v="2"/>
    <n v="3"/>
    <n v="4508"/>
    <n v="3129"/>
    <n v="1"/>
    <n v="22"/>
    <n v="4"/>
    <n v="2"/>
    <n v="80"/>
    <n v="0"/>
    <n v="14"/>
    <n v="3"/>
    <n v="13"/>
    <n v="7"/>
    <n v="3"/>
    <n v="8"/>
  </r>
  <r>
    <x v="1"/>
    <s v="Travel_Rarely"/>
    <x v="2"/>
    <s v="Current Employees"/>
    <x v="1"/>
    <x v="0"/>
    <x v="793"/>
    <n v="1102"/>
    <x v="1"/>
    <x v="2"/>
    <x v="2"/>
    <s v="No"/>
    <s v="Y"/>
    <n v="5"/>
    <n v="-2"/>
    <n v="0"/>
    <n v="28"/>
    <n v="0"/>
    <m/>
    <n v="0"/>
    <n v="1"/>
    <n v="895"/>
    <n v="15"/>
    <x v="0"/>
    <n v="1"/>
    <n v="1"/>
    <n v="50"/>
    <n v="3"/>
    <n v="1"/>
    <n v="1"/>
    <n v="2207"/>
    <n v="22482"/>
    <n v="1"/>
    <n v="16"/>
    <n v="3"/>
    <n v="4"/>
    <n v="80"/>
    <n v="1"/>
    <n v="4"/>
    <n v="2"/>
    <n v="4"/>
    <n v="2"/>
    <n v="2"/>
    <n v="2"/>
  </r>
  <r>
    <x v="1"/>
    <s v="Travel_Frequently"/>
    <x v="2"/>
    <s v="Current Employees"/>
    <x v="1"/>
    <x v="0"/>
    <x v="794"/>
    <n v="1103"/>
    <x v="1"/>
    <x v="4"/>
    <x v="0"/>
    <s v="No"/>
    <s v="Y"/>
    <n v="1"/>
    <n v="-2"/>
    <n v="0"/>
    <n v="34"/>
    <n v="0"/>
    <m/>
    <n v="0"/>
    <n v="1"/>
    <n v="618"/>
    <n v="3"/>
    <x v="1"/>
    <n v="1"/>
    <n v="1"/>
    <n v="45"/>
    <n v="3"/>
    <n v="2"/>
    <n v="1"/>
    <n v="7756"/>
    <n v="22266"/>
    <n v="0"/>
    <n v="17"/>
    <n v="3"/>
    <n v="3"/>
    <n v="80"/>
    <n v="0"/>
    <n v="7"/>
    <n v="2"/>
    <n v="6"/>
    <n v="2"/>
    <n v="0"/>
    <n v="4"/>
  </r>
  <r>
    <x v="1"/>
    <s v="Travel_Rarely"/>
    <x v="0"/>
    <s v="Current Employees"/>
    <x v="0"/>
    <x v="0"/>
    <x v="795"/>
    <n v="1105"/>
    <x v="0"/>
    <x v="0"/>
    <x v="2"/>
    <s v="Yes"/>
    <s v="Y"/>
    <n v="5"/>
    <n v="-2"/>
    <n v="0"/>
    <n v="37"/>
    <n v="0"/>
    <m/>
    <n v="0"/>
    <n v="1"/>
    <n v="309"/>
    <n v="10"/>
    <x v="2"/>
    <n v="1"/>
    <n v="4"/>
    <n v="88"/>
    <n v="2"/>
    <n v="2"/>
    <n v="1"/>
    <n v="6694"/>
    <n v="24223"/>
    <n v="2"/>
    <n v="14"/>
    <n v="3"/>
    <n v="3"/>
    <n v="80"/>
    <n v="3"/>
    <n v="8"/>
    <n v="3"/>
    <n v="1"/>
    <n v="0"/>
    <n v="0"/>
    <n v="0"/>
  </r>
  <r>
    <x v="0"/>
    <s v="Travel_Rarely"/>
    <x v="2"/>
    <s v="Ex-Employees"/>
    <x v="1"/>
    <x v="4"/>
    <x v="796"/>
    <n v="1106"/>
    <x v="1"/>
    <x v="2"/>
    <x v="1"/>
    <s v="Yes"/>
    <s v="Y"/>
    <n v="3"/>
    <n v="-2"/>
    <n v="0"/>
    <n v="25"/>
    <n v="1"/>
    <n v="1"/>
    <n v="1"/>
    <n v="0"/>
    <n v="1219"/>
    <n v="4"/>
    <x v="1"/>
    <n v="1"/>
    <n v="4"/>
    <n v="32"/>
    <n v="3"/>
    <n v="1"/>
    <n v="4"/>
    <n v="3691"/>
    <n v="4605"/>
    <n v="1"/>
    <n v="15"/>
    <n v="3"/>
    <n v="2"/>
    <n v="80"/>
    <n v="1"/>
    <n v="7"/>
    <n v="4"/>
    <n v="7"/>
    <n v="7"/>
    <n v="5"/>
    <n v="6"/>
  </r>
  <r>
    <x v="0"/>
    <s v="Travel_Rarely"/>
    <x v="2"/>
    <s v="Ex-Employees"/>
    <x v="1"/>
    <x v="2"/>
    <x v="797"/>
    <n v="1107"/>
    <x v="1"/>
    <x v="2"/>
    <x v="2"/>
    <s v="No"/>
    <s v="Y"/>
    <n v="0"/>
    <n v="-2"/>
    <n v="0"/>
    <n v="26"/>
    <n v="1"/>
    <n v="1"/>
    <n v="1"/>
    <n v="0"/>
    <n v="1330"/>
    <n v="21"/>
    <x v="3"/>
    <n v="1"/>
    <n v="1"/>
    <n v="37"/>
    <n v="3"/>
    <n v="1"/>
    <n v="3"/>
    <n v="2377"/>
    <n v="19373"/>
    <n v="1"/>
    <n v="20"/>
    <n v="4"/>
    <n v="3"/>
    <n v="80"/>
    <n v="1"/>
    <n v="1"/>
    <n v="2"/>
    <n v="1"/>
    <n v="1"/>
    <n v="0"/>
    <n v="0"/>
  </r>
  <r>
    <x v="0"/>
    <s v="Travel_Rarely"/>
    <x v="2"/>
    <s v="Ex-Employees"/>
    <x v="1"/>
    <x v="2"/>
    <x v="798"/>
    <n v="1108"/>
    <x v="1"/>
    <x v="1"/>
    <x v="0"/>
    <s v="Yes"/>
    <s v="Y"/>
    <n v="0"/>
    <n v="-2"/>
    <n v="0"/>
    <n v="33"/>
    <n v="1"/>
    <n v="1"/>
    <n v="1"/>
    <n v="0"/>
    <n v="1017"/>
    <n v="25"/>
    <x v="3"/>
    <n v="1"/>
    <n v="1"/>
    <n v="55"/>
    <n v="2"/>
    <n v="1"/>
    <n v="3"/>
    <n v="2313"/>
    <n v="2993"/>
    <n v="4"/>
    <n v="20"/>
    <n v="4"/>
    <n v="2"/>
    <n v="80"/>
    <n v="0"/>
    <n v="5"/>
    <n v="3"/>
    <n v="2"/>
    <n v="2"/>
    <n v="2"/>
    <n v="2"/>
  </r>
  <r>
    <x v="1"/>
    <s v="Travel_Rarely"/>
    <x v="0"/>
    <s v="Current Employees"/>
    <x v="1"/>
    <x v="2"/>
    <x v="799"/>
    <n v="1109"/>
    <x v="1"/>
    <x v="5"/>
    <x v="1"/>
    <s v="No"/>
    <s v="Y"/>
    <n v="3"/>
    <n v="-2"/>
    <n v="0"/>
    <n v="42"/>
    <n v="0"/>
    <m/>
    <n v="0"/>
    <n v="1"/>
    <n v="469"/>
    <n v="2"/>
    <x v="0"/>
    <n v="1"/>
    <n v="4"/>
    <n v="35"/>
    <n v="3"/>
    <n v="4"/>
    <n v="3"/>
    <n v="17665"/>
    <n v="14399"/>
    <n v="0"/>
    <n v="17"/>
    <n v="3"/>
    <n v="4"/>
    <n v="80"/>
    <n v="1"/>
    <n v="23"/>
    <n v="3"/>
    <n v="22"/>
    <n v="6"/>
    <n v="13"/>
    <n v="7"/>
  </r>
  <r>
    <x v="0"/>
    <s v="Travel_Frequently"/>
    <x v="2"/>
    <s v="Ex-Employees"/>
    <x v="1"/>
    <x v="2"/>
    <x v="800"/>
    <n v="1111"/>
    <x v="1"/>
    <x v="2"/>
    <x v="2"/>
    <s v="No"/>
    <s v="Y"/>
    <n v="2"/>
    <n v="-2"/>
    <n v="0"/>
    <n v="28"/>
    <n v="1"/>
    <n v="1"/>
    <n v="1"/>
    <n v="0"/>
    <n v="1009"/>
    <n v="1"/>
    <x v="3"/>
    <n v="1"/>
    <n v="1"/>
    <n v="45"/>
    <n v="2"/>
    <n v="1"/>
    <n v="3"/>
    <n v="2596"/>
    <n v="7160"/>
    <n v="1"/>
    <n v="15"/>
    <n v="3"/>
    <n v="1"/>
    <n v="80"/>
    <n v="2"/>
    <n v="1"/>
    <n v="3"/>
    <n v="1"/>
    <n v="0"/>
    <n v="0"/>
    <n v="0"/>
  </r>
  <r>
    <x v="0"/>
    <s v="Travel_Frequently"/>
    <x v="1"/>
    <s v="Ex-Employees"/>
    <x v="0"/>
    <x v="1"/>
    <x v="801"/>
    <n v="1113"/>
    <x v="1"/>
    <x v="0"/>
    <x v="0"/>
    <s v="Yes"/>
    <s v="Y"/>
    <n v="4"/>
    <n v="-2"/>
    <n v="0"/>
    <n v="50"/>
    <n v="1"/>
    <n v="1"/>
    <n v="1"/>
    <n v="0"/>
    <n v="959"/>
    <n v="1"/>
    <x v="2"/>
    <n v="1"/>
    <n v="4"/>
    <n v="81"/>
    <n v="3"/>
    <n v="2"/>
    <n v="3"/>
    <n v="4728"/>
    <n v="17251"/>
    <n v="3"/>
    <n v="14"/>
    <n v="3"/>
    <n v="4"/>
    <n v="80"/>
    <n v="0"/>
    <n v="5"/>
    <n v="3"/>
    <n v="0"/>
    <n v="0"/>
    <n v="0"/>
    <n v="0"/>
  </r>
  <r>
    <x v="1"/>
    <s v="Travel_Frequently"/>
    <x v="2"/>
    <s v="Current Employees"/>
    <x v="0"/>
    <x v="0"/>
    <x v="802"/>
    <n v="1114"/>
    <x v="0"/>
    <x v="0"/>
    <x v="1"/>
    <s v="No"/>
    <s v="Y"/>
    <n v="3"/>
    <n v="-2"/>
    <n v="0"/>
    <n v="33"/>
    <n v="0"/>
    <m/>
    <n v="0"/>
    <n v="1"/>
    <n v="970"/>
    <n v="7"/>
    <x v="3"/>
    <n v="1"/>
    <n v="4"/>
    <n v="30"/>
    <n v="3"/>
    <n v="2"/>
    <n v="1"/>
    <n v="4302"/>
    <n v="13401"/>
    <n v="0"/>
    <n v="17"/>
    <n v="3"/>
    <n v="3"/>
    <n v="80"/>
    <n v="1"/>
    <n v="4"/>
    <n v="3"/>
    <n v="3"/>
    <n v="2"/>
    <n v="0"/>
    <n v="2"/>
  </r>
  <r>
    <x v="1"/>
    <s v="Non-Travel"/>
    <x v="2"/>
    <s v="Current Employees"/>
    <x v="1"/>
    <x v="0"/>
    <x v="803"/>
    <n v="1115"/>
    <x v="1"/>
    <x v="1"/>
    <x v="1"/>
    <s v="No"/>
    <s v="Y"/>
    <n v="2"/>
    <n v="-2"/>
    <n v="0"/>
    <n v="34"/>
    <n v="0"/>
    <m/>
    <n v="0"/>
    <n v="1"/>
    <n v="697"/>
    <n v="3"/>
    <x v="2"/>
    <n v="1"/>
    <n v="3"/>
    <n v="40"/>
    <n v="2"/>
    <n v="1"/>
    <n v="1"/>
    <n v="2979"/>
    <n v="22478"/>
    <n v="3"/>
    <n v="17"/>
    <n v="3"/>
    <n v="4"/>
    <n v="80"/>
    <n v="3"/>
    <n v="6"/>
    <n v="3"/>
    <n v="0"/>
    <n v="0"/>
    <n v="0"/>
    <n v="0"/>
  </r>
  <r>
    <x v="1"/>
    <s v="Non-Travel"/>
    <x v="1"/>
    <s v="Current Employees"/>
    <x v="1"/>
    <x v="2"/>
    <x v="804"/>
    <n v="1116"/>
    <x v="1"/>
    <x v="5"/>
    <x v="0"/>
    <s v="No"/>
    <s v="Y"/>
    <n v="3"/>
    <n v="-2"/>
    <n v="0"/>
    <n v="48"/>
    <n v="0"/>
    <m/>
    <n v="0"/>
    <n v="1"/>
    <n v="1262"/>
    <n v="1"/>
    <x v="2"/>
    <n v="1"/>
    <n v="1"/>
    <n v="35"/>
    <n v="4"/>
    <n v="4"/>
    <n v="4"/>
    <n v="16885"/>
    <n v="16154"/>
    <n v="2"/>
    <n v="22"/>
    <n v="4"/>
    <n v="3"/>
    <n v="80"/>
    <n v="0"/>
    <n v="27"/>
    <n v="2"/>
    <n v="5"/>
    <n v="4"/>
    <n v="2"/>
    <n v="1"/>
  </r>
  <r>
    <x v="1"/>
    <s v="Non-Travel"/>
    <x v="1"/>
    <s v="Current Employees"/>
    <x v="0"/>
    <x v="0"/>
    <x v="805"/>
    <n v="1117"/>
    <x v="0"/>
    <x v="0"/>
    <x v="1"/>
    <s v="No"/>
    <s v="Y"/>
    <n v="2"/>
    <n v="-2"/>
    <n v="0"/>
    <n v="45"/>
    <n v="0"/>
    <m/>
    <n v="0"/>
    <n v="1"/>
    <n v="1050"/>
    <n v="9"/>
    <x v="2"/>
    <n v="1"/>
    <n v="2"/>
    <n v="65"/>
    <n v="2"/>
    <n v="2"/>
    <n v="1"/>
    <n v="5593"/>
    <n v="17970"/>
    <n v="1"/>
    <n v="13"/>
    <n v="3"/>
    <n v="4"/>
    <n v="80"/>
    <n v="1"/>
    <n v="15"/>
    <n v="3"/>
    <n v="15"/>
    <n v="10"/>
    <n v="4"/>
    <n v="12"/>
  </r>
  <r>
    <x v="1"/>
    <s v="Travel_Rarely"/>
    <x v="1"/>
    <s v="Current Employees"/>
    <x v="1"/>
    <x v="0"/>
    <x v="806"/>
    <n v="1118"/>
    <x v="1"/>
    <x v="4"/>
    <x v="0"/>
    <s v="No"/>
    <s v="Y"/>
    <n v="4"/>
    <n v="-2"/>
    <n v="0"/>
    <n v="52"/>
    <n v="0"/>
    <m/>
    <n v="0"/>
    <n v="1"/>
    <n v="994"/>
    <n v="7"/>
    <x v="2"/>
    <n v="1"/>
    <n v="2"/>
    <n v="87"/>
    <n v="3"/>
    <n v="3"/>
    <n v="1"/>
    <n v="10445"/>
    <n v="15322"/>
    <n v="7"/>
    <n v="19"/>
    <n v="3"/>
    <n v="4"/>
    <n v="80"/>
    <n v="0"/>
    <n v="18"/>
    <n v="3"/>
    <n v="8"/>
    <n v="6"/>
    <n v="4"/>
    <n v="0"/>
  </r>
  <r>
    <x v="1"/>
    <s v="Travel_Rarely"/>
    <x v="0"/>
    <s v="Current Employees"/>
    <x v="0"/>
    <x v="3"/>
    <x v="807"/>
    <n v="1119"/>
    <x v="1"/>
    <x v="0"/>
    <x v="2"/>
    <s v="Yes"/>
    <s v="Y"/>
    <n v="2"/>
    <n v="-2"/>
    <n v="0"/>
    <n v="38"/>
    <n v="0"/>
    <m/>
    <n v="0"/>
    <n v="1"/>
    <n v="770"/>
    <n v="10"/>
    <x v="2"/>
    <n v="1"/>
    <n v="3"/>
    <n v="73"/>
    <n v="2"/>
    <n v="3"/>
    <n v="2"/>
    <n v="8740"/>
    <n v="5569"/>
    <n v="0"/>
    <n v="14"/>
    <n v="3"/>
    <n v="2"/>
    <n v="80"/>
    <n v="2"/>
    <n v="9"/>
    <n v="3"/>
    <n v="8"/>
    <n v="7"/>
    <n v="2"/>
    <n v="7"/>
  </r>
  <r>
    <x v="1"/>
    <s v="Travel_Rarely"/>
    <x v="2"/>
    <s v="Current Employees"/>
    <x v="1"/>
    <x v="0"/>
    <x v="808"/>
    <n v="1120"/>
    <x v="0"/>
    <x v="1"/>
    <x v="2"/>
    <s v="No"/>
    <s v="Y"/>
    <n v="1"/>
    <n v="-2"/>
    <n v="0"/>
    <n v="29"/>
    <n v="0"/>
    <m/>
    <n v="0"/>
    <n v="1"/>
    <n v="1107"/>
    <n v="28"/>
    <x v="2"/>
    <n v="1"/>
    <n v="3"/>
    <n v="93"/>
    <n v="3"/>
    <n v="1"/>
    <n v="1"/>
    <n v="2514"/>
    <n v="26968"/>
    <n v="4"/>
    <n v="22"/>
    <n v="4"/>
    <n v="1"/>
    <n v="80"/>
    <n v="1"/>
    <n v="11"/>
    <n v="3"/>
    <n v="7"/>
    <n v="5"/>
    <n v="1"/>
    <n v="7"/>
  </r>
  <r>
    <x v="1"/>
    <s v="Travel_Rarely"/>
    <x v="2"/>
    <s v="Current Employees"/>
    <x v="1"/>
    <x v="2"/>
    <x v="809"/>
    <n v="1121"/>
    <x v="0"/>
    <x v="3"/>
    <x v="2"/>
    <s v="No"/>
    <s v="Y"/>
    <n v="3"/>
    <n v="-2"/>
    <n v="0"/>
    <n v="28"/>
    <n v="0"/>
    <m/>
    <n v="0"/>
    <n v="1"/>
    <n v="950"/>
    <n v="3"/>
    <x v="3"/>
    <n v="1"/>
    <n v="4"/>
    <n v="93"/>
    <n v="3"/>
    <n v="3"/>
    <n v="3"/>
    <n v="7655"/>
    <n v="8039"/>
    <n v="0"/>
    <n v="17"/>
    <n v="3"/>
    <n v="2"/>
    <n v="80"/>
    <n v="3"/>
    <n v="10"/>
    <n v="2"/>
    <n v="9"/>
    <n v="7"/>
    <n v="1"/>
    <n v="7"/>
  </r>
  <r>
    <x v="1"/>
    <s v="Travel_Rarely"/>
    <x v="1"/>
    <s v="Current Employees"/>
    <x v="0"/>
    <x v="3"/>
    <x v="810"/>
    <n v="1124"/>
    <x v="1"/>
    <x v="5"/>
    <x v="1"/>
    <s v="No"/>
    <s v="Y"/>
    <n v="3"/>
    <n v="-2"/>
    <n v="0"/>
    <n v="46"/>
    <n v="0"/>
    <m/>
    <n v="0"/>
    <n v="1"/>
    <n v="406"/>
    <n v="3"/>
    <x v="1"/>
    <n v="1"/>
    <n v="1"/>
    <n v="52"/>
    <n v="3"/>
    <n v="4"/>
    <n v="2"/>
    <n v="17465"/>
    <n v="15596"/>
    <n v="3"/>
    <n v="12"/>
    <n v="3"/>
    <n v="4"/>
    <n v="80"/>
    <n v="1"/>
    <n v="23"/>
    <n v="3"/>
    <n v="12"/>
    <n v="9"/>
    <n v="4"/>
    <n v="9"/>
  </r>
  <r>
    <x v="1"/>
    <s v="Travel_Rarely"/>
    <x v="0"/>
    <s v="Current Employees"/>
    <x v="0"/>
    <x v="3"/>
    <x v="811"/>
    <n v="1125"/>
    <x v="1"/>
    <x v="0"/>
    <x v="0"/>
    <s v="No"/>
    <s v="Y"/>
    <n v="2"/>
    <n v="-2"/>
    <n v="0"/>
    <n v="38"/>
    <n v="0"/>
    <m/>
    <n v="0"/>
    <n v="1"/>
    <n v="130"/>
    <n v="2"/>
    <x v="0"/>
    <n v="1"/>
    <n v="4"/>
    <n v="32"/>
    <n v="3"/>
    <n v="3"/>
    <n v="2"/>
    <n v="7351"/>
    <n v="20619"/>
    <n v="7"/>
    <n v="16"/>
    <n v="3"/>
    <n v="3"/>
    <n v="80"/>
    <n v="0"/>
    <n v="10"/>
    <n v="3"/>
    <n v="1"/>
    <n v="0"/>
    <n v="0"/>
    <n v="0"/>
  </r>
  <r>
    <x v="1"/>
    <s v="Travel_Frequently"/>
    <x v="0"/>
    <s v="Current Employees"/>
    <x v="1"/>
    <x v="0"/>
    <x v="812"/>
    <n v="1126"/>
    <x v="0"/>
    <x v="3"/>
    <x v="1"/>
    <s v="No"/>
    <s v="Y"/>
    <n v="1"/>
    <n v="-2"/>
    <n v="0"/>
    <n v="43"/>
    <n v="0"/>
    <m/>
    <n v="0"/>
    <n v="1"/>
    <n v="1082"/>
    <n v="27"/>
    <x v="3"/>
    <n v="1"/>
    <n v="3"/>
    <n v="83"/>
    <n v="3"/>
    <n v="3"/>
    <n v="1"/>
    <n v="10820"/>
    <n v="11535"/>
    <n v="8"/>
    <n v="11"/>
    <n v="3"/>
    <n v="3"/>
    <n v="80"/>
    <n v="1"/>
    <n v="18"/>
    <n v="3"/>
    <n v="8"/>
    <n v="7"/>
    <n v="0"/>
    <n v="1"/>
  </r>
  <r>
    <x v="0"/>
    <s v="Travel_Frequently"/>
    <x v="0"/>
    <s v="Ex-Employees"/>
    <x v="1"/>
    <x v="0"/>
    <x v="813"/>
    <n v="1127"/>
    <x v="1"/>
    <x v="4"/>
    <x v="2"/>
    <s v="No"/>
    <s v="Y"/>
    <n v="4"/>
    <n v="-2"/>
    <n v="0"/>
    <n v="39"/>
    <n v="1"/>
    <n v="1"/>
    <n v="1"/>
    <n v="0"/>
    <n v="203"/>
    <n v="2"/>
    <x v="3"/>
    <n v="1"/>
    <n v="1"/>
    <n v="84"/>
    <n v="3"/>
    <n v="4"/>
    <n v="1"/>
    <n v="12169"/>
    <n v="13547"/>
    <n v="7"/>
    <n v="11"/>
    <n v="3"/>
    <n v="4"/>
    <n v="80"/>
    <n v="3"/>
    <n v="21"/>
    <n v="3"/>
    <n v="18"/>
    <n v="7"/>
    <n v="11"/>
    <n v="5"/>
  </r>
  <r>
    <x v="1"/>
    <s v="Travel_Rarely"/>
    <x v="0"/>
    <s v="Current Employees"/>
    <x v="1"/>
    <x v="2"/>
    <x v="814"/>
    <n v="1128"/>
    <x v="1"/>
    <x v="7"/>
    <x v="0"/>
    <s v="No"/>
    <s v="Y"/>
    <n v="2"/>
    <n v="-2"/>
    <n v="0"/>
    <n v="40"/>
    <n v="0"/>
    <m/>
    <n v="0"/>
    <n v="1"/>
    <n v="1308"/>
    <n v="14"/>
    <x v="3"/>
    <n v="1"/>
    <n v="3"/>
    <n v="44"/>
    <n v="2"/>
    <n v="5"/>
    <n v="3"/>
    <n v="19626"/>
    <n v="17544"/>
    <n v="1"/>
    <n v="14"/>
    <n v="3"/>
    <n v="1"/>
    <n v="80"/>
    <n v="0"/>
    <n v="21"/>
    <n v="4"/>
    <n v="20"/>
    <n v="7"/>
    <n v="4"/>
    <n v="9"/>
  </r>
  <r>
    <x v="1"/>
    <s v="Travel_Rarely"/>
    <x v="4"/>
    <s v="Current Employees"/>
    <x v="1"/>
    <x v="4"/>
    <x v="815"/>
    <n v="1131"/>
    <x v="0"/>
    <x v="1"/>
    <x v="0"/>
    <s v="Yes"/>
    <s v="Y"/>
    <n v="6"/>
    <n v="-2"/>
    <n v="0"/>
    <n v="21"/>
    <n v="0"/>
    <m/>
    <n v="0"/>
    <n v="1"/>
    <n v="984"/>
    <n v="1"/>
    <x v="1"/>
    <n v="1"/>
    <n v="4"/>
    <n v="70"/>
    <n v="2"/>
    <n v="1"/>
    <n v="4"/>
    <n v="2070"/>
    <n v="25326"/>
    <n v="1"/>
    <n v="11"/>
    <n v="3"/>
    <n v="3"/>
    <n v="80"/>
    <n v="0"/>
    <n v="2"/>
    <n v="4"/>
    <n v="2"/>
    <n v="2"/>
    <n v="2"/>
    <n v="2"/>
  </r>
  <r>
    <x v="1"/>
    <s v="Non-Travel"/>
    <x v="0"/>
    <s v="Current Employees"/>
    <x v="1"/>
    <x v="0"/>
    <x v="816"/>
    <n v="1132"/>
    <x v="1"/>
    <x v="2"/>
    <x v="0"/>
    <s v="No"/>
    <s v="Y"/>
    <n v="2"/>
    <n v="-2"/>
    <n v="0"/>
    <n v="39"/>
    <n v="0"/>
    <m/>
    <n v="0"/>
    <n v="1"/>
    <n v="439"/>
    <n v="9"/>
    <x v="3"/>
    <n v="1"/>
    <n v="3"/>
    <n v="70"/>
    <n v="3"/>
    <n v="2"/>
    <n v="1"/>
    <n v="6782"/>
    <n v="8770"/>
    <n v="9"/>
    <n v="15"/>
    <n v="3"/>
    <n v="3"/>
    <n v="80"/>
    <n v="0"/>
    <n v="9"/>
    <n v="2"/>
    <n v="5"/>
    <n v="4"/>
    <n v="0"/>
    <n v="3"/>
  </r>
  <r>
    <x v="1"/>
    <s v="Non-Travel"/>
    <x v="0"/>
    <s v="Current Employees"/>
    <x v="1"/>
    <x v="0"/>
    <x v="817"/>
    <n v="1133"/>
    <x v="1"/>
    <x v="3"/>
    <x v="0"/>
    <s v="No"/>
    <s v="Y"/>
    <n v="0"/>
    <n v="-2"/>
    <n v="0"/>
    <n v="36"/>
    <n v="0"/>
    <m/>
    <n v="0"/>
    <n v="1"/>
    <n v="217"/>
    <n v="18"/>
    <x v="2"/>
    <n v="1"/>
    <n v="1"/>
    <n v="78"/>
    <n v="3"/>
    <n v="2"/>
    <n v="1"/>
    <n v="7779"/>
    <n v="23238"/>
    <n v="2"/>
    <n v="20"/>
    <n v="4"/>
    <n v="1"/>
    <n v="80"/>
    <n v="0"/>
    <n v="18"/>
    <n v="3"/>
    <n v="11"/>
    <n v="9"/>
    <n v="0"/>
    <n v="9"/>
  </r>
  <r>
    <x v="1"/>
    <s v="Travel_Frequently"/>
    <x v="2"/>
    <s v="Current Employees"/>
    <x v="0"/>
    <x v="0"/>
    <x v="818"/>
    <n v="1135"/>
    <x v="1"/>
    <x v="6"/>
    <x v="1"/>
    <s v="No"/>
    <s v="Y"/>
    <n v="4"/>
    <n v="-2"/>
    <n v="0"/>
    <n v="31"/>
    <n v="0"/>
    <m/>
    <n v="0"/>
    <n v="1"/>
    <n v="793"/>
    <n v="20"/>
    <x v="3"/>
    <n v="1"/>
    <n v="3"/>
    <n v="67"/>
    <n v="4"/>
    <n v="1"/>
    <n v="1"/>
    <n v="2791"/>
    <n v="21981"/>
    <n v="0"/>
    <n v="12"/>
    <n v="3"/>
    <n v="1"/>
    <n v="80"/>
    <n v="1"/>
    <n v="3"/>
    <n v="3"/>
    <n v="2"/>
    <n v="2"/>
    <n v="2"/>
    <n v="2"/>
  </r>
  <r>
    <x v="1"/>
    <s v="Travel_Rarely"/>
    <x v="2"/>
    <s v="Current Employees"/>
    <x v="1"/>
    <x v="0"/>
    <x v="819"/>
    <n v="1136"/>
    <x v="1"/>
    <x v="1"/>
    <x v="1"/>
    <s v="No"/>
    <s v="Y"/>
    <n v="2"/>
    <n v="-2"/>
    <n v="0"/>
    <n v="28"/>
    <n v="0"/>
    <m/>
    <n v="0"/>
    <n v="1"/>
    <n v="1451"/>
    <n v="2"/>
    <x v="1"/>
    <n v="1"/>
    <n v="1"/>
    <n v="67"/>
    <n v="2"/>
    <n v="1"/>
    <n v="1"/>
    <n v="3201"/>
    <n v="19911"/>
    <n v="0"/>
    <n v="17"/>
    <n v="3"/>
    <n v="1"/>
    <n v="80"/>
    <n v="0"/>
    <n v="6"/>
    <n v="1"/>
    <n v="5"/>
    <n v="3"/>
    <n v="0"/>
    <n v="4"/>
  </r>
  <r>
    <x v="1"/>
    <s v="Travel_Frequently"/>
    <x v="0"/>
    <s v="Current Employees"/>
    <x v="0"/>
    <x v="3"/>
    <x v="820"/>
    <n v="1137"/>
    <x v="1"/>
    <x v="0"/>
    <x v="2"/>
    <s v="No"/>
    <s v="Y"/>
    <n v="3"/>
    <n v="-2"/>
    <n v="0"/>
    <n v="35"/>
    <n v="0"/>
    <m/>
    <n v="0"/>
    <n v="1"/>
    <n v="1182"/>
    <n v="11"/>
    <x v="0"/>
    <n v="1"/>
    <n v="4"/>
    <n v="54"/>
    <n v="3"/>
    <n v="2"/>
    <n v="2"/>
    <n v="4968"/>
    <n v="18500"/>
    <n v="1"/>
    <n v="11"/>
    <n v="3"/>
    <n v="4"/>
    <n v="80"/>
    <n v="1"/>
    <n v="5"/>
    <n v="3"/>
    <n v="5"/>
    <n v="2"/>
    <n v="0"/>
    <n v="2"/>
  </r>
  <r>
    <x v="1"/>
    <s v="Travel_Rarely"/>
    <x v="1"/>
    <s v="Current Employees"/>
    <x v="0"/>
    <x v="4"/>
    <x v="821"/>
    <n v="1138"/>
    <x v="1"/>
    <x v="0"/>
    <x v="1"/>
    <s v="No"/>
    <s v="Y"/>
    <n v="3"/>
    <n v="-2"/>
    <n v="0"/>
    <n v="49"/>
    <n v="0"/>
    <m/>
    <n v="0"/>
    <n v="1"/>
    <n v="174"/>
    <n v="8"/>
    <x v="2"/>
    <n v="1"/>
    <n v="4"/>
    <n v="56"/>
    <n v="2"/>
    <n v="4"/>
    <n v="4"/>
    <n v="13120"/>
    <n v="11879"/>
    <n v="6"/>
    <n v="17"/>
    <n v="3"/>
    <n v="2"/>
    <n v="80"/>
    <n v="1"/>
    <n v="22"/>
    <n v="3"/>
    <n v="9"/>
    <n v="8"/>
    <n v="2"/>
    <n v="3"/>
  </r>
  <r>
    <x v="1"/>
    <s v="Travel_Frequently"/>
    <x v="2"/>
    <s v="Current Employees"/>
    <x v="1"/>
    <x v="0"/>
    <x v="822"/>
    <n v="1140"/>
    <x v="1"/>
    <x v="3"/>
    <x v="0"/>
    <s v="No"/>
    <s v="Y"/>
    <n v="3"/>
    <n v="-2"/>
    <n v="0"/>
    <n v="34"/>
    <n v="0"/>
    <m/>
    <n v="0"/>
    <n v="1"/>
    <n v="1003"/>
    <n v="2"/>
    <x v="0"/>
    <n v="1"/>
    <n v="4"/>
    <n v="95"/>
    <n v="3"/>
    <n v="2"/>
    <n v="1"/>
    <n v="4033"/>
    <n v="15834"/>
    <n v="2"/>
    <n v="11"/>
    <n v="3"/>
    <n v="4"/>
    <n v="80"/>
    <n v="0"/>
    <n v="5"/>
    <n v="2"/>
    <n v="3"/>
    <n v="2"/>
    <n v="0"/>
    <n v="2"/>
  </r>
  <r>
    <x v="1"/>
    <s v="Travel_Frequently"/>
    <x v="2"/>
    <s v="Current Employees"/>
    <x v="1"/>
    <x v="0"/>
    <x v="823"/>
    <n v="1143"/>
    <x v="0"/>
    <x v="1"/>
    <x v="2"/>
    <s v="No"/>
    <s v="Y"/>
    <n v="2"/>
    <n v="-2"/>
    <n v="0"/>
    <n v="29"/>
    <n v="0"/>
    <m/>
    <n v="0"/>
    <n v="1"/>
    <n v="490"/>
    <n v="10"/>
    <x v="3"/>
    <n v="1"/>
    <n v="4"/>
    <n v="61"/>
    <n v="3"/>
    <n v="1"/>
    <n v="1"/>
    <n v="3291"/>
    <n v="17940"/>
    <n v="0"/>
    <n v="14"/>
    <n v="3"/>
    <n v="4"/>
    <n v="80"/>
    <n v="2"/>
    <n v="8"/>
    <n v="2"/>
    <n v="7"/>
    <n v="5"/>
    <n v="1"/>
    <n v="1"/>
  </r>
  <r>
    <x v="1"/>
    <s v="Travel_Rarely"/>
    <x v="0"/>
    <s v="Current Employees"/>
    <x v="1"/>
    <x v="2"/>
    <x v="824"/>
    <n v="1148"/>
    <x v="1"/>
    <x v="2"/>
    <x v="0"/>
    <s v="No"/>
    <s v="Y"/>
    <n v="3"/>
    <n v="-2"/>
    <n v="0"/>
    <n v="42"/>
    <n v="0"/>
    <m/>
    <n v="0"/>
    <n v="1"/>
    <n v="188"/>
    <n v="29"/>
    <x v="3"/>
    <n v="1"/>
    <n v="2"/>
    <n v="56"/>
    <n v="1"/>
    <n v="2"/>
    <n v="4"/>
    <n v="4272"/>
    <n v="9558"/>
    <n v="4"/>
    <n v="19"/>
    <n v="3"/>
    <n v="1"/>
    <n v="80"/>
    <n v="0"/>
    <n v="16"/>
    <n v="3"/>
    <n v="1"/>
    <n v="0"/>
    <n v="0"/>
    <n v="0"/>
  </r>
  <r>
    <x v="1"/>
    <s v="Travel_Rarely"/>
    <x v="2"/>
    <s v="Current Employees"/>
    <x v="1"/>
    <x v="2"/>
    <x v="825"/>
    <n v="1150"/>
    <x v="1"/>
    <x v="3"/>
    <x v="1"/>
    <s v="Yes"/>
    <s v="Y"/>
    <n v="2"/>
    <n v="-2"/>
    <n v="0"/>
    <n v="29"/>
    <n v="0"/>
    <m/>
    <n v="0"/>
    <n v="1"/>
    <n v="718"/>
    <n v="8"/>
    <x v="1"/>
    <n v="1"/>
    <n v="2"/>
    <n v="79"/>
    <n v="2"/>
    <n v="2"/>
    <n v="4"/>
    <n v="5056"/>
    <n v="17689"/>
    <n v="1"/>
    <n v="15"/>
    <n v="3"/>
    <n v="3"/>
    <n v="80"/>
    <n v="1"/>
    <n v="10"/>
    <n v="2"/>
    <n v="10"/>
    <n v="7"/>
    <n v="1"/>
    <n v="2"/>
  </r>
  <r>
    <x v="1"/>
    <s v="Travel_Rarely"/>
    <x v="0"/>
    <s v="Current Employees"/>
    <x v="2"/>
    <x v="5"/>
    <x v="826"/>
    <n v="1152"/>
    <x v="1"/>
    <x v="8"/>
    <x v="1"/>
    <s v="No"/>
    <s v="Y"/>
    <n v="2"/>
    <n v="-2"/>
    <n v="0"/>
    <n v="38"/>
    <n v="0"/>
    <m/>
    <n v="0"/>
    <n v="1"/>
    <n v="433"/>
    <n v="1"/>
    <x v="3"/>
    <n v="1"/>
    <n v="3"/>
    <n v="37"/>
    <n v="4"/>
    <n v="1"/>
    <n v="3"/>
    <n v="2844"/>
    <n v="6004"/>
    <n v="1"/>
    <n v="13"/>
    <n v="3"/>
    <n v="4"/>
    <n v="80"/>
    <n v="1"/>
    <n v="7"/>
    <n v="4"/>
    <n v="7"/>
    <n v="6"/>
    <n v="5"/>
    <n v="0"/>
  </r>
  <r>
    <x v="1"/>
    <s v="Travel_Frequently"/>
    <x v="2"/>
    <s v="Current Employees"/>
    <x v="1"/>
    <x v="0"/>
    <x v="827"/>
    <n v="1154"/>
    <x v="1"/>
    <x v="1"/>
    <x v="2"/>
    <s v="Yes"/>
    <s v="Y"/>
    <n v="2"/>
    <n v="-2"/>
    <n v="0"/>
    <n v="28"/>
    <n v="0"/>
    <m/>
    <n v="0"/>
    <n v="1"/>
    <n v="773"/>
    <n v="6"/>
    <x v="3"/>
    <n v="1"/>
    <n v="3"/>
    <n v="39"/>
    <n v="2"/>
    <n v="1"/>
    <n v="1"/>
    <n v="2703"/>
    <n v="22088"/>
    <n v="1"/>
    <n v="14"/>
    <n v="3"/>
    <n v="4"/>
    <n v="80"/>
    <n v="1"/>
    <n v="3"/>
    <n v="3"/>
    <n v="3"/>
    <n v="1"/>
    <n v="0"/>
    <n v="2"/>
  </r>
  <r>
    <x v="0"/>
    <s v="Non-Travel"/>
    <x v="4"/>
    <s v="Ex-Employees"/>
    <x v="1"/>
    <x v="2"/>
    <x v="828"/>
    <n v="1156"/>
    <x v="1"/>
    <x v="2"/>
    <x v="0"/>
    <s v="No"/>
    <s v="Y"/>
    <n v="0"/>
    <n v="-2"/>
    <n v="0"/>
    <n v="18"/>
    <n v="1"/>
    <n v="1"/>
    <n v="1"/>
    <n v="0"/>
    <n v="247"/>
    <n v="8"/>
    <x v="1"/>
    <n v="1"/>
    <n v="3"/>
    <n v="80"/>
    <n v="3"/>
    <n v="1"/>
    <n v="3"/>
    <n v="1904"/>
    <n v="13556"/>
    <n v="1"/>
    <n v="12"/>
    <n v="3"/>
    <n v="4"/>
    <n v="80"/>
    <n v="0"/>
    <n v="0"/>
    <n v="3"/>
    <n v="0"/>
    <n v="0"/>
    <n v="0"/>
    <n v="0"/>
  </r>
  <r>
    <x v="0"/>
    <s v="Travel_Rarely"/>
    <x v="2"/>
    <s v="Ex-Employees"/>
    <x v="0"/>
    <x v="3"/>
    <x v="829"/>
    <n v="1157"/>
    <x v="0"/>
    <x v="0"/>
    <x v="0"/>
    <s v="Yes"/>
    <s v="Y"/>
    <n v="3"/>
    <n v="-2"/>
    <n v="0"/>
    <n v="33"/>
    <n v="1"/>
    <n v="1"/>
    <n v="1"/>
    <n v="0"/>
    <n v="603"/>
    <n v="9"/>
    <x v="2"/>
    <n v="1"/>
    <n v="1"/>
    <n v="77"/>
    <n v="3"/>
    <n v="2"/>
    <n v="2"/>
    <n v="8224"/>
    <n v="18385"/>
    <n v="0"/>
    <n v="17"/>
    <n v="3"/>
    <n v="1"/>
    <n v="80"/>
    <n v="0"/>
    <n v="6"/>
    <n v="3"/>
    <n v="5"/>
    <n v="2"/>
    <n v="0"/>
    <n v="3"/>
  </r>
  <r>
    <x v="1"/>
    <s v="Travel_Rarely"/>
    <x v="0"/>
    <s v="Current Employees"/>
    <x v="1"/>
    <x v="0"/>
    <x v="830"/>
    <n v="1158"/>
    <x v="1"/>
    <x v="2"/>
    <x v="1"/>
    <s v="Yes"/>
    <s v="Y"/>
    <n v="4"/>
    <n v="-2"/>
    <n v="0"/>
    <n v="41"/>
    <n v="0"/>
    <m/>
    <n v="0"/>
    <n v="1"/>
    <n v="167"/>
    <n v="12"/>
    <x v="2"/>
    <n v="1"/>
    <n v="2"/>
    <n v="46"/>
    <n v="3"/>
    <n v="1"/>
    <n v="1"/>
    <n v="4766"/>
    <n v="9051"/>
    <n v="3"/>
    <n v="11"/>
    <n v="3"/>
    <n v="1"/>
    <n v="80"/>
    <n v="1"/>
    <n v="6"/>
    <n v="3"/>
    <n v="1"/>
    <n v="0"/>
    <n v="0"/>
    <n v="0"/>
  </r>
  <r>
    <x v="0"/>
    <s v="Travel_Frequently"/>
    <x v="2"/>
    <s v="Ex-Employees"/>
    <x v="1"/>
    <x v="2"/>
    <x v="831"/>
    <n v="1160"/>
    <x v="1"/>
    <x v="2"/>
    <x v="1"/>
    <s v="No"/>
    <s v="Y"/>
    <n v="5"/>
    <n v="-2"/>
    <n v="0"/>
    <n v="31"/>
    <n v="1"/>
    <n v="1"/>
    <n v="1"/>
    <n v="0"/>
    <n v="874"/>
    <n v="15"/>
    <x v="3"/>
    <n v="1"/>
    <n v="3"/>
    <n v="72"/>
    <n v="3"/>
    <n v="1"/>
    <n v="3"/>
    <n v="2610"/>
    <n v="6233"/>
    <n v="1"/>
    <n v="12"/>
    <n v="3"/>
    <n v="3"/>
    <n v="80"/>
    <n v="1"/>
    <n v="2"/>
    <n v="2"/>
    <n v="2"/>
    <n v="2"/>
    <n v="2"/>
    <n v="2"/>
  </r>
  <r>
    <x v="1"/>
    <s v="Travel_Rarely"/>
    <x v="0"/>
    <s v="Current Employees"/>
    <x v="1"/>
    <x v="2"/>
    <x v="832"/>
    <n v="1161"/>
    <x v="0"/>
    <x v="4"/>
    <x v="2"/>
    <s v="No"/>
    <s v="Y"/>
    <n v="2"/>
    <n v="-2"/>
    <n v="0"/>
    <n v="37"/>
    <n v="0"/>
    <m/>
    <n v="0"/>
    <n v="1"/>
    <n v="367"/>
    <n v="25"/>
    <x v="0"/>
    <n v="1"/>
    <n v="3"/>
    <n v="52"/>
    <n v="2"/>
    <n v="2"/>
    <n v="4"/>
    <n v="5731"/>
    <n v="17171"/>
    <n v="7"/>
    <n v="13"/>
    <n v="3"/>
    <n v="3"/>
    <n v="80"/>
    <n v="2"/>
    <n v="9"/>
    <n v="3"/>
    <n v="6"/>
    <n v="2"/>
    <n v="1"/>
    <n v="3"/>
  </r>
  <r>
    <x v="1"/>
    <s v="Travel_Rarely"/>
    <x v="2"/>
    <s v="Current Employees"/>
    <x v="1"/>
    <x v="0"/>
    <x v="833"/>
    <n v="1162"/>
    <x v="1"/>
    <x v="1"/>
    <x v="1"/>
    <s v="No"/>
    <s v="Y"/>
    <n v="0"/>
    <n v="-2"/>
    <n v="0"/>
    <n v="27"/>
    <n v="0"/>
    <m/>
    <n v="0"/>
    <n v="1"/>
    <n v="199"/>
    <n v="6"/>
    <x v="3"/>
    <n v="1"/>
    <n v="4"/>
    <n v="55"/>
    <n v="2"/>
    <n v="1"/>
    <n v="1"/>
    <n v="2539"/>
    <n v="7950"/>
    <n v="1"/>
    <n v="13"/>
    <n v="3"/>
    <n v="3"/>
    <n v="80"/>
    <n v="1"/>
    <n v="4"/>
    <n v="3"/>
    <n v="4"/>
    <n v="2"/>
    <n v="2"/>
    <n v="2"/>
  </r>
  <r>
    <x v="1"/>
    <s v="Travel_Rarely"/>
    <x v="2"/>
    <s v="Current Employees"/>
    <x v="0"/>
    <x v="0"/>
    <x v="834"/>
    <n v="1163"/>
    <x v="0"/>
    <x v="0"/>
    <x v="1"/>
    <s v="No"/>
    <s v="Y"/>
    <n v="3"/>
    <n v="-2"/>
    <n v="0"/>
    <n v="34"/>
    <n v="0"/>
    <m/>
    <n v="0"/>
    <n v="1"/>
    <n v="1400"/>
    <n v="9"/>
    <x v="1"/>
    <n v="1"/>
    <n v="2"/>
    <n v="70"/>
    <n v="3"/>
    <n v="2"/>
    <n v="1"/>
    <n v="5714"/>
    <n v="5829"/>
    <n v="1"/>
    <n v="20"/>
    <n v="4"/>
    <n v="1"/>
    <n v="80"/>
    <n v="0"/>
    <n v="6"/>
    <n v="2"/>
    <n v="6"/>
    <n v="5"/>
    <n v="1"/>
    <n v="3"/>
  </r>
  <r>
    <x v="1"/>
    <s v="Travel_Rarely"/>
    <x v="0"/>
    <s v="Current Employees"/>
    <x v="2"/>
    <x v="4"/>
    <x v="835"/>
    <n v="1164"/>
    <x v="1"/>
    <x v="8"/>
    <x v="0"/>
    <s v="No"/>
    <s v="Y"/>
    <n v="2"/>
    <n v="-2"/>
    <n v="0"/>
    <n v="35"/>
    <n v="0"/>
    <m/>
    <n v="0"/>
    <n v="1"/>
    <n v="528"/>
    <n v="8"/>
    <x v="2"/>
    <n v="1"/>
    <n v="4"/>
    <n v="100"/>
    <n v="3"/>
    <n v="1"/>
    <n v="4"/>
    <n v="4323"/>
    <n v="7108"/>
    <n v="1"/>
    <n v="17"/>
    <n v="3"/>
    <n v="2"/>
    <n v="80"/>
    <n v="0"/>
    <n v="6"/>
    <n v="1"/>
    <n v="5"/>
    <n v="4"/>
    <n v="1"/>
    <n v="4"/>
  </r>
  <r>
    <x v="0"/>
    <s v="Travel_Rarely"/>
    <x v="2"/>
    <s v="Ex-Employees"/>
    <x v="0"/>
    <x v="0"/>
    <x v="836"/>
    <n v="1165"/>
    <x v="0"/>
    <x v="0"/>
    <x v="1"/>
    <s v="No"/>
    <s v="Y"/>
    <n v="3"/>
    <n v="-2"/>
    <n v="0"/>
    <n v="29"/>
    <n v="1"/>
    <n v="1"/>
    <n v="1"/>
    <n v="0"/>
    <n v="408"/>
    <n v="23"/>
    <x v="1"/>
    <n v="1"/>
    <n v="4"/>
    <n v="45"/>
    <n v="2"/>
    <n v="3"/>
    <n v="1"/>
    <n v="7336"/>
    <n v="11162"/>
    <n v="1"/>
    <n v="13"/>
    <n v="3"/>
    <n v="1"/>
    <n v="80"/>
    <n v="1"/>
    <n v="11"/>
    <n v="1"/>
    <n v="11"/>
    <n v="8"/>
    <n v="3"/>
    <n v="10"/>
  </r>
  <r>
    <x v="1"/>
    <s v="Travel_Frequently"/>
    <x v="0"/>
    <s v="Current Employees"/>
    <x v="1"/>
    <x v="2"/>
    <x v="837"/>
    <n v="1166"/>
    <x v="0"/>
    <x v="7"/>
    <x v="0"/>
    <s v="No"/>
    <s v="Y"/>
    <n v="3"/>
    <n v="-2"/>
    <n v="0"/>
    <n v="40"/>
    <n v="0"/>
    <m/>
    <n v="0"/>
    <n v="1"/>
    <n v="593"/>
    <n v="9"/>
    <x v="2"/>
    <n v="1"/>
    <n v="2"/>
    <n v="88"/>
    <n v="3"/>
    <n v="3"/>
    <n v="3"/>
    <n v="13499"/>
    <n v="13782"/>
    <n v="9"/>
    <n v="17"/>
    <n v="3"/>
    <n v="3"/>
    <n v="80"/>
    <n v="0"/>
    <n v="20"/>
    <n v="2"/>
    <n v="18"/>
    <n v="7"/>
    <n v="2"/>
    <n v="13"/>
  </r>
  <r>
    <x v="0"/>
    <s v="Travel_Frequently"/>
    <x v="0"/>
    <s v="Ex-Employees"/>
    <x v="0"/>
    <x v="0"/>
    <x v="838"/>
    <n v="1167"/>
    <x v="1"/>
    <x v="0"/>
    <x v="0"/>
    <s v="Yes"/>
    <s v="Y"/>
    <n v="2"/>
    <n v="-2"/>
    <n v="0"/>
    <n v="42"/>
    <n v="1"/>
    <n v="1"/>
    <n v="1"/>
    <n v="0"/>
    <n v="481"/>
    <n v="12"/>
    <x v="3"/>
    <n v="1"/>
    <n v="3"/>
    <n v="44"/>
    <n v="3"/>
    <n v="4"/>
    <n v="1"/>
    <n v="13758"/>
    <n v="2447"/>
    <n v="0"/>
    <n v="12"/>
    <n v="3"/>
    <n v="2"/>
    <n v="80"/>
    <n v="0"/>
    <n v="22"/>
    <n v="2"/>
    <n v="21"/>
    <n v="9"/>
    <n v="13"/>
    <n v="14"/>
  </r>
  <r>
    <x v="1"/>
    <s v="Travel_Rarely"/>
    <x v="0"/>
    <s v="Current Employees"/>
    <x v="0"/>
    <x v="3"/>
    <x v="839"/>
    <n v="1171"/>
    <x v="1"/>
    <x v="0"/>
    <x v="0"/>
    <s v="No"/>
    <s v="Y"/>
    <n v="3"/>
    <n v="-2"/>
    <n v="0"/>
    <n v="42"/>
    <n v="0"/>
    <m/>
    <n v="0"/>
    <n v="1"/>
    <n v="647"/>
    <n v="4"/>
    <x v="2"/>
    <n v="1"/>
    <n v="2"/>
    <n v="45"/>
    <n v="3"/>
    <n v="2"/>
    <n v="2"/>
    <n v="5155"/>
    <n v="2253"/>
    <n v="7"/>
    <n v="13"/>
    <n v="3"/>
    <n v="4"/>
    <n v="80"/>
    <n v="0"/>
    <n v="9"/>
    <n v="4"/>
    <n v="6"/>
    <n v="4"/>
    <n v="1"/>
    <n v="5"/>
  </r>
  <r>
    <x v="1"/>
    <s v="Travel_Rarely"/>
    <x v="0"/>
    <s v="Current Employees"/>
    <x v="1"/>
    <x v="2"/>
    <x v="840"/>
    <n v="1172"/>
    <x v="1"/>
    <x v="2"/>
    <x v="1"/>
    <s v="No"/>
    <s v="Y"/>
    <n v="2"/>
    <n v="-2"/>
    <n v="0"/>
    <n v="35"/>
    <n v="0"/>
    <m/>
    <n v="0"/>
    <n v="1"/>
    <n v="982"/>
    <n v="1"/>
    <x v="2"/>
    <n v="1"/>
    <n v="4"/>
    <n v="58"/>
    <n v="2"/>
    <n v="1"/>
    <n v="3"/>
    <n v="2258"/>
    <n v="16340"/>
    <n v="6"/>
    <n v="12"/>
    <n v="3"/>
    <n v="2"/>
    <n v="80"/>
    <n v="1"/>
    <n v="10"/>
    <n v="3"/>
    <n v="8"/>
    <n v="0"/>
    <n v="1"/>
    <n v="7"/>
  </r>
  <r>
    <x v="1"/>
    <s v="Travel_Rarely"/>
    <x v="4"/>
    <s v="Current Employees"/>
    <x v="1"/>
    <x v="2"/>
    <x v="841"/>
    <n v="1173"/>
    <x v="1"/>
    <x v="2"/>
    <x v="0"/>
    <s v="No"/>
    <s v="Y"/>
    <n v="2"/>
    <n v="-2"/>
    <n v="0"/>
    <n v="24"/>
    <n v="0"/>
    <m/>
    <n v="0"/>
    <n v="1"/>
    <n v="477"/>
    <n v="24"/>
    <x v="3"/>
    <n v="1"/>
    <n v="4"/>
    <n v="49"/>
    <n v="3"/>
    <n v="1"/>
    <n v="2"/>
    <n v="3597"/>
    <n v="6409"/>
    <n v="8"/>
    <n v="22"/>
    <n v="4"/>
    <n v="4"/>
    <n v="80"/>
    <n v="0"/>
    <n v="6"/>
    <n v="3"/>
    <n v="4"/>
    <n v="3"/>
    <n v="1"/>
    <n v="2"/>
  </r>
  <r>
    <x v="0"/>
    <s v="Travel_Rarely"/>
    <x v="2"/>
    <s v="Ex-Employees"/>
    <x v="1"/>
    <x v="0"/>
    <x v="842"/>
    <n v="1175"/>
    <x v="0"/>
    <x v="2"/>
    <x v="1"/>
    <s v="Yes"/>
    <s v="Y"/>
    <n v="4"/>
    <n v="-2"/>
    <n v="0"/>
    <n v="28"/>
    <n v="1"/>
    <n v="1"/>
    <n v="1"/>
    <n v="0"/>
    <n v="1485"/>
    <n v="12"/>
    <x v="1"/>
    <n v="1"/>
    <n v="3"/>
    <n v="79"/>
    <n v="3"/>
    <n v="1"/>
    <n v="1"/>
    <n v="2515"/>
    <n v="22955"/>
    <n v="1"/>
    <n v="11"/>
    <n v="3"/>
    <n v="4"/>
    <n v="80"/>
    <n v="0"/>
    <n v="1"/>
    <n v="2"/>
    <n v="1"/>
    <n v="1"/>
    <n v="0"/>
    <n v="0"/>
  </r>
  <r>
    <x v="1"/>
    <s v="Travel_Rarely"/>
    <x v="2"/>
    <s v="Current Employees"/>
    <x v="1"/>
    <x v="2"/>
    <x v="843"/>
    <n v="1177"/>
    <x v="1"/>
    <x v="2"/>
    <x v="1"/>
    <s v="No"/>
    <s v="Y"/>
    <n v="2"/>
    <n v="-2"/>
    <n v="0"/>
    <n v="26"/>
    <n v="0"/>
    <m/>
    <n v="0"/>
    <n v="1"/>
    <n v="1384"/>
    <n v="3"/>
    <x v="2"/>
    <n v="1"/>
    <n v="1"/>
    <n v="82"/>
    <n v="4"/>
    <n v="1"/>
    <n v="4"/>
    <n v="4420"/>
    <n v="13421"/>
    <n v="1"/>
    <n v="22"/>
    <n v="4"/>
    <n v="2"/>
    <n v="80"/>
    <n v="1"/>
    <n v="8"/>
    <n v="3"/>
    <n v="8"/>
    <n v="7"/>
    <n v="0"/>
    <n v="7"/>
  </r>
  <r>
    <x v="1"/>
    <s v="Travel_Rarely"/>
    <x v="2"/>
    <s v="Current Employees"/>
    <x v="0"/>
    <x v="3"/>
    <x v="844"/>
    <n v="1179"/>
    <x v="1"/>
    <x v="0"/>
    <x v="1"/>
    <s v="No"/>
    <s v="Y"/>
    <n v="3"/>
    <n v="-2"/>
    <n v="0"/>
    <n v="30"/>
    <n v="0"/>
    <m/>
    <n v="0"/>
    <n v="1"/>
    <n v="852"/>
    <n v="10"/>
    <x v="3"/>
    <n v="1"/>
    <n v="3"/>
    <n v="72"/>
    <n v="2"/>
    <n v="2"/>
    <n v="2"/>
    <n v="6578"/>
    <n v="2706"/>
    <n v="1"/>
    <n v="18"/>
    <n v="3"/>
    <n v="1"/>
    <n v="80"/>
    <n v="1"/>
    <n v="10"/>
    <n v="3"/>
    <n v="10"/>
    <n v="3"/>
    <n v="1"/>
    <n v="4"/>
  </r>
  <r>
    <x v="1"/>
    <s v="Travel_Frequently"/>
    <x v="0"/>
    <s v="Current Employees"/>
    <x v="1"/>
    <x v="2"/>
    <x v="845"/>
    <n v="1180"/>
    <x v="0"/>
    <x v="1"/>
    <x v="1"/>
    <s v="Yes"/>
    <s v="Y"/>
    <n v="3"/>
    <n v="-2"/>
    <n v="0"/>
    <n v="40"/>
    <n v="0"/>
    <m/>
    <n v="0"/>
    <n v="1"/>
    <n v="902"/>
    <n v="26"/>
    <x v="0"/>
    <n v="1"/>
    <n v="3"/>
    <n v="92"/>
    <n v="2"/>
    <n v="2"/>
    <n v="4"/>
    <n v="4422"/>
    <n v="21203"/>
    <n v="3"/>
    <n v="13"/>
    <n v="3"/>
    <n v="4"/>
    <n v="80"/>
    <n v="1"/>
    <n v="16"/>
    <n v="1"/>
    <n v="1"/>
    <n v="1"/>
    <n v="0"/>
    <n v="0"/>
  </r>
  <r>
    <x v="1"/>
    <s v="Travel_Rarely"/>
    <x v="0"/>
    <s v="Current Employees"/>
    <x v="1"/>
    <x v="0"/>
    <x v="846"/>
    <n v="1182"/>
    <x v="1"/>
    <x v="3"/>
    <x v="2"/>
    <s v="No"/>
    <s v="Y"/>
    <n v="2"/>
    <n v="-2"/>
    <n v="0"/>
    <n v="35"/>
    <n v="0"/>
    <m/>
    <n v="0"/>
    <n v="1"/>
    <n v="819"/>
    <n v="2"/>
    <x v="3"/>
    <n v="1"/>
    <n v="3"/>
    <n v="44"/>
    <n v="2"/>
    <n v="3"/>
    <n v="1"/>
    <n v="10274"/>
    <n v="19588"/>
    <n v="2"/>
    <n v="18"/>
    <n v="3"/>
    <n v="2"/>
    <n v="80"/>
    <n v="1"/>
    <n v="15"/>
    <n v="4"/>
    <n v="7"/>
    <n v="7"/>
    <n v="6"/>
    <n v="4"/>
  </r>
  <r>
    <x v="1"/>
    <s v="Travel_Frequently"/>
    <x v="2"/>
    <s v="Current Employees"/>
    <x v="1"/>
    <x v="2"/>
    <x v="847"/>
    <n v="1184"/>
    <x v="1"/>
    <x v="4"/>
    <x v="0"/>
    <s v="No"/>
    <s v="Y"/>
    <n v="3"/>
    <n v="-2"/>
    <n v="0"/>
    <n v="34"/>
    <n v="0"/>
    <m/>
    <n v="0"/>
    <n v="1"/>
    <n v="669"/>
    <n v="1"/>
    <x v="3"/>
    <n v="1"/>
    <n v="4"/>
    <n v="97"/>
    <n v="2"/>
    <n v="2"/>
    <n v="3"/>
    <n v="5343"/>
    <n v="25755"/>
    <n v="0"/>
    <n v="20"/>
    <n v="4"/>
    <n v="3"/>
    <n v="80"/>
    <n v="0"/>
    <n v="14"/>
    <n v="3"/>
    <n v="13"/>
    <n v="9"/>
    <n v="4"/>
    <n v="9"/>
  </r>
  <r>
    <x v="1"/>
    <s v="Travel_Frequently"/>
    <x v="0"/>
    <s v="Current Employees"/>
    <x v="1"/>
    <x v="1"/>
    <x v="848"/>
    <n v="1185"/>
    <x v="1"/>
    <x v="2"/>
    <x v="1"/>
    <s v="No"/>
    <s v="Y"/>
    <n v="2"/>
    <n v="-2"/>
    <n v="0"/>
    <n v="35"/>
    <n v="0"/>
    <m/>
    <n v="0"/>
    <n v="1"/>
    <n v="636"/>
    <n v="4"/>
    <x v="2"/>
    <n v="1"/>
    <n v="4"/>
    <n v="47"/>
    <n v="2"/>
    <n v="1"/>
    <n v="4"/>
    <n v="2376"/>
    <n v="26537"/>
    <n v="1"/>
    <n v="13"/>
    <n v="3"/>
    <n v="2"/>
    <n v="80"/>
    <n v="1"/>
    <n v="2"/>
    <n v="4"/>
    <n v="2"/>
    <n v="2"/>
    <n v="2"/>
    <n v="2"/>
  </r>
  <r>
    <x v="0"/>
    <s v="Travel_Rarely"/>
    <x v="0"/>
    <s v="Ex-Employees"/>
    <x v="0"/>
    <x v="3"/>
    <x v="849"/>
    <n v="1188"/>
    <x v="0"/>
    <x v="0"/>
    <x v="0"/>
    <s v="No"/>
    <s v="Y"/>
    <n v="2"/>
    <n v="-2"/>
    <n v="0"/>
    <n v="43"/>
    <n v="1"/>
    <n v="1"/>
    <n v="1"/>
    <n v="0"/>
    <n v="1372"/>
    <n v="9"/>
    <x v="3"/>
    <n v="1"/>
    <n v="1"/>
    <n v="85"/>
    <n v="1"/>
    <n v="2"/>
    <n v="2"/>
    <n v="5346"/>
    <n v="9489"/>
    <n v="8"/>
    <n v="13"/>
    <n v="3"/>
    <n v="2"/>
    <n v="80"/>
    <n v="0"/>
    <n v="7"/>
    <n v="2"/>
    <n v="4"/>
    <n v="3"/>
    <n v="1"/>
    <n v="3"/>
  </r>
  <r>
    <x v="1"/>
    <s v="Non-Travel"/>
    <x v="2"/>
    <s v="Current Employees"/>
    <x v="0"/>
    <x v="0"/>
    <x v="850"/>
    <n v="1190"/>
    <x v="0"/>
    <x v="6"/>
    <x v="2"/>
    <s v="No"/>
    <s v="Y"/>
    <n v="3"/>
    <n v="-2"/>
    <n v="0"/>
    <n v="32"/>
    <n v="0"/>
    <m/>
    <n v="0"/>
    <n v="1"/>
    <n v="862"/>
    <n v="2"/>
    <x v="1"/>
    <n v="1"/>
    <n v="3"/>
    <n v="76"/>
    <n v="3"/>
    <n v="1"/>
    <n v="1"/>
    <n v="2827"/>
    <n v="14947"/>
    <n v="1"/>
    <n v="12"/>
    <n v="3"/>
    <n v="3"/>
    <n v="80"/>
    <n v="3"/>
    <n v="1"/>
    <n v="3"/>
    <n v="1"/>
    <n v="0"/>
    <n v="0"/>
    <n v="0"/>
  </r>
  <r>
    <x v="1"/>
    <s v="Travel_Rarely"/>
    <x v="3"/>
    <s v="Current Employees"/>
    <x v="1"/>
    <x v="4"/>
    <x v="851"/>
    <n v="1191"/>
    <x v="0"/>
    <x v="5"/>
    <x v="2"/>
    <s v="No"/>
    <s v="Y"/>
    <n v="2"/>
    <n v="-2"/>
    <n v="0"/>
    <n v="56"/>
    <n v="0"/>
    <m/>
    <n v="0"/>
    <n v="1"/>
    <n v="718"/>
    <n v="4"/>
    <x v="2"/>
    <n v="1"/>
    <n v="4"/>
    <n v="92"/>
    <n v="3"/>
    <n v="5"/>
    <n v="4"/>
    <n v="19943"/>
    <n v="18575"/>
    <n v="4"/>
    <n v="13"/>
    <n v="3"/>
    <n v="4"/>
    <n v="80"/>
    <n v="1"/>
    <n v="28"/>
    <n v="3"/>
    <n v="5"/>
    <n v="2"/>
    <n v="4"/>
    <n v="2"/>
  </r>
  <r>
    <x v="1"/>
    <s v="Travel_Rarely"/>
    <x v="2"/>
    <s v="Current Employees"/>
    <x v="1"/>
    <x v="2"/>
    <x v="852"/>
    <n v="1192"/>
    <x v="0"/>
    <x v="2"/>
    <x v="1"/>
    <s v="No"/>
    <s v="Y"/>
    <n v="5"/>
    <n v="-2"/>
    <n v="0"/>
    <n v="29"/>
    <n v="0"/>
    <m/>
    <n v="0"/>
    <n v="1"/>
    <n v="1401"/>
    <n v="6"/>
    <x v="1"/>
    <n v="1"/>
    <n v="2"/>
    <n v="54"/>
    <n v="3"/>
    <n v="1"/>
    <n v="4"/>
    <n v="3131"/>
    <n v="26342"/>
    <n v="1"/>
    <n v="13"/>
    <n v="3"/>
    <n v="1"/>
    <n v="80"/>
    <n v="1"/>
    <n v="10"/>
    <n v="3"/>
    <n v="10"/>
    <n v="8"/>
    <n v="0"/>
    <n v="8"/>
  </r>
  <r>
    <x v="1"/>
    <s v="Travel_Rarely"/>
    <x v="4"/>
    <s v="Current Employees"/>
    <x v="1"/>
    <x v="0"/>
    <x v="853"/>
    <n v="1193"/>
    <x v="1"/>
    <x v="1"/>
    <x v="0"/>
    <s v="No"/>
    <s v="Y"/>
    <n v="4"/>
    <n v="-2"/>
    <n v="0"/>
    <n v="19"/>
    <n v="0"/>
    <m/>
    <n v="0"/>
    <n v="1"/>
    <n v="645"/>
    <n v="9"/>
    <x v="0"/>
    <n v="1"/>
    <n v="3"/>
    <n v="54"/>
    <n v="3"/>
    <n v="1"/>
    <n v="1"/>
    <n v="2552"/>
    <n v="7172"/>
    <n v="1"/>
    <n v="25"/>
    <n v="4"/>
    <n v="3"/>
    <n v="80"/>
    <n v="0"/>
    <n v="1"/>
    <n v="3"/>
    <n v="1"/>
    <n v="1"/>
    <n v="0"/>
    <n v="0"/>
  </r>
  <r>
    <x v="1"/>
    <s v="Travel_Rarely"/>
    <x v="1"/>
    <s v="Current Employees"/>
    <x v="1"/>
    <x v="2"/>
    <x v="854"/>
    <n v="1195"/>
    <x v="0"/>
    <x v="1"/>
    <x v="1"/>
    <s v="Yes"/>
    <s v="Y"/>
    <n v="2"/>
    <n v="-2"/>
    <n v="0"/>
    <n v="45"/>
    <n v="0"/>
    <m/>
    <n v="0"/>
    <n v="1"/>
    <n v="1457"/>
    <n v="7"/>
    <x v="3"/>
    <n v="1"/>
    <n v="1"/>
    <n v="83"/>
    <n v="3"/>
    <n v="1"/>
    <n v="3"/>
    <n v="4477"/>
    <n v="20100"/>
    <n v="4"/>
    <n v="19"/>
    <n v="3"/>
    <n v="3"/>
    <n v="80"/>
    <n v="1"/>
    <n v="7"/>
    <n v="2"/>
    <n v="3"/>
    <n v="2"/>
    <n v="0"/>
    <n v="2"/>
  </r>
  <r>
    <x v="1"/>
    <s v="Travel_Rarely"/>
    <x v="0"/>
    <s v="Current Employees"/>
    <x v="1"/>
    <x v="0"/>
    <x v="855"/>
    <n v="1196"/>
    <x v="0"/>
    <x v="3"/>
    <x v="1"/>
    <s v="No"/>
    <s v="Y"/>
    <n v="2"/>
    <n v="-2"/>
    <n v="0"/>
    <n v="37"/>
    <n v="0"/>
    <m/>
    <n v="0"/>
    <n v="1"/>
    <n v="977"/>
    <n v="1"/>
    <x v="3"/>
    <n v="1"/>
    <n v="4"/>
    <n v="56"/>
    <n v="2"/>
    <n v="2"/>
    <n v="1"/>
    <n v="6474"/>
    <n v="9961"/>
    <n v="1"/>
    <n v="13"/>
    <n v="3"/>
    <n v="2"/>
    <n v="80"/>
    <n v="1"/>
    <n v="14"/>
    <n v="2"/>
    <n v="14"/>
    <n v="8"/>
    <n v="3"/>
    <n v="11"/>
  </r>
  <r>
    <x v="1"/>
    <s v="Travel_Rarely"/>
    <x v="4"/>
    <s v="Current Employees"/>
    <x v="1"/>
    <x v="0"/>
    <x v="856"/>
    <n v="1198"/>
    <x v="1"/>
    <x v="2"/>
    <x v="0"/>
    <s v="No"/>
    <s v="Y"/>
    <n v="2"/>
    <n v="-2"/>
    <n v="0"/>
    <n v="20"/>
    <n v="0"/>
    <m/>
    <n v="0"/>
    <n v="1"/>
    <n v="805"/>
    <n v="3"/>
    <x v="3"/>
    <n v="1"/>
    <n v="1"/>
    <n v="87"/>
    <n v="2"/>
    <n v="1"/>
    <n v="1"/>
    <n v="3033"/>
    <n v="12828"/>
    <n v="1"/>
    <n v="12"/>
    <n v="3"/>
    <n v="1"/>
    <n v="80"/>
    <n v="0"/>
    <n v="2"/>
    <n v="2"/>
    <n v="2"/>
    <n v="2"/>
    <n v="1"/>
    <n v="2"/>
  </r>
  <r>
    <x v="0"/>
    <s v="Travel_Rarely"/>
    <x v="0"/>
    <s v="Ex-Employees"/>
    <x v="1"/>
    <x v="0"/>
    <x v="857"/>
    <n v="1200"/>
    <x v="1"/>
    <x v="1"/>
    <x v="0"/>
    <s v="Yes"/>
    <s v="Y"/>
    <n v="4"/>
    <n v="-2"/>
    <n v="0"/>
    <n v="44"/>
    <n v="1"/>
    <n v="1"/>
    <n v="1"/>
    <n v="0"/>
    <n v="1097"/>
    <n v="10"/>
    <x v="2"/>
    <n v="1"/>
    <n v="3"/>
    <n v="96"/>
    <n v="3"/>
    <n v="1"/>
    <n v="1"/>
    <n v="2936"/>
    <n v="10826"/>
    <n v="1"/>
    <n v="11"/>
    <n v="3"/>
    <n v="3"/>
    <n v="80"/>
    <n v="0"/>
    <n v="6"/>
    <n v="3"/>
    <n v="6"/>
    <n v="4"/>
    <n v="0"/>
    <n v="2"/>
  </r>
  <r>
    <x v="1"/>
    <s v="Travel_Rarely"/>
    <x v="1"/>
    <s v="Current Employees"/>
    <x v="1"/>
    <x v="2"/>
    <x v="858"/>
    <n v="1201"/>
    <x v="0"/>
    <x v="5"/>
    <x v="2"/>
    <s v="No"/>
    <s v="Y"/>
    <n v="6"/>
    <n v="-2"/>
    <n v="0"/>
    <n v="53"/>
    <n v="0"/>
    <m/>
    <n v="0"/>
    <n v="1"/>
    <n v="1223"/>
    <n v="7"/>
    <x v="0"/>
    <n v="1"/>
    <n v="4"/>
    <n v="50"/>
    <n v="3"/>
    <n v="5"/>
    <n v="3"/>
    <n v="18606"/>
    <n v="18640"/>
    <n v="3"/>
    <n v="18"/>
    <n v="3"/>
    <n v="2"/>
    <n v="80"/>
    <n v="1"/>
    <n v="26"/>
    <n v="3"/>
    <n v="7"/>
    <n v="7"/>
    <n v="4"/>
    <n v="7"/>
  </r>
  <r>
    <x v="1"/>
    <s v="Travel_Rarely"/>
    <x v="2"/>
    <s v="Current Employees"/>
    <x v="1"/>
    <x v="0"/>
    <x v="859"/>
    <n v="1202"/>
    <x v="0"/>
    <x v="1"/>
    <x v="1"/>
    <s v="Yes"/>
    <s v="Y"/>
    <n v="2"/>
    <n v="-2"/>
    <n v="0"/>
    <n v="29"/>
    <n v="0"/>
    <m/>
    <n v="0"/>
    <n v="1"/>
    <n v="942"/>
    <n v="15"/>
    <x v="1"/>
    <n v="1"/>
    <n v="2"/>
    <n v="69"/>
    <n v="1"/>
    <n v="1"/>
    <n v="1"/>
    <n v="2168"/>
    <n v="26933"/>
    <n v="0"/>
    <n v="18"/>
    <n v="3"/>
    <n v="1"/>
    <n v="80"/>
    <n v="1"/>
    <n v="6"/>
    <n v="2"/>
    <n v="5"/>
    <n v="4"/>
    <n v="1"/>
    <n v="3"/>
  </r>
  <r>
    <x v="0"/>
    <s v="Travel_Frequently"/>
    <x v="4"/>
    <s v="Ex-Employees"/>
    <x v="1"/>
    <x v="0"/>
    <x v="860"/>
    <n v="1203"/>
    <x v="1"/>
    <x v="1"/>
    <x v="1"/>
    <s v="Yes"/>
    <s v="Y"/>
    <n v="5"/>
    <n v="-2"/>
    <n v="0"/>
    <n v="22"/>
    <n v="1"/>
    <n v="1"/>
    <n v="1"/>
    <n v="0"/>
    <n v="1256"/>
    <n v="3"/>
    <x v="2"/>
    <n v="1"/>
    <n v="3"/>
    <n v="48"/>
    <n v="2"/>
    <n v="1"/>
    <n v="1"/>
    <n v="2853"/>
    <n v="4223"/>
    <n v="0"/>
    <n v="11"/>
    <n v="3"/>
    <n v="2"/>
    <n v="80"/>
    <n v="1"/>
    <n v="1"/>
    <n v="3"/>
    <n v="0"/>
    <n v="0"/>
    <n v="0"/>
    <n v="0"/>
  </r>
  <r>
    <x v="1"/>
    <s v="Travel_Rarely"/>
    <x v="1"/>
    <s v="Current Employees"/>
    <x v="0"/>
    <x v="3"/>
    <x v="861"/>
    <n v="1204"/>
    <x v="0"/>
    <x v="5"/>
    <x v="1"/>
    <s v="No"/>
    <s v="Y"/>
    <n v="2"/>
    <n v="-2"/>
    <n v="0"/>
    <n v="46"/>
    <n v="0"/>
    <m/>
    <n v="0"/>
    <n v="1"/>
    <n v="1402"/>
    <n v="2"/>
    <x v="3"/>
    <n v="1"/>
    <n v="3"/>
    <n v="69"/>
    <n v="3"/>
    <n v="4"/>
    <n v="2"/>
    <n v="17048"/>
    <n v="24097"/>
    <n v="8"/>
    <n v="23"/>
    <n v="4"/>
    <n v="1"/>
    <n v="80"/>
    <n v="0"/>
    <n v="28"/>
    <n v="3"/>
    <n v="26"/>
    <n v="15"/>
    <n v="15"/>
    <n v="9"/>
  </r>
  <r>
    <x v="1"/>
    <s v="Non-Travel"/>
    <x v="0"/>
    <s v="Current Employees"/>
    <x v="1"/>
    <x v="0"/>
    <x v="862"/>
    <n v="1206"/>
    <x v="1"/>
    <x v="1"/>
    <x v="0"/>
    <s v="No"/>
    <s v="Y"/>
    <n v="3"/>
    <n v="-2"/>
    <n v="0"/>
    <n v="44"/>
    <n v="0"/>
    <m/>
    <n v="0"/>
    <n v="1"/>
    <n v="111"/>
    <n v="17"/>
    <x v="3"/>
    <n v="1"/>
    <n v="4"/>
    <n v="74"/>
    <n v="1"/>
    <n v="1"/>
    <n v="1"/>
    <n v="2290"/>
    <n v="4279"/>
    <n v="2"/>
    <n v="13"/>
    <n v="3"/>
    <n v="4"/>
    <n v="80"/>
    <n v="0"/>
    <n v="6"/>
    <n v="3"/>
    <n v="0"/>
    <n v="0"/>
    <n v="0"/>
    <n v="0"/>
  </r>
  <r>
    <x v="1"/>
    <s v="Travel_Rarely"/>
    <x v="2"/>
    <s v="Current Employees"/>
    <x v="2"/>
    <x v="5"/>
    <x v="863"/>
    <n v="1207"/>
    <x v="1"/>
    <x v="8"/>
    <x v="1"/>
    <s v="No"/>
    <s v="Y"/>
    <n v="2"/>
    <n v="-2"/>
    <n v="0"/>
    <n v="33"/>
    <n v="0"/>
    <m/>
    <n v="0"/>
    <n v="1"/>
    <n v="147"/>
    <n v="2"/>
    <x v="3"/>
    <n v="1"/>
    <n v="2"/>
    <n v="99"/>
    <n v="3"/>
    <n v="1"/>
    <n v="3"/>
    <n v="3600"/>
    <n v="8429"/>
    <n v="1"/>
    <n v="13"/>
    <n v="3"/>
    <n v="4"/>
    <n v="80"/>
    <n v="1"/>
    <n v="5"/>
    <n v="3"/>
    <n v="5"/>
    <n v="4"/>
    <n v="1"/>
    <n v="4"/>
  </r>
  <r>
    <x v="0"/>
    <s v="Non-Travel"/>
    <x v="0"/>
    <s v="Ex-Employees"/>
    <x v="1"/>
    <x v="0"/>
    <x v="864"/>
    <n v="1210"/>
    <x v="1"/>
    <x v="1"/>
    <x v="2"/>
    <s v="No"/>
    <s v="Y"/>
    <n v="2"/>
    <n v="-2"/>
    <n v="0"/>
    <n v="41"/>
    <n v="1"/>
    <n v="1"/>
    <n v="1"/>
    <n v="0"/>
    <n v="906"/>
    <n v="5"/>
    <x v="0"/>
    <n v="1"/>
    <n v="1"/>
    <n v="95"/>
    <n v="2"/>
    <n v="1"/>
    <n v="1"/>
    <n v="2107"/>
    <n v="20293"/>
    <n v="6"/>
    <n v="17"/>
    <n v="3"/>
    <n v="1"/>
    <n v="80"/>
    <n v="1"/>
    <n v="5"/>
    <n v="1"/>
    <n v="1"/>
    <n v="0"/>
    <n v="0"/>
    <n v="0"/>
  </r>
  <r>
    <x v="1"/>
    <s v="Travel_Rarely"/>
    <x v="2"/>
    <s v="Current Employees"/>
    <x v="0"/>
    <x v="0"/>
    <x v="865"/>
    <n v="1211"/>
    <x v="1"/>
    <x v="0"/>
    <x v="2"/>
    <s v="No"/>
    <s v="Y"/>
    <n v="3"/>
    <n v="-2"/>
    <n v="0"/>
    <n v="30"/>
    <n v="0"/>
    <m/>
    <n v="0"/>
    <n v="1"/>
    <n v="1329"/>
    <n v="29"/>
    <x v="2"/>
    <n v="1"/>
    <n v="3"/>
    <n v="61"/>
    <n v="3"/>
    <n v="2"/>
    <n v="1"/>
    <n v="4115"/>
    <n v="13192"/>
    <n v="8"/>
    <n v="19"/>
    <n v="3"/>
    <n v="3"/>
    <n v="80"/>
    <n v="3"/>
    <n v="8"/>
    <n v="3"/>
    <n v="4"/>
    <n v="3"/>
    <n v="0"/>
    <n v="3"/>
  </r>
  <r>
    <x v="1"/>
    <s v="Travel_Frequently"/>
    <x v="0"/>
    <s v="Current Employees"/>
    <x v="0"/>
    <x v="2"/>
    <x v="866"/>
    <n v="1212"/>
    <x v="1"/>
    <x v="0"/>
    <x v="1"/>
    <s v="No"/>
    <s v="Y"/>
    <n v="2"/>
    <n v="-2"/>
    <n v="0"/>
    <n v="40"/>
    <n v="0"/>
    <m/>
    <n v="0"/>
    <n v="1"/>
    <n v="1184"/>
    <n v="2"/>
    <x v="2"/>
    <n v="1"/>
    <n v="2"/>
    <n v="62"/>
    <n v="3"/>
    <n v="2"/>
    <n v="2"/>
    <n v="4327"/>
    <n v="25440"/>
    <n v="5"/>
    <n v="12"/>
    <n v="3"/>
    <n v="4"/>
    <n v="80"/>
    <n v="3"/>
    <n v="5"/>
    <n v="3"/>
    <n v="0"/>
    <n v="0"/>
    <n v="0"/>
    <n v="0"/>
  </r>
  <r>
    <x v="1"/>
    <s v="Travel_Frequently"/>
    <x v="1"/>
    <s v="Current Employees"/>
    <x v="1"/>
    <x v="2"/>
    <x v="867"/>
    <n v="1215"/>
    <x v="0"/>
    <x v="5"/>
    <x v="1"/>
    <s v="No"/>
    <s v="Y"/>
    <n v="3"/>
    <n v="-2"/>
    <n v="0"/>
    <n v="50"/>
    <n v="0"/>
    <m/>
    <n v="0"/>
    <n v="1"/>
    <n v="1421"/>
    <n v="2"/>
    <x v="3"/>
    <n v="1"/>
    <n v="4"/>
    <n v="30"/>
    <n v="3"/>
    <n v="4"/>
    <n v="3"/>
    <n v="17856"/>
    <n v="9490"/>
    <n v="2"/>
    <n v="22"/>
    <n v="4"/>
    <n v="3"/>
    <n v="80"/>
    <n v="1"/>
    <n v="32"/>
    <n v="3"/>
    <n v="2"/>
    <n v="2"/>
    <n v="2"/>
    <n v="2"/>
  </r>
  <r>
    <x v="1"/>
    <s v="Travel_Rarely"/>
    <x v="2"/>
    <s v="Current Employees"/>
    <x v="1"/>
    <x v="2"/>
    <x v="868"/>
    <n v="1216"/>
    <x v="1"/>
    <x v="2"/>
    <x v="1"/>
    <s v="No"/>
    <s v="Y"/>
    <n v="2"/>
    <n v="-2"/>
    <n v="0"/>
    <n v="28"/>
    <n v="0"/>
    <m/>
    <n v="0"/>
    <n v="1"/>
    <n v="1179"/>
    <n v="19"/>
    <x v="2"/>
    <n v="1"/>
    <n v="4"/>
    <n v="78"/>
    <n v="2"/>
    <n v="1"/>
    <n v="3"/>
    <n v="3196"/>
    <n v="12449"/>
    <n v="1"/>
    <n v="12"/>
    <n v="3"/>
    <n v="3"/>
    <n v="80"/>
    <n v="3"/>
    <n v="6"/>
    <n v="3"/>
    <n v="6"/>
    <n v="5"/>
    <n v="3"/>
    <n v="3"/>
  </r>
  <r>
    <x v="1"/>
    <s v="Travel_Rarely"/>
    <x v="1"/>
    <s v="Current Employees"/>
    <x v="1"/>
    <x v="0"/>
    <x v="869"/>
    <n v="1217"/>
    <x v="1"/>
    <x v="7"/>
    <x v="1"/>
    <s v="No"/>
    <s v="Y"/>
    <n v="2"/>
    <n v="-2"/>
    <n v="0"/>
    <n v="46"/>
    <n v="0"/>
    <m/>
    <n v="0"/>
    <n v="1"/>
    <n v="1450"/>
    <n v="15"/>
    <x v="0"/>
    <n v="1"/>
    <n v="4"/>
    <n v="52"/>
    <n v="3"/>
    <n v="5"/>
    <n v="1"/>
    <n v="19081"/>
    <n v="10849"/>
    <n v="5"/>
    <n v="11"/>
    <n v="3"/>
    <n v="1"/>
    <n v="80"/>
    <n v="1"/>
    <n v="25"/>
    <n v="3"/>
    <n v="4"/>
    <n v="2"/>
    <n v="0"/>
    <n v="3"/>
  </r>
  <r>
    <x v="1"/>
    <s v="Travel_Rarely"/>
    <x v="0"/>
    <s v="Current Employees"/>
    <x v="0"/>
    <x v="0"/>
    <x v="870"/>
    <n v="1218"/>
    <x v="1"/>
    <x v="0"/>
    <x v="1"/>
    <s v="Yes"/>
    <s v="Y"/>
    <n v="2"/>
    <n v="-2"/>
    <n v="0"/>
    <n v="35"/>
    <n v="0"/>
    <m/>
    <n v="0"/>
    <n v="1"/>
    <n v="1361"/>
    <n v="17"/>
    <x v="2"/>
    <n v="1"/>
    <n v="3"/>
    <n v="94"/>
    <n v="3"/>
    <n v="2"/>
    <n v="1"/>
    <n v="8966"/>
    <n v="21026"/>
    <n v="3"/>
    <n v="15"/>
    <n v="3"/>
    <n v="4"/>
    <n v="80"/>
    <n v="3"/>
    <n v="15"/>
    <n v="3"/>
    <n v="7"/>
    <n v="7"/>
    <n v="1"/>
    <n v="7"/>
  </r>
  <r>
    <x v="0"/>
    <s v="Travel_Rarely"/>
    <x v="4"/>
    <s v="Ex-Employees"/>
    <x v="1"/>
    <x v="0"/>
    <x v="871"/>
    <n v="1219"/>
    <x v="0"/>
    <x v="2"/>
    <x v="1"/>
    <s v="No"/>
    <s v="Y"/>
    <n v="3"/>
    <n v="-2"/>
    <n v="0"/>
    <n v="24"/>
    <n v="1"/>
    <n v="1"/>
    <n v="1"/>
    <n v="0"/>
    <n v="984"/>
    <n v="17"/>
    <x v="0"/>
    <n v="1"/>
    <n v="4"/>
    <n v="97"/>
    <n v="3"/>
    <n v="1"/>
    <n v="1"/>
    <n v="2210"/>
    <n v="3372"/>
    <n v="1"/>
    <n v="13"/>
    <n v="3"/>
    <n v="1"/>
    <n v="80"/>
    <n v="1"/>
    <n v="1"/>
    <n v="1"/>
    <n v="1"/>
    <n v="0"/>
    <n v="0"/>
    <n v="0"/>
  </r>
  <r>
    <x v="1"/>
    <s v="Travel_Frequently"/>
    <x v="2"/>
    <s v="Current Employees"/>
    <x v="0"/>
    <x v="2"/>
    <x v="872"/>
    <n v="1220"/>
    <x v="0"/>
    <x v="0"/>
    <x v="1"/>
    <s v="No"/>
    <s v="Y"/>
    <n v="3"/>
    <n v="-2"/>
    <n v="0"/>
    <n v="33"/>
    <n v="0"/>
    <m/>
    <n v="0"/>
    <n v="1"/>
    <n v="1146"/>
    <n v="25"/>
    <x v="3"/>
    <n v="1"/>
    <n v="2"/>
    <n v="82"/>
    <n v="3"/>
    <n v="2"/>
    <n v="3"/>
    <n v="4539"/>
    <n v="4905"/>
    <n v="1"/>
    <n v="12"/>
    <n v="3"/>
    <n v="1"/>
    <n v="80"/>
    <n v="1"/>
    <n v="10"/>
    <n v="2"/>
    <n v="10"/>
    <n v="7"/>
    <n v="0"/>
    <n v="1"/>
  </r>
  <r>
    <x v="1"/>
    <s v="Travel_Rarely"/>
    <x v="0"/>
    <s v="Current Employees"/>
    <x v="1"/>
    <x v="0"/>
    <x v="873"/>
    <n v="1221"/>
    <x v="1"/>
    <x v="2"/>
    <x v="2"/>
    <s v="No"/>
    <s v="Y"/>
    <n v="4"/>
    <n v="-2"/>
    <n v="0"/>
    <n v="36"/>
    <n v="0"/>
    <m/>
    <n v="0"/>
    <n v="1"/>
    <n v="917"/>
    <n v="6"/>
    <x v="2"/>
    <n v="1"/>
    <n v="3"/>
    <n v="60"/>
    <n v="1"/>
    <n v="1"/>
    <n v="1"/>
    <n v="2741"/>
    <n v="6865"/>
    <n v="1"/>
    <n v="14"/>
    <n v="3"/>
    <n v="3"/>
    <n v="80"/>
    <n v="1"/>
    <n v="7"/>
    <n v="3"/>
    <n v="7"/>
    <n v="7"/>
    <n v="1"/>
    <n v="7"/>
  </r>
  <r>
    <x v="1"/>
    <s v="Travel_Rarely"/>
    <x v="2"/>
    <s v="Current Employees"/>
    <x v="1"/>
    <x v="0"/>
    <x v="874"/>
    <n v="1224"/>
    <x v="1"/>
    <x v="2"/>
    <x v="2"/>
    <s v="No"/>
    <s v="Y"/>
    <n v="4"/>
    <n v="-2"/>
    <n v="0"/>
    <n v="30"/>
    <n v="0"/>
    <m/>
    <n v="0"/>
    <n v="1"/>
    <n v="853"/>
    <n v="7"/>
    <x v="2"/>
    <n v="1"/>
    <n v="3"/>
    <n v="49"/>
    <n v="3"/>
    <n v="2"/>
    <n v="1"/>
    <n v="3491"/>
    <n v="11309"/>
    <n v="1"/>
    <n v="13"/>
    <n v="3"/>
    <n v="1"/>
    <n v="80"/>
    <n v="3"/>
    <n v="10"/>
    <n v="2"/>
    <n v="10"/>
    <n v="7"/>
    <n v="8"/>
    <n v="9"/>
  </r>
  <r>
    <x v="1"/>
    <s v="Travel_Rarely"/>
    <x v="0"/>
    <s v="Current Employees"/>
    <x v="1"/>
    <x v="1"/>
    <x v="875"/>
    <n v="1225"/>
    <x v="1"/>
    <x v="1"/>
    <x v="0"/>
    <s v="No"/>
    <s v="Y"/>
    <n v="3"/>
    <n v="-2"/>
    <n v="0"/>
    <n v="44"/>
    <n v="0"/>
    <m/>
    <n v="0"/>
    <n v="1"/>
    <n v="200"/>
    <n v="29"/>
    <x v="2"/>
    <n v="1"/>
    <n v="4"/>
    <n v="32"/>
    <n v="3"/>
    <n v="2"/>
    <n v="4"/>
    <n v="4541"/>
    <n v="7744"/>
    <n v="1"/>
    <n v="25"/>
    <n v="4"/>
    <n v="2"/>
    <n v="80"/>
    <n v="0"/>
    <n v="20"/>
    <n v="3"/>
    <n v="20"/>
    <n v="11"/>
    <n v="13"/>
    <n v="17"/>
  </r>
  <r>
    <x v="1"/>
    <s v="Travel_Rarely"/>
    <x v="4"/>
    <s v="Current Employees"/>
    <x v="0"/>
    <x v="3"/>
    <x v="876"/>
    <n v="1226"/>
    <x v="1"/>
    <x v="6"/>
    <x v="0"/>
    <s v="No"/>
    <s v="Y"/>
    <n v="2"/>
    <n v="-2"/>
    <n v="0"/>
    <n v="20"/>
    <n v="0"/>
    <m/>
    <n v="0"/>
    <n v="1"/>
    <n v="654"/>
    <n v="21"/>
    <x v="3"/>
    <n v="1"/>
    <n v="3"/>
    <n v="43"/>
    <n v="4"/>
    <n v="1"/>
    <n v="2"/>
    <n v="2678"/>
    <n v="5050"/>
    <n v="1"/>
    <n v="17"/>
    <n v="3"/>
    <n v="4"/>
    <n v="80"/>
    <n v="0"/>
    <n v="2"/>
    <n v="3"/>
    <n v="2"/>
    <n v="1"/>
    <n v="2"/>
    <n v="2"/>
  </r>
  <r>
    <x v="1"/>
    <s v="Travel_Rarely"/>
    <x v="1"/>
    <s v="Current Employees"/>
    <x v="1"/>
    <x v="4"/>
    <x v="877"/>
    <n v="1228"/>
    <x v="1"/>
    <x v="3"/>
    <x v="2"/>
    <s v="No"/>
    <s v="Y"/>
    <n v="3"/>
    <n v="-2"/>
    <n v="0"/>
    <n v="46"/>
    <n v="0"/>
    <m/>
    <n v="0"/>
    <n v="1"/>
    <n v="150"/>
    <n v="2"/>
    <x v="2"/>
    <n v="1"/>
    <n v="4"/>
    <n v="60"/>
    <n v="3"/>
    <n v="2"/>
    <n v="4"/>
    <n v="7379"/>
    <n v="17433"/>
    <n v="2"/>
    <n v="11"/>
    <n v="3"/>
    <n v="3"/>
    <n v="80"/>
    <n v="1"/>
    <n v="12"/>
    <n v="2"/>
    <n v="6"/>
    <n v="3"/>
    <n v="1"/>
    <n v="4"/>
  </r>
  <r>
    <x v="1"/>
    <s v="Non-Travel"/>
    <x v="0"/>
    <s v="Current Employees"/>
    <x v="2"/>
    <x v="2"/>
    <x v="878"/>
    <n v="1231"/>
    <x v="1"/>
    <x v="8"/>
    <x v="1"/>
    <s v="No"/>
    <s v="Y"/>
    <n v="3"/>
    <n v="-2"/>
    <n v="0"/>
    <n v="42"/>
    <n v="0"/>
    <m/>
    <n v="0"/>
    <n v="1"/>
    <n v="179"/>
    <n v="2"/>
    <x v="4"/>
    <n v="1"/>
    <n v="4"/>
    <n v="79"/>
    <n v="4"/>
    <n v="2"/>
    <n v="3"/>
    <n v="6272"/>
    <n v="12858"/>
    <n v="7"/>
    <n v="16"/>
    <n v="3"/>
    <n v="1"/>
    <n v="80"/>
    <n v="1"/>
    <n v="10"/>
    <n v="4"/>
    <n v="4"/>
    <n v="3"/>
    <n v="0"/>
    <n v="3"/>
  </r>
  <r>
    <x v="1"/>
    <s v="Travel_Rarely"/>
    <x v="3"/>
    <s v="Current Employees"/>
    <x v="0"/>
    <x v="3"/>
    <x v="879"/>
    <n v="1233"/>
    <x v="1"/>
    <x v="0"/>
    <x v="2"/>
    <s v="Yes"/>
    <s v="Y"/>
    <n v="3"/>
    <n v="-2"/>
    <n v="0"/>
    <n v="60"/>
    <n v="0"/>
    <m/>
    <n v="0"/>
    <n v="1"/>
    <n v="696"/>
    <n v="7"/>
    <x v="2"/>
    <n v="1"/>
    <n v="2"/>
    <n v="52"/>
    <n v="4"/>
    <n v="2"/>
    <n v="2"/>
    <n v="5220"/>
    <n v="10893"/>
    <n v="0"/>
    <n v="18"/>
    <n v="3"/>
    <n v="2"/>
    <n v="80"/>
    <n v="1"/>
    <n v="12"/>
    <n v="3"/>
    <n v="11"/>
    <n v="7"/>
    <n v="1"/>
    <n v="9"/>
  </r>
  <r>
    <x v="1"/>
    <s v="Travel_Frequently"/>
    <x v="2"/>
    <s v="Current Employees"/>
    <x v="1"/>
    <x v="1"/>
    <x v="880"/>
    <n v="1234"/>
    <x v="0"/>
    <x v="2"/>
    <x v="1"/>
    <s v="No"/>
    <s v="Y"/>
    <n v="2"/>
    <n v="-2"/>
    <n v="0"/>
    <n v="32"/>
    <n v="0"/>
    <m/>
    <n v="0"/>
    <n v="1"/>
    <n v="116"/>
    <n v="13"/>
    <x v="3"/>
    <n v="1"/>
    <n v="3"/>
    <n v="77"/>
    <n v="2"/>
    <n v="1"/>
    <n v="2"/>
    <n v="2743"/>
    <n v="7331"/>
    <n v="1"/>
    <n v="20"/>
    <n v="4"/>
    <n v="3"/>
    <n v="80"/>
    <n v="1"/>
    <n v="2"/>
    <n v="3"/>
    <n v="2"/>
    <n v="2"/>
    <n v="2"/>
    <n v="2"/>
  </r>
  <r>
    <x v="1"/>
    <s v="Travel_Frequently"/>
    <x v="2"/>
    <s v="Current Employees"/>
    <x v="1"/>
    <x v="0"/>
    <x v="881"/>
    <n v="1235"/>
    <x v="0"/>
    <x v="1"/>
    <x v="0"/>
    <s v="Yes"/>
    <s v="Y"/>
    <n v="2"/>
    <n v="-2"/>
    <n v="0"/>
    <n v="32"/>
    <n v="0"/>
    <m/>
    <n v="0"/>
    <n v="1"/>
    <n v="1316"/>
    <n v="2"/>
    <x v="0"/>
    <n v="1"/>
    <n v="4"/>
    <n v="38"/>
    <n v="3"/>
    <n v="2"/>
    <n v="1"/>
    <n v="4998"/>
    <n v="2338"/>
    <n v="4"/>
    <n v="14"/>
    <n v="3"/>
    <n v="4"/>
    <n v="80"/>
    <n v="0"/>
    <n v="10"/>
    <n v="3"/>
    <n v="8"/>
    <n v="7"/>
    <n v="0"/>
    <n v="7"/>
  </r>
  <r>
    <x v="1"/>
    <s v="Travel_Rarely"/>
    <x v="0"/>
    <s v="Current Employees"/>
    <x v="1"/>
    <x v="4"/>
    <x v="882"/>
    <n v="1237"/>
    <x v="0"/>
    <x v="3"/>
    <x v="2"/>
    <s v="Yes"/>
    <s v="Y"/>
    <n v="2"/>
    <n v="-2"/>
    <n v="0"/>
    <n v="36"/>
    <n v="0"/>
    <m/>
    <n v="0"/>
    <n v="1"/>
    <n v="363"/>
    <n v="1"/>
    <x v="3"/>
    <n v="1"/>
    <n v="4"/>
    <n v="77"/>
    <n v="1"/>
    <n v="3"/>
    <n v="4"/>
    <n v="10252"/>
    <n v="4235"/>
    <n v="2"/>
    <n v="21"/>
    <n v="4"/>
    <n v="3"/>
    <n v="80"/>
    <n v="1"/>
    <n v="17"/>
    <n v="3"/>
    <n v="7"/>
    <n v="7"/>
    <n v="7"/>
    <n v="7"/>
  </r>
  <r>
    <x v="1"/>
    <s v="Travel_Rarely"/>
    <x v="2"/>
    <s v="Current Employees"/>
    <x v="1"/>
    <x v="2"/>
    <x v="883"/>
    <n v="1238"/>
    <x v="1"/>
    <x v="1"/>
    <x v="1"/>
    <s v="No"/>
    <s v="Y"/>
    <n v="5"/>
    <n v="-2"/>
    <n v="0"/>
    <n v="33"/>
    <n v="0"/>
    <m/>
    <n v="0"/>
    <n v="1"/>
    <n v="117"/>
    <n v="9"/>
    <x v="3"/>
    <n v="1"/>
    <n v="1"/>
    <n v="60"/>
    <n v="3"/>
    <n v="1"/>
    <n v="4"/>
    <n v="2781"/>
    <n v="6311"/>
    <n v="0"/>
    <n v="13"/>
    <n v="3"/>
    <n v="2"/>
    <n v="80"/>
    <n v="1"/>
    <n v="15"/>
    <n v="3"/>
    <n v="14"/>
    <n v="10"/>
    <n v="4"/>
    <n v="10"/>
  </r>
  <r>
    <x v="1"/>
    <s v="Travel_Rarely"/>
    <x v="0"/>
    <s v="Current Employees"/>
    <x v="0"/>
    <x v="4"/>
    <x v="884"/>
    <n v="1239"/>
    <x v="0"/>
    <x v="0"/>
    <x v="2"/>
    <s v="No"/>
    <s v="Y"/>
    <n v="2"/>
    <n v="-2"/>
    <n v="0"/>
    <n v="40"/>
    <n v="0"/>
    <m/>
    <n v="0"/>
    <n v="1"/>
    <n v="107"/>
    <n v="10"/>
    <x v="3"/>
    <n v="1"/>
    <n v="4"/>
    <n v="84"/>
    <n v="2"/>
    <n v="2"/>
    <n v="4"/>
    <n v="6852"/>
    <n v="11591"/>
    <n v="7"/>
    <n v="12"/>
    <n v="3"/>
    <n v="2"/>
    <n v="80"/>
    <n v="1"/>
    <n v="7"/>
    <n v="4"/>
    <n v="5"/>
    <n v="1"/>
    <n v="1"/>
    <n v="3"/>
  </r>
  <r>
    <x v="1"/>
    <s v="Travel_Rarely"/>
    <x v="2"/>
    <s v="Current Employees"/>
    <x v="0"/>
    <x v="0"/>
    <x v="885"/>
    <n v="1240"/>
    <x v="1"/>
    <x v="0"/>
    <x v="0"/>
    <s v="No"/>
    <s v="Y"/>
    <n v="4"/>
    <n v="-2"/>
    <n v="0"/>
    <n v="25"/>
    <n v="0"/>
    <m/>
    <n v="0"/>
    <n v="1"/>
    <n v="1356"/>
    <n v="10"/>
    <x v="2"/>
    <n v="1"/>
    <n v="3"/>
    <n v="57"/>
    <n v="3"/>
    <n v="2"/>
    <n v="1"/>
    <n v="4950"/>
    <n v="20623"/>
    <n v="0"/>
    <n v="14"/>
    <n v="3"/>
    <n v="2"/>
    <n v="80"/>
    <n v="0"/>
    <n v="5"/>
    <n v="3"/>
    <n v="4"/>
    <n v="3"/>
    <n v="1"/>
    <n v="1"/>
  </r>
  <r>
    <x v="1"/>
    <s v="Travel_Rarely"/>
    <x v="2"/>
    <s v="Current Employees"/>
    <x v="1"/>
    <x v="2"/>
    <x v="886"/>
    <n v="1241"/>
    <x v="1"/>
    <x v="1"/>
    <x v="1"/>
    <s v="Yes"/>
    <s v="Y"/>
    <n v="2"/>
    <n v="-2"/>
    <n v="0"/>
    <n v="30"/>
    <n v="0"/>
    <m/>
    <n v="0"/>
    <n v="1"/>
    <n v="1465"/>
    <n v="1"/>
    <x v="3"/>
    <n v="1"/>
    <n v="4"/>
    <n v="63"/>
    <n v="3"/>
    <n v="1"/>
    <n v="2"/>
    <n v="3579"/>
    <n v="9369"/>
    <n v="0"/>
    <n v="21"/>
    <n v="4"/>
    <n v="1"/>
    <n v="80"/>
    <n v="1"/>
    <n v="12"/>
    <n v="3"/>
    <n v="11"/>
    <n v="9"/>
    <n v="5"/>
    <n v="7"/>
  </r>
  <r>
    <x v="1"/>
    <s v="Travel_Frequently"/>
    <x v="0"/>
    <s v="Current Employees"/>
    <x v="1"/>
    <x v="2"/>
    <x v="887"/>
    <n v="1242"/>
    <x v="0"/>
    <x v="7"/>
    <x v="1"/>
    <s v="Yes"/>
    <s v="Y"/>
    <n v="6"/>
    <n v="-2"/>
    <n v="0"/>
    <n v="42"/>
    <n v="0"/>
    <m/>
    <n v="0"/>
    <n v="1"/>
    <n v="458"/>
    <n v="26"/>
    <x v="4"/>
    <n v="1"/>
    <n v="1"/>
    <n v="60"/>
    <n v="3"/>
    <n v="3"/>
    <n v="3"/>
    <n v="13191"/>
    <n v="23281"/>
    <n v="3"/>
    <n v="17"/>
    <n v="3"/>
    <n v="3"/>
    <n v="80"/>
    <n v="0"/>
    <n v="20"/>
    <n v="3"/>
    <n v="1"/>
    <n v="0"/>
    <n v="0"/>
    <n v="0"/>
  </r>
  <r>
    <x v="1"/>
    <s v="Non-Travel"/>
    <x v="0"/>
    <s v="Current Employees"/>
    <x v="0"/>
    <x v="3"/>
    <x v="888"/>
    <n v="1243"/>
    <x v="0"/>
    <x v="0"/>
    <x v="1"/>
    <s v="Yes"/>
    <s v="Y"/>
    <n v="6"/>
    <n v="-2"/>
    <n v="0"/>
    <n v="35"/>
    <n v="0"/>
    <m/>
    <n v="0"/>
    <n v="1"/>
    <n v="1212"/>
    <n v="8"/>
    <x v="0"/>
    <n v="1"/>
    <n v="3"/>
    <n v="78"/>
    <n v="2"/>
    <n v="3"/>
    <n v="2"/>
    <n v="10377"/>
    <n v="13755"/>
    <n v="4"/>
    <n v="11"/>
    <n v="3"/>
    <n v="2"/>
    <n v="80"/>
    <n v="1"/>
    <n v="16"/>
    <n v="2"/>
    <n v="13"/>
    <n v="2"/>
    <n v="4"/>
    <n v="12"/>
  </r>
  <r>
    <x v="1"/>
    <s v="Travel_Rarely"/>
    <x v="2"/>
    <s v="Current Employees"/>
    <x v="1"/>
    <x v="0"/>
    <x v="889"/>
    <n v="1244"/>
    <x v="1"/>
    <x v="1"/>
    <x v="1"/>
    <s v="Yes"/>
    <s v="Y"/>
    <n v="3"/>
    <n v="-2"/>
    <n v="0"/>
    <n v="27"/>
    <n v="0"/>
    <m/>
    <n v="0"/>
    <n v="1"/>
    <n v="1103"/>
    <n v="14"/>
    <x v="3"/>
    <n v="1"/>
    <n v="1"/>
    <n v="42"/>
    <n v="3"/>
    <n v="1"/>
    <n v="1"/>
    <n v="2235"/>
    <n v="14377"/>
    <n v="1"/>
    <n v="14"/>
    <n v="3"/>
    <n v="4"/>
    <n v="80"/>
    <n v="2"/>
    <n v="9"/>
    <n v="2"/>
    <n v="9"/>
    <n v="7"/>
    <n v="6"/>
    <n v="8"/>
  </r>
  <r>
    <x v="1"/>
    <s v="Travel_Frequently"/>
    <x v="1"/>
    <s v="Current Employees"/>
    <x v="1"/>
    <x v="0"/>
    <x v="890"/>
    <n v="1245"/>
    <x v="0"/>
    <x v="3"/>
    <x v="2"/>
    <s v="No"/>
    <s v="Y"/>
    <n v="2"/>
    <n v="-2"/>
    <n v="0"/>
    <n v="54"/>
    <n v="0"/>
    <m/>
    <n v="0"/>
    <n v="1"/>
    <n v="966"/>
    <n v="1"/>
    <x v="2"/>
    <n v="1"/>
    <n v="4"/>
    <n v="53"/>
    <n v="3"/>
    <n v="3"/>
    <n v="1"/>
    <n v="10502"/>
    <n v="9659"/>
    <n v="7"/>
    <n v="17"/>
    <n v="3"/>
    <n v="1"/>
    <n v="80"/>
    <n v="1"/>
    <n v="33"/>
    <n v="1"/>
    <n v="5"/>
    <n v="4"/>
    <n v="1"/>
    <n v="4"/>
  </r>
  <r>
    <x v="1"/>
    <s v="Travel_Rarely"/>
    <x v="0"/>
    <s v="Current Employees"/>
    <x v="1"/>
    <x v="0"/>
    <x v="891"/>
    <n v="1246"/>
    <x v="0"/>
    <x v="1"/>
    <x v="1"/>
    <s v="No"/>
    <s v="Y"/>
    <n v="5"/>
    <n v="-2"/>
    <n v="0"/>
    <n v="44"/>
    <n v="0"/>
    <m/>
    <n v="0"/>
    <n v="1"/>
    <n v="1117"/>
    <n v="2"/>
    <x v="1"/>
    <n v="1"/>
    <n v="1"/>
    <n v="72"/>
    <n v="4"/>
    <n v="1"/>
    <n v="1"/>
    <n v="2011"/>
    <n v="19982"/>
    <n v="1"/>
    <n v="13"/>
    <n v="3"/>
    <n v="4"/>
    <n v="80"/>
    <n v="1"/>
    <n v="10"/>
    <n v="3"/>
    <n v="10"/>
    <n v="5"/>
    <n v="7"/>
    <n v="7"/>
  </r>
  <r>
    <x v="0"/>
    <s v="Non-Travel"/>
    <x v="4"/>
    <s v="Ex-Employees"/>
    <x v="1"/>
    <x v="2"/>
    <x v="892"/>
    <n v="1248"/>
    <x v="0"/>
    <x v="1"/>
    <x v="0"/>
    <s v="Yes"/>
    <s v="Y"/>
    <n v="2"/>
    <n v="-2"/>
    <n v="0"/>
    <n v="19"/>
    <n v="1"/>
    <n v="1"/>
    <n v="1"/>
    <n v="0"/>
    <n v="504"/>
    <n v="10"/>
    <x v="3"/>
    <n v="1"/>
    <n v="1"/>
    <n v="96"/>
    <n v="2"/>
    <n v="1"/>
    <n v="2"/>
    <n v="1859"/>
    <n v="6148"/>
    <n v="1"/>
    <n v="25"/>
    <n v="4"/>
    <n v="2"/>
    <n v="80"/>
    <n v="0"/>
    <n v="1"/>
    <n v="4"/>
    <n v="1"/>
    <n v="1"/>
    <n v="0"/>
    <n v="0"/>
  </r>
  <r>
    <x v="1"/>
    <s v="Travel_Rarely"/>
    <x v="2"/>
    <s v="Current Employees"/>
    <x v="1"/>
    <x v="0"/>
    <x v="893"/>
    <n v="1249"/>
    <x v="0"/>
    <x v="1"/>
    <x v="2"/>
    <s v="No"/>
    <s v="Y"/>
    <n v="5"/>
    <n v="-2"/>
    <n v="0"/>
    <n v="29"/>
    <n v="0"/>
    <m/>
    <n v="0"/>
    <n v="1"/>
    <n v="1010"/>
    <n v="1"/>
    <x v="3"/>
    <n v="1"/>
    <n v="1"/>
    <n v="97"/>
    <n v="3"/>
    <n v="1"/>
    <n v="1"/>
    <n v="3760"/>
    <n v="5598"/>
    <n v="1"/>
    <n v="15"/>
    <n v="3"/>
    <n v="1"/>
    <n v="80"/>
    <n v="3"/>
    <n v="3"/>
    <n v="3"/>
    <n v="3"/>
    <n v="2"/>
    <n v="1"/>
    <n v="2"/>
  </r>
  <r>
    <x v="1"/>
    <s v="Travel_Rarely"/>
    <x v="1"/>
    <s v="Current Employees"/>
    <x v="1"/>
    <x v="0"/>
    <x v="894"/>
    <n v="1250"/>
    <x v="1"/>
    <x v="7"/>
    <x v="1"/>
    <s v="No"/>
    <s v="Y"/>
    <n v="2"/>
    <n v="-2"/>
    <n v="0"/>
    <n v="54"/>
    <n v="0"/>
    <m/>
    <n v="0"/>
    <n v="1"/>
    <n v="685"/>
    <n v="3"/>
    <x v="3"/>
    <n v="1"/>
    <n v="4"/>
    <n v="85"/>
    <n v="3"/>
    <n v="4"/>
    <n v="1"/>
    <n v="17779"/>
    <n v="23474"/>
    <n v="3"/>
    <n v="14"/>
    <n v="3"/>
    <n v="1"/>
    <n v="80"/>
    <n v="0"/>
    <n v="36"/>
    <n v="3"/>
    <n v="10"/>
    <n v="9"/>
    <n v="0"/>
    <n v="9"/>
  </r>
  <r>
    <x v="1"/>
    <s v="Travel_Rarely"/>
    <x v="2"/>
    <s v="Current Employees"/>
    <x v="1"/>
    <x v="2"/>
    <x v="895"/>
    <n v="1251"/>
    <x v="1"/>
    <x v="4"/>
    <x v="1"/>
    <s v="Yes"/>
    <s v="Y"/>
    <n v="2"/>
    <n v="-2"/>
    <n v="0"/>
    <n v="31"/>
    <n v="0"/>
    <m/>
    <n v="0"/>
    <n v="1"/>
    <n v="1332"/>
    <n v="11"/>
    <x v="0"/>
    <n v="1"/>
    <n v="3"/>
    <n v="80"/>
    <n v="3"/>
    <n v="2"/>
    <n v="3"/>
    <n v="6833"/>
    <n v="17089"/>
    <n v="1"/>
    <n v="12"/>
    <n v="3"/>
    <n v="4"/>
    <n v="80"/>
    <n v="0"/>
    <n v="6"/>
    <n v="2"/>
    <n v="6"/>
    <n v="5"/>
    <n v="0"/>
    <n v="1"/>
  </r>
  <r>
    <x v="1"/>
    <s v="Travel_Rarely"/>
    <x v="2"/>
    <s v="Current Employees"/>
    <x v="1"/>
    <x v="2"/>
    <x v="896"/>
    <n v="1252"/>
    <x v="0"/>
    <x v="4"/>
    <x v="0"/>
    <s v="No"/>
    <s v="Y"/>
    <n v="2"/>
    <n v="-2"/>
    <n v="0"/>
    <n v="31"/>
    <n v="0"/>
    <m/>
    <n v="0"/>
    <n v="1"/>
    <n v="1062"/>
    <n v="24"/>
    <x v="3"/>
    <n v="1"/>
    <n v="3"/>
    <n v="96"/>
    <n v="2"/>
    <n v="2"/>
    <n v="3"/>
    <n v="6812"/>
    <n v="17198"/>
    <n v="1"/>
    <n v="19"/>
    <n v="3"/>
    <n v="2"/>
    <n v="80"/>
    <n v="0"/>
    <n v="10"/>
    <n v="3"/>
    <n v="10"/>
    <n v="9"/>
    <n v="1"/>
    <n v="8"/>
  </r>
  <r>
    <x v="1"/>
    <s v="Travel_Rarely"/>
    <x v="3"/>
    <s v="Current Employees"/>
    <x v="0"/>
    <x v="0"/>
    <x v="897"/>
    <n v="1254"/>
    <x v="0"/>
    <x v="0"/>
    <x v="0"/>
    <s v="No"/>
    <s v="Y"/>
    <n v="2"/>
    <n v="-2"/>
    <n v="0"/>
    <n v="59"/>
    <n v="0"/>
    <m/>
    <n v="0"/>
    <n v="1"/>
    <n v="326"/>
    <n v="3"/>
    <x v="3"/>
    <n v="1"/>
    <n v="3"/>
    <n v="48"/>
    <n v="2"/>
    <n v="2"/>
    <n v="1"/>
    <n v="5171"/>
    <n v="16490"/>
    <n v="5"/>
    <n v="17"/>
    <n v="3"/>
    <n v="4"/>
    <n v="80"/>
    <n v="0"/>
    <n v="13"/>
    <n v="3"/>
    <n v="6"/>
    <n v="1"/>
    <n v="0"/>
    <n v="5"/>
  </r>
  <r>
    <x v="1"/>
    <s v="Travel_Rarely"/>
    <x v="0"/>
    <s v="Current Employees"/>
    <x v="1"/>
    <x v="0"/>
    <x v="898"/>
    <n v="1255"/>
    <x v="1"/>
    <x v="7"/>
    <x v="1"/>
    <s v="No"/>
    <s v="Y"/>
    <n v="2"/>
    <n v="-2"/>
    <n v="0"/>
    <n v="43"/>
    <n v="0"/>
    <m/>
    <n v="0"/>
    <n v="1"/>
    <n v="920"/>
    <n v="3"/>
    <x v="3"/>
    <n v="1"/>
    <n v="3"/>
    <n v="96"/>
    <n v="1"/>
    <n v="5"/>
    <n v="1"/>
    <n v="19740"/>
    <n v="18625"/>
    <n v="3"/>
    <n v="14"/>
    <n v="3"/>
    <n v="2"/>
    <n v="80"/>
    <n v="1"/>
    <n v="25"/>
    <n v="3"/>
    <n v="8"/>
    <n v="7"/>
    <n v="0"/>
    <n v="7"/>
  </r>
  <r>
    <x v="1"/>
    <s v="Travel_Rarely"/>
    <x v="1"/>
    <s v="Current Employees"/>
    <x v="1"/>
    <x v="2"/>
    <x v="899"/>
    <n v="1256"/>
    <x v="1"/>
    <x v="5"/>
    <x v="1"/>
    <s v="No"/>
    <s v="Y"/>
    <n v="2"/>
    <n v="-2"/>
    <n v="0"/>
    <n v="49"/>
    <n v="0"/>
    <m/>
    <n v="0"/>
    <n v="1"/>
    <n v="1098"/>
    <n v="4"/>
    <x v="0"/>
    <n v="1"/>
    <n v="1"/>
    <n v="85"/>
    <n v="2"/>
    <n v="5"/>
    <n v="3"/>
    <n v="18711"/>
    <n v="12124"/>
    <n v="2"/>
    <n v="13"/>
    <n v="3"/>
    <n v="3"/>
    <n v="80"/>
    <n v="1"/>
    <n v="23"/>
    <n v="4"/>
    <n v="1"/>
    <n v="0"/>
    <n v="0"/>
    <n v="0"/>
  </r>
  <r>
    <x v="1"/>
    <s v="Travel_Frequently"/>
    <x v="0"/>
    <s v="Current Employees"/>
    <x v="1"/>
    <x v="4"/>
    <x v="900"/>
    <n v="1257"/>
    <x v="1"/>
    <x v="1"/>
    <x v="1"/>
    <s v="No"/>
    <s v="Y"/>
    <n v="2"/>
    <n v="-2"/>
    <n v="0"/>
    <n v="36"/>
    <n v="0"/>
    <m/>
    <n v="0"/>
    <n v="1"/>
    <n v="469"/>
    <n v="3"/>
    <x v="3"/>
    <n v="1"/>
    <n v="4"/>
    <n v="46"/>
    <n v="3"/>
    <n v="1"/>
    <n v="4"/>
    <n v="3692"/>
    <n v="9256"/>
    <n v="1"/>
    <n v="12"/>
    <n v="3"/>
    <n v="3"/>
    <n v="80"/>
    <n v="0"/>
    <n v="12"/>
    <n v="2"/>
    <n v="11"/>
    <n v="10"/>
    <n v="0"/>
    <n v="7"/>
  </r>
  <r>
    <x v="1"/>
    <s v="Travel_Rarely"/>
    <x v="1"/>
    <s v="Current Employees"/>
    <x v="1"/>
    <x v="4"/>
    <x v="901"/>
    <n v="1258"/>
    <x v="1"/>
    <x v="2"/>
    <x v="0"/>
    <s v="No"/>
    <s v="Y"/>
    <n v="4"/>
    <n v="-2"/>
    <n v="0"/>
    <n v="48"/>
    <n v="0"/>
    <m/>
    <n v="0"/>
    <n v="1"/>
    <n v="969"/>
    <n v="2"/>
    <x v="0"/>
    <n v="1"/>
    <n v="4"/>
    <n v="76"/>
    <n v="4"/>
    <n v="1"/>
    <n v="4"/>
    <n v="2559"/>
    <n v="16620"/>
    <n v="5"/>
    <n v="11"/>
    <n v="3"/>
    <n v="3"/>
    <n v="80"/>
    <n v="0"/>
    <n v="7"/>
    <n v="2"/>
    <n v="1"/>
    <n v="0"/>
    <n v="0"/>
    <n v="0"/>
  </r>
  <r>
    <x v="1"/>
    <s v="Travel_Rarely"/>
    <x v="2"/>
    <s v="Current Employees"/>
    <x v="1"/>
    <x v="0"/>
    <x v="902"/>
    <n v="1259"/>
    <x v="1"/>
    <x v="1"/>
    <x v="2"/>
    <s v="No"/>
    <s v="Y"/>
    <n v="2"/>
    <n v="-2"/>
    <n v="0"/>
    <n v="27"/>
    <n v="0"/>
    <m/>
    <n v="0"/>
    <n v="1"/>
    <n v="1167"/>
    <n v="4"/>
    <x v="0"/>
    <n v="1"/>
    <n v="1"/>
    <n v="76"/>
    <n v="3"/>
    <n v="1"/>
    <n v="1"/>
    <n v="2517"/>
    <n v="3208"/>
    <n v="1"/>
    <n v="11"/>
    <n v="3"/>
    <n v="2"/>
    <n v="80"/>
    <n v="3"/>
    <n v="5"/>
    <n v="3"/>
    <n v="5"/>
    <n v="3"/>
    <n v="0"/>
    <n v="3"/>
  </r>
  <r>
    <x v="1"/>
    <s v="Travel_Rarely"/>
    <x v="2"/>
    <s v="Current Employees"/>
    <x v="1"/>
    <x v="0"/>
    <x v="903"/>
    <n v="1260"/>
    <x v="1"/>
    <x v="4"/>
    <x v="2"/>
    <s v="Yes"/>
    <s v="Y"/>
    <n v="2"/>
    <n v="-2"/>
    <n v="0"/>
    <n v="29"/>
    <n v="0"/>
    <m/>
    <n v="0"/>
    <n v="1"/>
    <n v="1329"/>
    <n v="7"/>
    <x v="3"/>
    <n v="1"/>
    <n v="3"/>
    <n v="82"/>
    <n v="3"/>
    <n v="2"/>
    <n v="1"/>
    <n v="6623"/>
    <n v="4204"/>
    <n v="1"/>
    <n v="11"/>
    <n v="3"/>
    <n v="2"/>
    <n v="80"/>
    <n v="2"/>
    <n v="6"/>
    <n v="3"/>
    <n v="6"/>
    <n v="0"/>
    <n v="1"/>
    <n v="0"/>
  </r>
  <r>
    <x v="1"/>
    <s v="Travel_Rarely"/>
    <x v="1"/>
    <s v="Current Employees"/>
    <x v="1"/>
    <x v="0"/>
    <x v="904"/>
    <n v="1263"/>
    <x v="1"/>
    <x v="7"/>
    <x v="0"/>
    <s v="No"/>
    <s v="Y"/>
    <n v="3"/>
    <n v="-2"/>
    <n v="0"/>
    <n v="48"/>
    <n v="0"/>
    <m/>
    <n v="0"/>
    <n v="1"/>
    <n v="715"/>
    <n v="1"/>
    <x v="3"/>
    <n v="1"/>
    <n v="4"/>
    <n v="76"/>
    <n v="2"/>
    <n v="5"/>
    <n v="1"/>
    <n v="18265"/>
    <n v="8733"/>
    <n v="6"/>
    <n v="12"/>
    <n v="3"/>
    <n v="3"/>
    <n v="80"/>
    <n v="0"/>
    <n v="25"/>
    <n v="4"/>
    <n v="1"/>
    <n v="0"/>
    <n v="0"/>
    <n v="0"/>
  </r>
  <r>
    <x v="1"/>
    <s v="Travel_Rarely"/>
    <x v="2"/>
    <s v="Current Employees"/>
    <x v="1"/>
    <x v="0"/>
    <x v="905"/>
    <n v="1264"/>
    <x v="0"/>
    <x v="7"/>
    <x v="2"/>
    <s v="No"/>
    <s v="Y"/>
    <n v="2"/>
    <n v="-2"/>
    <n v="0"/>
    <n v="29"/>
    <n v="0"/>
    <m/>
    <n v="0"/>
    <n v="1"/>
    <n v="694"/>
    <n v="1"/>
    <x v="3"/>
    <n v="1"/>
    <n v="4"/>
    <n v="87"/>
    <n v="2"/>
    <n v="4"/>
    <n v="1"/>
    <n v="16124"/>
    <n v="3423"/>
    <n v="3"/>
    <n v="14"/>
    <n v="3"/>
    <n v="2"/>
    <n v="80"/>
    <n v="2"/>
    <n v="9"/>
    <n v="2"/>
    <n v="7"/>
    <n v="7"/>
    <n v="1"/>
    <n v="7"/>
  </r>
  <r>
    <x v="1"/>
    <s v="Travel_Rarely"/>
    <x v="2"/>
    <s v="Current Employees"/>
    <x v="1"/>
    <x v="4"/>
    <x v="906"/>
    <n v="1265"/>
    <x v="0"/>
    <x v="1"/>
    <x v="1"/>
    <s v="No"/>
    <s v="Y"/>
    <n v="5"/>
    <n v="-2"/>
    <n v="0"/>
    <n v="34"/>
    <n v="0"/>
    <m/>
    <n v="0"/>
    <n v="1"/>
    <n v="1320"/>
    <n v="20"/>
    <x v="3"/>
    <n v="1"/>
    <n v="4"/>
    <n v="89"/>
    <n v="4"/>
    <n v="1"/>
    <n v="4"/>
    <n v="2585"/>
    <n v="21643"/>
    <n v="0"/>
    <n v="17"/>
    <n v="3"/>
    <n v="4"/>
    <n v="80"/>
    <n v="0"/>
    <n v="2"/>
    <n v="2"/>
    <n v="1"/>
    <n v="0"/>
    <n v="0"/>
    <n v="0"/>
  </r>
  <r>
    <x v="1"/>
    <s v="Travel_Rarely"/>
    <x v="0"/>
    <s v="Current Employees"/>
    <x v="0"/>
    <x v="3"/>
    <x v="907"/>
    <n v="1267"/>
    <x v="1"/>
    <x v="5"/>
    <x v="1"/>
    <s v="No"/>
    <s v="Y"/>
    <n v="5"/>
    <n v="-2"/>
    <n v="0"/>
    <n v="44"/>
    <n v="0"/>
    <m/>
    <n v="0"/>
    <n v="1"/>
    <n v="1099"/>
    <n v="5"/>
    <x v="3"/>
    <n v="1"/>
    <n v="2"/>
    <n v="88"/>
    <n v="3"/>
    <n v="5"/>
    <n v="2"/>
    <n v="18213"/>
    <n v="8751"/>
    <n v="7"/>
    <n v="11"/>
    <n v="3"/>
    <n v="3"/>
    <n v="80"/>
    <n v="1"/>
    <n v="26"/>
    <n v="3"/>
    <n v="22"/>
    <n v="9"/>
    <n v="3"/>
    <n v="10"/>
  </r>
  <r>
    <x v="1"/>
    <s v="Travel_Rarely"/>
    <x v="2"/>
    <s v="Current Employees"/>
    <x v="0"/>
    <x v="3"/>
    <x v="908"/>
    <n v="1268"/>
    <x v="1"/>
    <x v="0"/>
    <x v="2"/>
    <s v="Yes"/>
    <s v="Y"/>
    <n v="3"/>
    <n v="-2"/>
    <n v="0"/>
    <n v="33"/>
    <n v="0"/>
    <m/>
    <n v="0"/>
    <n v="1"/>
    <n v="536"/>
    <n v="10"/>
    <x v="4"/>
    <n v="1"/>
    <n v="4"/>
    <n v="82"/>
    <n v="4"/>
    <n v="3"/>
    <n v="2"/>
    <n v="8380"/>
    <n v="21708"/>
    <n v="0"/>
    <n v="14"/>
    <n v="3"/>
    <n v="4"/>
    <n v="80"/>
    <n v="2"/>
    <n v="10"/>
    <n v="3"/>
    <n v="9"/>
    <n v="8"/>
    <n v="0"/>
    <n v="8"/>
  </r>
  <r>
    <x v="1"/>
    <s v="Travel_Rarely"/>
    <x v="4"/>
    <s v="Current Employees"/>
    <x v="1"/>
    <x v="0"/>
    <x v="909"/>
    <n v="1269"/>
    <x v="0"/>
    <x v="1"/>
    <x v="0"/>
    <s v="Yes"/>
    <s v="Y"/>
    <n v="2"/>
    <n v="-2"/>
    <n v="0"/>
    <n v="19"/>
    <n v="0"/>
    <m/>
    <n v="0"/>
    <n v="1"/>
    <n v="265"/>
    <n v="25"/>
    <x v="3"/>
    <n v="1"/>
    <n v="2"/>
    <n v="57"/>
    <n v="4"/>
    <n v="1"/>
    <n v="1"/>
    <n v="2994"/>
    <n v="21221"/>
    <n v="1"/>
    <n v="12"/>
    <n v="3"/>
    <n v="4"/>
    <n v="80"/>
    <n v="0"/>
    <n v="1"/>
    <n v="3"/>
    <n v="1"/>
    <n v="0"/>
    <n v="0"/>
    <n v="1"/>
  </r>
  <r>
    <x v="1"/>
    <s v="Travel_Rarely"/>
    <x v="4"/>
    <s v="Current Employees"/>
    <x v="1"/>
    <x v="0"/>
    <x v="910"/>
    <n v="1270"/>
    <x v="1"/>
    <x v="1"/>
    <x v="1"/>
    <s v="No"/>
    <s v="Y"/>
    <n v="2"/>
    <n v="-2"/>
    <n v="0"/>
    <n v="23"/>
    <n v="0"/>
    <m/>
    <n v="0"/>
    <n v="1"/>
    <n v="373"/>
    <n v="1"/>
    <x v="0"/>
    <n v="1"/>
    <n v="4"/>
    <n v="47"/>
    <n v="3"/>
    <n v="1"/>
    <n v="1"/>
    <n v="1223"/>
    <n v="16901"/>
    <n v="1"/>
    <n v="22"/>
    <n v="4"/>
    <n v="4"/>
    <n v="80"/>
    <n v="1"/>
    <n v="1"/>
    <n v="3"/>
    <n v="1"/>
    <n v="0"/>
    <n v="0"/>
    <n v="1"/>
  </r>
  <r>
    <x v="0"/>
    <s v="Travel_Frequently"/>
    <x v="2"/>
    <s v="Ex-Employees"/>
    <x v="0"/>
    <x v="0"/>
    <x v="911"/>
    <n v="1273"/>
    <x v="1"/>
    <x v="6"/>
    <x v="0"/>
    <s v="Yes"/>
    <s v="Y"/>
    <n v="4"/>
    <n v="-2"/>
    <n v="0"/>
    <n v="25"/>
    <n v="1"/>
    <n v="1"/>
    <n v="1"/>
    <n v="0"/>
    <n v="599"/>
    <n v="24"/>
    <x v="1"/>
    <n v="1"/>
    <n v="3"/>
    <n v="73"/>
    <n v="1"/>
    <n v="1"/>
    <n v="1"/>
    <n v="1118"/>
    <n v="8040"/>
    <n v="1"/>
    <n v="14"/>
    <n v="3"/>
    <n v="4"/>
    <n v="80"/>
    <n v="0"/>
    <n v="1"/>
    <n v="3"/>
    <n v="1"/>
    <n v="0"/>
    <n v="1"/>
    <n v="0"/>
  </r>
  <r>
    <x v="1"/>
    <s v="Travel_Rarely"/>
    <x v="2"/>
    <s v="Current Employees"/>
    <x v="1"/>
    <x v="0"/>
    <x v="912"/>
    <n v="1275"/>
    <x v="1"/>
    <x v="1"/>
    <x v="0"/>
    <s v="Yes"/>
    <s v="Y"/>
    <n v="2"/>
    <n v="-2"/>
    <n v="0"/>
    <n v="26"/>
    <n v="0"/>
    <m/>
    <n v="0"/>
    <n v="1"/>
    <n v="583"/>
    <n v="4"/>
    <x v="0"/>
    <n v="1"/>
    <n v="3"/>
    <n v="53"/>
    <n v="3"/>
    <n v="1"/>
    <n v="1"/>
    <n v="2875"/>
    <n v="9973"/>
    <n v="1"/>
    <n v="20"/>
    <n v="4"/>
    <n v="2"/>
    <n v="80"/>
    <n v="0"/>
    <n v="8"/>
    <n v="2"/>
    <n v="8"/>
    <n v="5"/>
    <n v="2"/>
    <n v="2"/>
  </r>
  <r>
    <x v="0"/>
    <s v="Travel_Rarely"/>
    <x v="1"/>
    <s v="Ex-Employees"/>
    <x v="0"/>
    <x v="3"/>
    <x v="913"/>
    <n v="1277"/>
    <x v="0"/>
    <x v="5"/>
    <x v="0"/>
    <s v="Yes"/>
    <s v="Y"/>
    <n v="2"/>
    <n v="-2"/>
    <n v="0"/>
    <n v="45"/>
    <n v="1"/>
    <n v="1"/>
    <n v="1"/>
    <n v="0"/>
    <n v="1449"/>
    <n v="2"/>
    <x v="3"/>
    <n v="1"/>
    <n v="1"/>
    <n v="94"/>
    <n v="1"/>
    <n v="5"/>
    <n v="2"/>
    <n v="18824"/>
    <n v="2493"/>
    <n v="2"/>
    <n v="16"/>
    <n v="3"/>
    <n v="1"/>
    <n v="80"/>
    <n v="0"/>
    <n v="26"/>
    <n v="3"/>
    <n v="24"/>
    <n v="10"/>
    <n v="1"/>
    <n v="11"/>
  </r>
  <r>
    <x v="1"/>
    <s v="Non-Travel"/>
    <x v="3"/>
    <s v="Current Employees"/>
    <x v="1"/>
    <x v="2"/>
    <x v="914"/>
    <n v="1278"/>
    <x v="1"/>
    <x v="4"/>
    <x v="2"/>
    <s v="Yes"/>
    <s v="Y"/>
    <n v="3"/>
    <n v="-2"/>
    <n v="0"/>
    <n v="55"/>
    <n v="0"/>
    <m/>
    <n v="0"/>
    <n v="1"/>
    <n v="177"/>
    <n v="8"/>
    <x v="1"/>
    <n v="1"/>
    <n v="4"/>
    <n v="37"/>
    <n v="2"/>
    <n v="4"/>
    <n v="2"/>
    <n v="13577"/>
    <n v="25592"/>
    <n v="1"/>
    <n v="15"/>
    <n v="3"/>
    <n v="4"/>
    <n v="80"/>
    <n v="1"/>
    <n v="34"/>
    <n v="3"/>
    <n v="33"/>
    <n v="9"/>
    <n v="15"/>
    <n v="0"/>
  </r>
  <r>
    <x v="0"/>
    <s v="Travel_Frequently"/>
    <x v="4"/>
    <s v="Ex-Employees"/>
    <x v="1"/>
    <x v="0"/>
    <x v="915"/>
    <n v="1279"/>
    <x v="0"/>
    <x v="2"/>
    <x v="0"/>
    <s v="No"/>
    <s v="Y"/>
    <n v="2"/>
    <n v="-2"/>
    <n v="0"/>
    <n v="21"/>
    <n v="1"/>
    <n v="1"/>
    <n v="1"/>
    <n v="0"/>
    <n v="251"/>
    <n v="10"/>
    <x v="0"/>
    <n v="1"/>
    <n v="1"/>
    <n v="45"/>
    <n v="2"/>
    <n v="1"/>
    <n v="1"/>
    <n v="2625"/>
    <n v="25308"/>
    <n v="1"/>
    <n v="20"/>
    <n v="4"/>
    <n v="3"/>
    <n v="80"/>
    <n v="0"/>
    <n v="2"/>
    <n v="1"/>
    <n v="2"/>
    <n v="2"/>
    <n v="2"/>
    <n v="2"/>
  </r>
  <r>
    <x v="1"/>
    <s v="Travel_Rarely"/>
    <x v="1"/>
    <s v="Current Employees"/>
    <x v="0"/>
    <x v="3"/>
    <x v="916"/>
    <n v="1280"/>
    <x v="0"/>
    <x v="5"/>
    <x v="1"/>
    <s v="No"/>
    <s v="Y"/>
    <n v="2"/>
    <n v="-2"/>
    <n v="0"/>
    <n v="46"/>
    <n v="0"/>
    <m/>
    <n v="0"/>
    <n v="1"/>
    <n v="168"/>
    <n v="4"/>
    <x v="0"/>
    <n v="1"/>
    <n v="4"/>
    <n v="33"/>
    <n v="2"/>
    <n v="5"/>
    <n v="2"/>
    <n v="18789"/>
    <n v="9946"/>
    <n v="2"/>
    <n v="14"/>
    <n v="3"/>
    <n v="3"/>
    <n v="80"/>
    <n v="1"/>
    <n v="26"/>
    <n v="3"/>
    <n v="11"/>
    <n v="4"/>
    <n v="0"/>
    <n v="8"/>
  </r>
  <r>
    <x v="1"/>
    <s v="Travel_Rarely"/>
    <x v="2"/>
    <s v="Current Employees"/>
    <x v="0"/>
    <x v="3"/>
    <x v="917"/>
    <n v="1281"/>
    <x v="0"/>
    <x v="0"/>
    <x v="0"/>
    <s v="Yes"/>
    <s v="Y"/>
    <n v="3"/>
    <n v="-2"/>
    <n v="0"/>
    <n v="34"/>
    <n v="0"/>
    <m/>
    <n v="0"/>
    <n v="1"/>
    <n v="131"/>
    <n v="2"/>
    <x v="3"/>
    <n v="1"/>
    <n v="3"/>
    <n v="86"/>
    <n v="3"/>
    <n v="2"/>
    <n v="2"/>
    <n v="4538"/>
    <n v="6039"/>
    <n v="0"/>
    <n v="12"/>
    <n v="3"/>
    <n v="4"/>
    <n v="80"/>
    <n v="0"/>
    <n v="4"/>
    <n v="3"/>
    <n v="3"/>
    <n v="2"/>
    <n v="0"/>
    <n v="2"/>
  </r>
  <r>
    <x v="1"/>
    <s v="Travel_Frequently"/>
    <x v="1"/>
    <s v="Current Employees"/>
    <x v="0"/>
    <x v="0"/>
    <x v="918"/>
    <n v="1282"/>
    <x v="1"/>
    <x v="5"/>
    <x v="2"/>
    <s v="Yes"/>
    <s v="Y"/>
    <n v="5"/>
    <n v="-2"/>
    <n v="0"/>
    <n v="51"/>
    <n v="0"/>
    <m/>
    <n v="0"/>
    <n v="1"/>
    <n v="237"/>
    <n v="9"/>
    <x v="3"/>
    <n v="1"/>
    <n v="4"/>
    <n v="83"/>
    <n v="3"/>
    <n v="5"/>
    <n v="1"/>
    <n v="19847"/>
    <n v="19196"/>
    <n v="4"/>
    <n v="24"/>
    <n v="4"/>
    <n v="1"/>
    <n v="80"/>
    <n v="1"/>
    <n v="31"/>
    <n v="2"/>
    <n v="29"/>
    <n v="10"/>
    <n v="11"/>
    <n v="10"/>
  </r>
  <r>
    <x v="1"/>
    <s v="Travel_Rarely"/>
    <x v="3"/>
    <s v="Current Employees"/>
    <x v="1"/>
    <x v="2"/>
    <x v="919"/>
    <n v="1283"/>
    <x v="1"/>
    <x v="3"/>
    <x v="0"/>
    <s v="No"/>
    <s v="Y"/>
    <n v="6"/>
    <n v="-2"/>
    <n v="0"/>
    <n v="59"/>
    <n v="0"/>
    <m/>
    <n v="0"/>
    <n v="1"/>
    <n v="1429"/>
    <n v="18"/>
    <x v="2"/>
    <n v="1"/>
    <n v="4"/>
    <n v="67"/>
    <n v="3"/>
    <n v="3"/>
    <n v="4"/>
    <n v="10512"/>
    <n v="20002"/>
    <n v="6"/>
    <n v="12"/>
    <n v="3"/>
    <n v="4"/>
    <n v="80"/>
    <n v="0"/>
    <n v="25"/>
    <n v="2"/>
    <n v="9"/>
    <n v="7"/>
    <n v="5"/>
    <n v="4"/>
  </r>
  <r>
    <x v="1"/>
    <s v="Travel_Frequently"/>
    <x v="2"/>
    <s v="Current Employees"/>
    <x v="1"/>
    <x v="2"/>
    <x v="920"/>
    <n v="1285"/>
    <x v="0"/>
    <x v="2"/>
    <x v="2"/>
    <s v="No"/>
    <s v="Y"/>
    <n v="2"/>
    <n v="-2"/>
    <n v="0"/>
    <n v="34"/>
    <n v="0"/>
    <m/>
    <n v="0"/>
    <n v="1"/>
    <n v="135"/>
    <n v="19"/>
    <x v="3"/>
    <n v="1"/>
    <n v="3"/>
    <n v="46"/>
    <n v="3"/>
    <n v="2"/>
    <n v="2"/>
    <n v="4444"/>
    <n v="22534"/>
    <n v="4"/>
    <n v="13"/>
    <n v="3"/>
    <n v="3"/>
    <n v="80"/>
    <n v="2"/>
    <n v="15"/>
    <n v="4"/>
    <n v="11"/>
    <n v="8"/>
    <n v="5"/>
    <n v="10"/>
  </r>
  <r>
    <x v="1"/>
    <s v="Travel_Frequently"/>
    <x v="2"/>
    <s v="Current Employees"/>
    <x v="1"/>
    <x v="2"/>
    <x v="921"/>
    <n v="1286"/>
    <x v="1"/>
    <x v="2"/>
    <x v="0"/>
    <s v="Yes"/>
    <s v="Y"/>
    <n v="2"/>
    <n v="-2"/>
    <n v="0"/>
    <n v="28"/>
    <n v="0"/>
    <m/>
    <n v="0"/>
    <n v="1"/>
    <n v="791"/>
    <n v="1"/>
    <x v="2"/>
    <n v="1"/>
    <n v="4"/>
    <n v="44"/>
    <n v="3"/>
    <n v="1"/>
    <n v="3"/>
    <n v="2154"/>
    <n v="6842"/>
    <n v="0"/>
    <n v="11"/>
    <n v="3"/>
    <n v="3"/>
    <n v="80"/>
    <n v="0"/>
    <n v="5"/>
    <n v="2"/>
    <n v="4"/>
    <n v="2"/>
    <n v="0"/>
    <n v="2"/>
  </r>
  <r>
    <x v="1"/>
    <s v="Travel_Rarely"/>
    <x v="0"/>
    <s v="Current Employees"/>
    <x v="1"/>
    <x v="0"/>
    <x v="922"/>
    <n v="1288"/>
    <x v="1"/>
    <x v="5"/>
    <x v="2"/>
    <s v="No"/>
    <s v="Y"/>
    <n v="4"/>
    <n v="-2"/>
    <n v="0"/>
    <n v="44"/>
    <n v="0"/>
    <m/>
    <n v="0"/>
    <n v="1"/>
    <n v="1199"/>
    <n v="4"/>
    <x v="0"/>
    <n v="1"/>
    <n v="3"/>
    <n v="92"/>
    <n v="4"/>
    <n v="5"/>
    <n v="3"/>
    <n v="19190"/>
    <n v="17477"/>
    <n v="1"/>
    <n v="14"/>
    <n v="3"/>
    <n v="4"/>
    <n v="80"/>
    <n v="2"/>
    <n v="26"/>
    <n v="2"/>
    <n v="25"/>
    <n v="9"/>
    <n v="14"/>
    <n v="13"/>
  </r>
  <r>
    <x v="1"/>
    <s v="Travel_Frequently"/>
    <x v="2"/>
    <s v="Current Employees"/>
    <x v="2"/>
    <x v="0"/>
    <x v="923"/>
    <n v="1289"/>
    <x v="1"/>
    <x v="8"/>
    <x v="1"/>
    <s v="No"/>
    <s v="Y"/>
    <n v="5"/>
    <n v="-2"/>
    <n v="0"/>
    <n v="34"/>
    <n v="0"/>
    <m/>
    <n v="0"/>
    <n v="1"/>
    <n v="648"/>
    <n v="11"/>
    <x v="3"/>
    <n v="1"/>
    <n v="3"/>
    <n v="56"/>
    <n v="2"/>
    <n v="2"/>
    <n v="2"/>
    <n v="4490"/>
    <n v="21833"/>
    <n v="4"/>
    <n v="11"/>
    <n v="3"/>
    <n v="4"/>
    <n v="80"/>
    <n v="2"/>
    <n v="14"/>
    <n v="4"/>
    <n v="10"/>
    <n v="9"/>
    <n v="1"/>
    <n v="8"/>
  </r>
  <r>
    <x v="1"/>
    <s v="Travel_Rarely"/>
    <x v="0"/>
    <s v="Current Employees"/>
    <x v="1"/>
    <x v="0"/>
    <x v="924"/>
    <n v="1291"/>
    <x v="1"/>
    <x v="1"/>
    <x v="1"/>
    <s v="Yes"/>
    <s v="Y"/>
    <n v="3"/>
    <n v="-2"/>
    <n v="0"/>
    <n v="35"/>
    <n v="0"/>
    <m/>
    <n v="0"/>
    <n v="1"/>
    <n v="735"/>
    <n v="6"/>
    <x v="1"/>
    <n v="1"/>
    <n v="3"/>
    <n v="66"/>
    <n v="3"/>
    <n v="1"/>
    <n v="3"/>
    <n v="3506"/>
    <n v="6020"/>
    <n v="0"/>
    <n v="14"/>
    <n v="3"/>
    <n v="4"/>
    <n v="80"/>
    <n v="0"/>
    <n v="4"/>
    <n v="3"/>
    <n v="3"/>
    <n v="2"/>
    <n v="2"/>
    <n v="2"/>
  </r>
  <r>
    <x v="1"/>
    <s v="Travel_Rarely"/>
    <x v="0"/>
    <s v="Current Employees"/>
    <x v="1"/>
    <x v="2"/>
    <x v="925"/>
    <n v="1292"/>
    <x v="0"/>
    <x v="1"/>
    <x v="1"/>
    <s v="Yes"/>
    <s v="Y"/>
    <n v="2"/>
    <n v="-2"/>
    <n v="0"/>
    <n v="42"/>
    <n v="0"/>
    <m/>
    <n v="0"/>
    <n v="1"/>
    <n v="603"/>
    <n v="7"/>
    <x v="2"/>
    <n v="1"/>
    <n v="2"/>
    <n v="78"/>
    <n v="4"/>
    <n v="2"/>
    <n v="2"/>
    <n v="2372"/>
    <n v="5628"/>
    <n v="6"/>
    <n v="16"/>
    <n v="3"/>
    <n v="4"/>
    <n v="80"/>
    <n v="0"/>
    <n v="18"/>
    <n v="3"/>
    <n v="1"/>
    <n v="0"/>
    <n v="0"/>
    <n v="0"/>
  </r>
  <r>
    <x v="1"/>
    <s v="Travel_Rarely"/>
    <x v="0"/>
    <s v="Current Employees"/>
    <x v="0"/>
    <x v="3"/>
    <x v="926"/>
    <n v="1293"/>
    <x v="0"/>
    <x v="0"/>
    <x v="0"/>
    <s v="No"/>
    <s v="Y"/>
    <n v="3"/>
    <n v="-2"/>
    <n v="0"/>
    <n v="43"/>
    <n v="0"/>
    <m/>
    <n v="0"/>
    <n v="1"/>
    <n v="531"/>
    <n v="4"/>
    <x v="2"/>
    <n v="1"/>
    <n v="4"/>
    <n v="56"/>
    <n v="2"/>
    <n v="3"/>
    <n v="2"/>
    <n v="10231"/>
    <n v="20364"/>
    <n v="3"/>
    <n v="14"/>
    <n v="3"/>
    <n v="4"/>
    <n v="80"/>
    <n v="0"/>
    <n v="23"/>
    <n v="4"/>
    <n v="21"/>
    <n v="7"/>
    <n v="15"/>
    <n v="17"/>
  </r>
  <r>
    <x v="1"/>
    <s v="Travel_Rarely"/>
    <x v="0"/>
    <s v="Current Employees"/>
    <x v="1"/>
    <x v="0"/>
    <x v="927"/>
    <n v="1294"/>
    <x v="0"/>
    <x v="3"/>
    <x v="0"/>
    <s v="Yes"/>
    <s v="Y"/>
    <n v="2"/>
    <n v="-2"/>
    <n v="0"/>
    <n v="36"/>
    <n v="0"/>
    <m/>
    <n v="0"/>
    <n v="1"/>
    <n v="429"/>
    <n v="2"/>
    <x v="2"/>
    <n v="1"/>
    <n v="3"/>
    <n v="53"/>
    <n v="3"/>
    <n v="2"/>
    <n v="2"/>
    <n v="5410"/>
    <n v="2323"/>
    <n v="9"/>
    <n v="11"/>
    <n v="3"/>
    <n v="4"/>
    <n v="80"/>
    <n v="0"/>
    <n v="18"/>
    <n v="3"/>
    <n v="16"/>
    <n v="14"/>
    <n v="5"/>
    <n v="12"/>
  </r>
  <r>
    <x v="0"/>
    <s v="Travel_Rarely"/>
    <x v="0"/>
    <s v="Ex-Employees"/>
    <x v="1"/>
    <x v="2"/>
    <x v="928"/>
    <n v="1295"/>
    <x v="0"/>
    <x v="4"/>
    <x v="1"/>
    <s v="No"/>
    <s v="Y"/>
    <n v="2"/>
    <n v="-2"/>
    <n v="0"/>
    <n v="44"/>
    <n v="1"/>
    <n v="1"/>
    <n v="1"/>
    <n v="0"/>
    <n v="621"/>
    <n v="15"/>
    <x v="3"/>
    <n v="1"/>
    <n v="1"/>
    <n v="73"/>
    <n v="3"/>
    <n v="3"/>
    <n v="4"/>
    <n v="7978"/>
    <n v="14075"/>
    <n v="1"/>
    <n v="11"/>
    <n v="3"/>
    <n v="4"/>
    <n v="80"/>
    <n v="1"/>
    <n v="10"/>
    <n v="3"/>
    <n v="10"/>
    <n v="7"/>
    <n v="0"/>
    <n v="5"/>
  </r>
  <r>
    <x v="1"/>
    <s v="Travel_Frequently"/>
    <x v="2"/>
    <s v="Current Employees"/>
    <x v="1"/>
    <x v="0"/>
    <x v="929"/>
    <n v="1296"/>
    <x v="1"/>
    <x v="2"/>
    <x v="1"/>
    <s v="Yes"/>
    <s v="Y"/>
    <n v="2"/>
    <n v="-2"/>
    <n v="0"/>
    <n v="28"/>
    <n v="0"/>
    <m/>
    <n v="0"/>
    <n v="1"/>
    <n v="193"/>
    <n v="2"/>
    <x v="3"/>
    <n v="1"/>
    <n v="4"/>
    <n v="52"/>
    <n v="2"/>
    <n v="1"/>
    <n v="4"/>
    <n v="3867"/>
    <n v="14222"/>
    <n v="1"/>
    <n v="12"/>
    <n v="3"/>
    <n v="2"/>
    <n v="80"/>
    <n v="1"/>
    <n v="2"/>
    <n v="3"/>
    <n v="2"/>
    <n v="2"/>
    <n v="2"/>
    <n v="2"/>
  </r>
  <r>
    <x v="1"/>
    <s v="Travel_Frequently"/>
    <x v="1"/>
    <s v="Current Employees"/>
    <x v="1"/>
    <x v="2"/>
    <x v="930"/>
    <n v="1297"/>
    <x v="0"/>
    <x v="2"/>
    <x v="0"/>
    <s v="No"/>
    <s v="Y"/>
    <n v="6"/>
    <n v="-2"/>
    <n v="0"/>
    <n v="51"/>
    <n v="0"/>
    <m/>
    <n v="0"/>
    <n v="1"/>
    <n v="968"/>
    <n v="6"/>
    <x v="0"/>
    <n v="1"/>
    <n v="2"/>
    <n v="40"/>
    <n v="2"/>
    <n v="1"/>
    <n v="3"/>
    <n v="2838"/>
    <n v="4257"/>
    <n v="0"/>
    <n v="14"/>
    <n v="3"/>
    <n v="2"/>
    <n v="80"/>
    <n v="0"/>
    <n v="8"/>
    <n v="2"/>
    <n v="7"/>
    <n v="0"/>
    <n v="7"/>
    <n v="7"/>
  </r>
  <r>
    <x v="1"/>
    <s v="Non-Travel"/>
    <x v="2"/>
    <s v="Current Employees"/>
    <x v="1"/>
    <x v="2"/>
    <x v="931"/>
    <n v="1298"/>
    <x v="0"/>
    <x v="3"/>
    <x v="0"/>
    <s v="Yes"/>
    <s v="Y"/>
    <n v="3"/>
    <n v="-2"/>
    <n v="0"/>
    <n v="30"/>
    <n v="0"/>
    <m/>
    <n v="0"/>
    <n v="1"/>
    <n v="879"/>
    <n v="9"/>
    <x v="0"/>
    <n v="1"/>
    <n v="3"/>
    <n v="72"/>
    <n v="3"/>
    <n v="2"/>
    <n v="3"/>
    <n v="4695"/>
    <n v="12858"/>
    <n v="7"/>
    <n v="18"/>
    <n v="3"/>
    <n v="3"/>
    <n v="80"/>
    <n v="0"/>
    <n v="10"/>
    <n v="3"/>
    <n v="8"/>
    <n v="4"/>
    <n v="1"/>
    <n v="7"/>
  </r>
  <r>
    <x v="0"/>
    <s v="Travel_Rarely"/>
    <x v="2"/>
    <s v="Ex-Employees"/>
    <x v="1"/>
    <x v="4"/>
    <x v="932"/>
    <n v="1299"/>
    <x v="0"/>
    <x v="2"/>
    <x v="2"/>
    <s v="Yes"/>
    <s v="Y"/>
    <n v="2"/>
    <n v="-2"/>
    <n v="0"/>
    <n v="29"/>
    <n v="1"/>
    <n v="1"/>
    <n v="1"/>
    <n v="0"/>
    <n v="806"/>
    <n v="7"/>
    <x v="3"/>
    <n v="1"/>
    <n v="4"/>
    <n v="39"/>
    <n v="3"/>
    <n v="1"/>
    <n v="4"/>
    <n v="3339"/>
    <n v="17285"/>
    <n v="3"/>
    <n v="13"/>
    <n v="3"/>
    <n v="1"/>
    <n v="80"/>
    <n v="2"/>
    <n v="10"/>
    <n v="3"/>
    <n v="7"/>
    <n v="7"/>
    <n v="7"/>
    <n v="7"/>
  </r>
  <r>
    <x v="1"/>
    <s v="Travel_Rarely"/>
    <x v="2"/>
    <s v="Current Employees"/>
    <x v="1"/>
    <x v="4"/>
    <x v="933"/>
    <n v="1301"/>
    <x v="1"/>
    <x v="1"/>
    <x v="0"/>
    <s v="No"/>
    <s v="Y"/>
    <n v="2"/>
    <n v="-2"/>
    <n v="0"/>
    <n v="28"/>
    <n v="0"/>
    <m/>
    <n v="0"/>
    <n v="1"/>
    <n v="640"/>
    <n v="1"/>
    <x v="3"/>
    <n v="1"/>
    <n v="4"/>
    <n v="84"/>
    <n v="3"/>
    <n v="1"/>
    <n v="4"/>
    <n v="2080"/>
    <n v="4732"/>
    <n v="2"/>
    <n v="11"/>
    <n v="3"/>
    <n v="2"/>
    <n v="80"/>
    <n v="0"/>
    <n v="5"/>
    <n v="2"/>
    <n v="3"/>
    <n v="2"/>
    <n v="1"/>
    <n v="2"/>
  </r>
  <r>
    <x v="1"/>
    <s v="Travel_Rarely"/>
    <x v="2"/>
    <s v="Current Employees"/>
    <x v="1"/>
    <x v="2"/>
    <x v="934"/>
    <n v="1303"/>
    <x v="0"/>
    <x v="1"/>
    <x v="0"/>
    <s v="No"/>
    <s v="Y"/>
    <n v="3"/>
    <n v="-2"/>
    <n v="0"/>
    <n v="25"/>
    <n v="0"/>
    <m/>
    <n v="0"/>
    <n v="1"/>
    <n v="266"/>
    <n v="1"/>
    <x v="3"/>
    <n v="1"/>
    <n v="4"/>
    <n v="40"/>
    <n v="3"/>
    <n v="1"/>
    <n v="2"/>
    <n v="2096"/>
    <n v="18830"/>
    <n v="1"/>
    <n v="18"/>
    <n v="3"/>
    <n v="4"/>
    <n v="80"/>
    <n v="0"/>
    <n v="2"/>
    <n v="2"/>
    <n v="2"/>
    <n v="2"/>
    <n v="2"/>
    <n v="1"/>
  </r>
  <r>
    <x v="1"/>
    <s v="Travel_Rarely"/>
    <x v="2"/>
    <s v="Current Employees"/>
    <x v="0"/>
    <x v="2"/>
    <x v="935"/>
    <n v="1304"/>
    <x v="1"/>
    <x v="0"/>
    <x v="1"/>
    <s v="No"/>
    <s v="Y"/>
    <n v="4"/>
    <n v="-2"/>
    <n v="0"/>
    <n v="32"/>
    <n v="0"/>
    <m/>
    <n v="0"/>
    <n v="1"/>
    <n v="604"/>
    <n v="8"/>
    <x v="3"/>
    <n v="1"/>
    <n v="3"/>
    <n v="56"/>
    <n v="4"/>
    <n v="2"/>
    <n v="4"/>
    <n v="6209"/>
    <n v="11693"/>
    <n v="1"/>
    <n v="15"/>
    <n v="3"/>
    <n v="3"/>
    <n v="80"/>
    <n v="2"/>
    <n v="10"/>
    <n v="4"/>
    <n v="10"/>
    <n v="7"/>
    <n v="0"/>
    <n v="8"/>
  </r>
  <r>
    <x v="1"/>
    <s v="Travel_Frequently"/>
    <x v="1"/>
    <s v="Current Employees"/>
    <x v="1"/>
    <x v="2"/>
    <x v="936"/>
    <n v="1306"/>
    <x v="0"/>
    <x v="5"/>
    <x v="0"/>
    <s v="No"/>
    <s v="Y"/>
    <n v="4"/>
    <n v="-2"/>
    <n v="0"/>
    <n v="45"/>
    <n v="0"/>
    <m/>
    <n v="0"/>
    <n v="1"/>
    <n v="364"/>
    <n v="25"/>
    <x v="3"/>
    <n v="1"/>
    <n v="2"/>
    <n v="83"/>
    <n v="3"/>
    <n v="5"/>
    <n v="2"/>
    <n v="18061"/>
    <n v="13035"/>
    <n v="3"/>
    <n v="22"/>
    <n v="4"/>
    <n v="3"/>
    <n v="80"/>
    <n v="0"/>
    <n v="22"/>
    <n v="3"/>
    <n v="0"/>
    <n v="0"/>
    <n v="0"/>
    <n v="0"/>
  </r>
  <r>
    <x v="1"/>
    <s v="Travel_Rarely"/>
    <x v="0"/>
    <s v="Current Employees"/>
    <x v="1"/>
    <x v="2"/>
    <x v="937"/>
    <n v="1307"/>
    <x v="0"/>
    <x v="5"/>
    <x v="2"/>
    <s v="Yes"/>
    <s v="Y"/>
    <n v="4"/>
    <n v="-2"/>
    <n v="0"/>
    <n v="39"/>
    <n v="0"/>
    <m/>
    <n v="0"/>
    <n v="1"/>
    <n v="412"/>
    <n v="13"/>
    <x v="2"/>
    <n v="1"/>
    <n v="3"/>
    <n v="94"/>
    <n v="2"/>
    <n v="4"/>
    <n v="2"/>
    <n v="17123"/>
    <n v="17334"/>
    <n v="6"/>
    <n v="13"/>
    <n v="3"/>
    <n v="4"/>
    <n v="80"/>
    <n v="2"/>
    <n v="21"/>
    <n v="3"/>
    <n v="19"/>
    <n v="9"/>
    <n v="15"/>
    <n v="2"/>
  </r>
  <r>
    <x v="1"/>
    <s v="Travel_Rarely"/>
    <x v="3"/>
    <s v="Current Employees"/>
    <x v="1"/>
    <x v="0"/>
    <x v="938"/>
    <n v="1308"/>
    <x v="1"/>
    <x v="1"/>
    <x v="2"/>
    <s v="No"/>
    <s v="Y"/>
    <n v="3"/>
    <n v="-2"/>
    <n v="0"/>
    <n v="58"/>
    <n v="0"/>
    <m/>
    <n v="0"/>
    <n v="1"/>
    <n v="848"/>
    <n v="23"/>
    <x v="2"/>
    <n v="1"/>
    <n v="1"/>
    <n v="88"/>
    <n v="3"/>
    <n v="1"/>
    <n v="3"/>
    <n v="2372"/>
    <n v="26076"/>
    <n v="1"/>
    <n v="12"/>
    <n v="3"/>
    <n v="4"/>
    <n v="80"/>
    <n v="2"/>
    <n v="2"/>
    <n v="3"/>
    <n v="2"/>
    <n v="2"/>
    <n v="2"/>
    <n v="2"/>
  </r>
  <r>
    <x v="0"/>
    <s v="Travel_Rarely"/>
    <x v="2"/>
    <s v="Ex-Employees"/>
    <x v="1"/>
    <x v="0"/>
    <x v="939"/>
    <n v="1309"/>
    <x v="1"/>
    <x v="2"/>
    <x v="1"/>
    <s v="No"/>
    <s v="Y"/>
    <n v="3"/>
    <n v="-2"/>
    <n v="0"/>
    <n v="32"/>
    <n v="1"/>
    <n v="1"/>
    <n v="1"/>
    <n v="0"/>
    <n v="1089"/>
    <n v="7"/>
    <x v="0"/>
    <n v="1"/>
    <n v="4"/>
    <n v="79"/>
    <n v="3"/>
    <n v="2"/>
    <n v="3"/>
    <n v="4883"/>
    <n v="22845"/>
    <n v="1"/>
    <n v="18"/>
    <n v="3"/>
    <n v="1"/>
    <n v="80"/>
    <n v="1"/>
    <n v="10"/>
    <n v="3"/>
    <n v="10"/>
    <n v="4"/>
    <n v="1"/>
    <n v="1"/>
  </r>
  <r>
    <x v="0"/>
    <s v="Travel_Rarely"/>
    <x v="0"/>
    <s v="Ex-Employees"/>
    <x v="1"/>
    <x v="2"/>
    <x v="940"/>
    <n v="1310"/>
    <x v="1"/>
    <x v="1"/>
    <x v="0"/>
    <s v="No"/>
    <s v="Y"/>
    <n v="2"/>
    <n v="-2"/>
    <n v="0"/>
    <n v="39"/>
    <n v="1"/>
    <n v="1"/>
    <n v="1"/>
    <n v="0"/>
    <n v="360"/>
    <n v="23"/>
    <x v="3"/>
    <n v="1"/>
    <n v="3"/>
    <n v="93"/>
    <n v="3"/>
    <n v="1"/>
    <n v="3"/>
    <n v="3904"/>
    <n v="22154"/>
    <n v="0"/>
    <n v="13"/>
    <n v="3"/>
    <n v="1"/>
    <n v="80"/>
    <n v="0"/>
    <n v="6"/>
    <n v="3"/>
    <n v="5"/>
    <n v="2"/>
    <n v="0"/>
    <n v="3"/>
  </r>
  <r>
    <x v="1"/>
    <s v="Travel_Rarely"/>
    <x v="2"/>
    <s v="Current Employees"/>
    <x v="1"/>
    <x v="4"/>
    <x v="941"/>
    <n v="1311"/>
    <x v="0"/>
    <x v="2"/>
    <x v="1"/>
    <s v="No"/>
    <s v="Y"/>
    <n v="6"/>
    <n v="-2"/>
    <n v="0"/>
    <n v="30"/>
    <n v="0"/>
    <m/>
    <n v="0"/>
    <n v="1"/>
    <n v="1138"/>
    <n v="6"/>
    <x v="3"/>
    <n v="1"/>
    <n v="4"/>
    <n v="48"/>
    <n v="2"/>
    <n v="2"/>
    <n v="4"/>
    <n v="4627"/>
    <n v="23631"/>
    <n v="0"/>
    <n v="12"/>
    <n v="3"/>
    <n v="1"/>
    <n v="80"/>
    <n v="1"/>
    <n v="10"/>
    <n v="3"/>
    <n v="9"/>
    <n v="2"/>
    <n v="6"/>
    <n v="7"/>
  </r>
  <r>
    <x v="1"/>
    <s v="Travel_Rarely"/>
    <x v="0"/>
    <s v="Current Employees"/>
    <x v="1"/>
    <x v="4"/>
    <x v="942"/>
    <n v="1312"/>
    <x v="0"/>
    <x v="4"/>
    <x v="1"/>
    <s v="No"/>
    <s v="Y"/>
    <n v="0"/>
    <n v="-2"/>
    <n v="0"/>
    <n v="36"/>
    <n v="0"/>
    <m/>
    <n v="0"/>
    <n v="1"/>
    <n v="325"/>
    <n v="10"/>
    <x v="2"/>
    <n v="1"/>
    <n v="4"/>
    <n v="63"/>
    <n v="3"/>
    <n v="3"/>
    <n v="4"/>
    <n v="7094"/>
    <n v="5747"/>
    <n v="3"/>
    <n v="12"/>
    <n v="3"/>
    <n v="1"/>
    <n v="80"/>
    <n v="0"/>
    <n v="10"/>
    <n v="3"/>
    <n v="7"/>
    <n v="7"/>
    <n v="1"/>
    <n v="7"/>
  </r>
  <r>
    <x v="1"/>
    <s v="Travel_Rarely"/>
    <x v="1"/>
    <s v="Current Employees"/>
    <x v="2"/>
    <x v="0"/>
    <x v="943"/>
    <n v="1314"/>
    <x v="0"/>
    <x v="8"/>
    <x v="0"/>
    <s v="No"/>
    <s v="Y"/>
    <n v="3"/>
    <n v="-2"/>
    <n v="0"/>
    <n v="46"/>
    <n v="0"/>
    <m/>
    <n v="0"/>
    <n v="1"/>
    <n v="991"/>
    <n v="1"/>
    <x v="0"/>
    <n v="1"/>
    <n v="4"/>
    <n v="44"/>
    <n v="3"/>
    <n v="1"/>
    <n v="3"/>
    <n v="3423"/>
    <n v="22957"/>
    <n v="6"/>
    <n v="12"/>
    <n v="3"/>
    <n v="3"/>
    <n v="80"/>
    <n v="0"/>
    <n v="10"/>
    <n v="4"/>
    <n v="7"/>
    <n v="6"/>
    <n v="5"/>
    <n v="7"/>
  </r>
  <r>
    <x v="1"/>
    <s v="Non-Travel"/>
    <x v="2"/>
    <s v="Current Employees"/>
    <x v="1"/>
    <x v="0"/>
    <x v="944"/>
    <n v="1315"/>
    <x v="0"/>
    <x v="2"/>
    <x v="1"/>
    <s v="No"/>
    <s v="Y"/>
    <n v="6"/>
    <n v="-2"/>
    <n v="0"/>
    <n v="28"/>
    <n v="0"/>
    <m/>
    <n v="0"/>
    <n v="1"/>
    <n v="1476"/>
    <n v="1"/>
    <x v="3"/>
    <n v="1"/>
    <n v="3"/>
    <n v="55"/>
    <n v="1"/>
    <n v="2"/>
    <n v="4"/>
    <n v="6674"/>
    <n v="16392"/>
    <n v="0"/>
    <n v="11"/>
    <n v="3"/>
    <n v="1"/>
    <n v="80"/>
    <n v="3"/>
    <n v="10"/>
    <n v="3"/>
    <n v="9"/>
    <n v="8"/>
    <n v="7"/>
    <n v="5"/>
  </r>
  <r>
    <x v="1"/>
    <s v="Travel_Rarely"/>
    <x v="1"/>
    <s v="Current Employees"/>
    <x v="1"/>
    <x v="0"/>
    <x v="945"/>
    <n v="1317"/>
    <x v="0"/>
    <x v="7"/>
    <x v="1"/>
    <s v="Yes"/>
    <s v="Y"/>
    <n v="2"/>
    <n v="-2"/>
    <n v="0"/>
    <n v="50"/>
    <n v="0"/>
    <m/>
    <n v="0"/>
    <n v="1"/>
    <n v="1322"/>
    <n v="28"/>
    <x v="3"/>
    <n v="1"/>
    <n v="4"/>
    <n v="43"/>
    <n v="3"/>
    <n v="4"/>
    <n v="3"/>
    <n v="16880"/>
    <n v="22422"/>
    <n v="4"/>
    <n v="11"/>
    <n v="3"/>
    <n v="2"/>
    <n v="80"/>
    <n v="0"/>
    <n v="25"/>
    <n v="3"/>
    <n v="3"/>
    <n v="2"/>
    <n v="1"/>
    <n v="2"/>
  </r>
  <r>
    <x v="0"/>
    <s v="Travel_Rarely"/>
    <x v="0"/>
    <s v="Ex-Employees"/>
    <x v="0"/>
    <x v="3"/>
    <x v="946"/>
    <n v="1318"/>
    <x v="1"/>
    <x v="0"/>
    <x v="0"/>
    <s v="Yes"/>
    <s v="Y"/>
    <n v="2"/>
    <n v="-2"/>
    <n v="0"/>
    <n v="40"/>
    <n v="1"/>
    <n v="1"/>
    <n v="1"/>
    <n v="0"/>
    <n v="299"/>
    <n v="25"/>
    <x v="2"/>
    <n v="1"/>
    <n v="4"/>
    <n v="57"/>
    <n v="2"/>
    <n v="3"/>
    <n v="2"/>
    <n v="9094"/>
    <n v="17235"/>
    <n v="2"/>
    <n v="12"/>
    <n v="3"/>
    <n v="3"/>
    <n v="80"/>
    <n v="0"/>
    <n v="9"/>
    <n v="3"/>
    <n v="5"/>
    <n v="4"/>
    <n v="1"/>
    <n v="0"/>
  </r>
  <r>
    <x v="0"/>
    <s v="Travel_Rarely"/>
    <x v="1"/>
    <s v="Ex-Employees"/>
    <x v="0"/>
    <x v="0"/>
    <x v="947"/>
    <n v="1319"/>
    <x v="1"/>
    <x v="0"/>
    <x v="0"/>
    <s v="Yes"/>
    <s v="Y"/>
    <n v="2"/>
    <n v="-2"/>
    <n v="0"/>
    <n v="52"/>
    <n v="1"/>
    <n v="1"/>
    <n v="1"/>
    <n v="0"/>
    <n v="1030"/>
    <n v="5"/>
    <x v="3"/>
    <n v="1"/>
    <n v="2"/>
    <n v="64"/>
    <n v="3"/>
    <n v="3"/>
    <n v="2"/>
    <n v="8446"/>
    <n v="21534"/>
    <n v="9"/>
    <n v="19"/>
    <n v="3"/>
    <n v="3"/>
    <n v="80"/>
    <n v="0"/>
    <n v="10"/>
    <n v="2"/>
    <n v="8"/>
    <n v="7"/>
    <n v="7"/>
    <n v="7"/>
  </r>
  <r>
    <x v="1"/>
    <s v="Travel_Rarely"/>
    <x v="2"/>
    <s v="Current Employees"/>
    <x v="1"/>
    <x v="2"/>
    <x v="948"/>
    <n v="1321"/>
    <x v="0"/>
    <x v="5"/>
    <x v="1"/>
    <s v="Yes"/>
    <s v="Y"/>
    <n v="2"/>
    <n v="-2"/>
    <n v="0"/>
    <n v="30"/>
    <n v="0"/>
    <m/>
    <n v="0"/>
    <n v="1"/>
    <n v="634"/>
    <n v="17"/>
    <x v="2"/>
    <n v="1"/>
    <n v="2"/>
    <n v="95"/>
    <n v="3"/>
    <n v="3"/>
    <n v="3"/>
    <n v="11916"/>
    <n v="25927"/>
    <n v="1"/>
    <n v="23"/>
    <n v="4"/>
    <n v="4"/>
    <n v="80"/>
    <n v="2"/>
    <n v="9"/>
    <n v="3"/>
    <n v="9"/>
    <n v="1"/>
    <n v="0"/>
    <n v="8"/>
  </r>
  <r>
    <x v="1"/>
    <s v="Travel_Rarely"/>
    <x v="0"/>
    <s v="Current Employees"/>
    <x v="1"/>
    <x v="0"/>
    <x v="949"/>
    <n v="1322"/>
    <x v="1"/>
    <x v="3"/>
    <x v="0"/>
    <s v="No"/>
    <s v="Y"/>
    <n v="6"/>
    <n v="-2"/>
    <n v="0"/>
    <n v="39"/>
    <n v="0"/>
    <m/>
    <n v="0"/>
    <n v="1"/>
    <n v="524"/>
    <n v="18"/>
    <x v="0"/>
    <n v="1"/>
    <n v="1"/>
    <n v="32"/>
    <n v="3"/>
    <n v="2"/>
    <n v="3"/>
    <n v="4534"/>
    <n v="13352"/>
    <n v="0"/>
    <n v="11"/>
    <n v="3"/>
    <n v="1"/>
    <n v="80"/>
    <n v="0"/>
    <n v="9"/>
    <n v="3"/>
    <n v="8"/>
    <n v="7"/>
    <n v="1"/>
    <n v="7"/>
  </r>
  <r>
    <x v="1"/>
    <s v="Non-Travel"/>
    <x v="2"/>
    <s v="Current Employees"/>
    <x v="0"/>
    <x v="0"/>
    <x v="950"/>
    <n v="1324"/>
    <x v="0"/>
    <x v="0"/>
    <x v="2"/>
    <s v="Yes"/>
    <s v="Y"/>
    <n v="5"/>
    <n v="-2"/>
    <n v="0"/>
    <n v="31"/>
    <n v="0"/>
    <m/>
    <n v="0"/>
    <n v="1"/>
    <n v="587"/>
    <n v="2"/>
    <x v="2"/>
    <n v="1"/>
    <n v="4"/>
    <n v="57"/>
    <n v="3"/>
    <n v="3"/>
    <n v="3"/>
    <n v="9852"/>
    <n v="8935"/>
    <n v="1"/>
    <n v="19"/>
    <n v="3"/>
    <n v="1"/>
    <n v="80"/>
    <n v="1"/>
    <n v="10"/>
    <n v="2"/>
    <n v="10"/>
    <n v="8"/>
    <n v="9"/>
    <n v="6"/>
  </r>
  <r>
    <x v="1"/>
    <s v="Non-Travel"/>
    <x v="0"/>
    <s v="Current Employees"/>
    <x v="0"/>
    <x v="2"/>
    <x v="951"/>
    <n v="1329"/>
    <x v="1"/>
    <x v="0"/>
    <x v="0"/>
    <s v="No"/>
    <s v="Y"/>
    <n v="4"/>
    <n v="-2"/>
    <n v="0"/>
    <n v="41"/>
    <n v="0"/>
    <m/>
    <n v="0"/>
    <n v="1"/>
    <n v="256"/>
    <n v="10"/>
    <x v="0"/>
    <n v="1"/>
    <n v="3"/>
    <n v="40"/>
    <n v="1"/>
    <n v="2"/>
    <n v="2"/>
    <n v="6151"/>
    <n v="22074"/>
    <n v="1"/>
    <n v="13"/>
    <n v="3"/>
    <n v="1"/>
    <n v="80"/>
    <n v="0"/>
    <n v="19"/>
    <n v="3"/>
    <n v="19"/>
    <n v="2"/>
    <n v="11"/>
    <n v="9"/>
  </r>
  <r>
    <x v="0"/>
    <s v="Travel_Frequently"/>
    <x v="2"/>
    <s v="Ex-Employees"/>
    <x v="0"/>
    <x v="0"/>
    <x v="952"/>
    <n v="1331"/>
    <x v="0"/>
    <x v="6"/>
    <x v="0"/>
    <s v="Yes"/>
    <s v="Y"/>
    <n v="2"/>
    <n v="-2"/>
    <n v="0"/>
    <n v="31"/>
    <n v="1"/>
    <n v="1"/>
    <n v="1"/>
    <n v="0"/>
    <n v="1060"/>
    <n v="1"/>
    <x v="3"/>
    <n v="1"/>
    <n v="4"/>
    <n v="54"/>
    <n v="3"/>
    <n v="1"/>
    <n v="2"/>
    <n v="2302"/>
    <n v="8319"/>
    <n v="1"/>
    <n v="11"/>
    <n v="3"/>
    <n v="1"/>
    <n v="80"/>
    <n v="0"/>
    <n v="3"/>
    <n v="4"/>
    <n v="3"/>
    <n v="2"/>
    <n v="2"/>
    <n v="2"/>
  </r>
  <r>
    <x v="0"/>
    <s v="Travel_Rarely"/>
    <x v="0"/>
    <s v="Ex-Employees"/>
    <x v="1"/>
    <x v="0"/>
    <x v="953"/>
    <n v="1333"/>
    <x v="1"/>
    <x v="2"/>
    <x v="1"/>
    <s v="No"/>
    <s v="Y"/>
    <n v="4"/>
    <n v="-2"/>
    <n v="0"/>
    <n v="44"/>
    <n v="1"/>
    <n v="1"/>
    <n v="1"/>
    <n v="0"/>
    <n v="935"/>
    <n v="3"/>
    <x v="3"/>
    <n v="1"/>
    <n v="1"/>
    <n v="89"/>
    <n v="3"/>
    <n v="1"/>
    <n v="3"/>
    <n v="2362"/>
    <n v="14669"/>
    <n v="4"/>
    <n v="12"/>
    <n v="3"/>
    <n v="3"/>
    <n v="80"/>
    <n v="0"/>
    <n v="10"/>
    <n v="4"/>
    <n v="3"/>
    <n v="2"/>
    <n v="1"/>
    <n v="2"/>
  </r>
  <r>
    <x v="1"/>
    <s v="Non-Travel"/>
    <x v="0"/>
    <s v="Current Employees"/>
    <x v="1"/>
    <x v="0"/>
    <x v="954"/>
    <n v="1334"/>
    <x v="1"/>
    <x v="5"/>
    <x v="1"/>
    <s v="Yes"/>
    <s v="Y"/>
    <n v="3"/>
    <n v="-2"/>
    <n v="0"/>
    <n v="42"/>
    <n v="0"/>
    <m/>
    <n v="0"/>
    <n v="1"/>
    <n v="495"/>
    <n v="2"/>
    <x v="1"/>
    <n v="1"/>
    <n v="3"/>
    <n v="37"/>
    <n v="3"/>
    <n v="4"/>
    <n v="3"/>
    <n v="17861"/>
    <n v="26582"/>
    <n v="0"/>
    <n v="13"/>
    <n v="3"/>
    <n v="4"/>
    <n v="80"/>
    <n v="0"/>
    <n v="21"/>
    <n v="2"/>
    <n v="20"/>
    <n v="8"/>
    <n v="2"/>
    <n v="10"/>
  </r>
  <r>
    <x v="1"/>
    <s v="Travel_Rarely"/>
    <x v="3"/>
    <s v="Current Employees"/>
    <x v="1"/>
    <x v="2"/>
    <x v="955"/>
    <n v="1336"/>
    <x v="0"/>
    <x v="5"/>
    <x v="1"/>
    <s v="No"/>
    <s v="Y"/>
    <n v="5"/>
    <n v="-2"/>
    <n v="0"/>
    <n v="55"/>
    <n v="0"/>
    <m/>
    <n v="0"/>
    <n v="1"/>
    <n v="282"/>
    <n v="2"/>
    <x v="0"/>
    <n v="1"/>
    <n v="4"/>
    <n v="58"/>
    <n v="1"/>
    <n v="5"/>
    <n v="3"/>
    <n v="19187"/>
    <n v="6992"/>
    <n v="4"/>
    <n v="14"/>
    <n v="3"/>
    <n v="4"/>
    <n v="80"/>
    <n v="1"/>
    <n v="23"/>
    <n v="3"/>
    <n v="19"/>
    <n v="9"/>
    <n v="9"/>
    <n v="11"/>
  </r>
  <r>
    <x v="1"/>
    <s v="Travel_Rarely"/>
    <x v="3"/>
    <s v="Current Employees"/>
    <x v="2"/>
    <x v="0"/>
    <x v="956"/>
    <n v="1338"/>
    <x v="1"/>
    <x v="5"/>
    <x v="0"/>
    <s v="No"/>
    <s v="Y"/>
    <n v="4"/>
    <n v="-2"/>
    <n v="0"/>
    <n v="56"/>
    <n v="0"/>
    <m/>
    <n v="0"/>
    <n v="1"/>
    <n v="206"/>
    <n v="8"/>
    <x v="2"/>
    <n v="1"/>
    <n v="4"/>
    <n v="99"/>
    <n v="3"/>
    <n v="5"/>
    <n v="2"/>
    <n v="19717"/>
    <n v="4022"/>
    <n v="6"/>
    <n v="14"/>
    <n v="3"/>
    <n v="1"/>
    <n v="80"/>
    <n v="0"/>
    <n v="36"/>
    <n v="3"/>
    <n v="7"/>
    <n v="3"/>
    <n v="7"/>
    <n v="7"/>
  </r>
  <r>
    <x v="1"/>
    <s v="Non-Travel"/>
    <x v="0"/>
    <s v="Current Employees"/>
    <x v="1"/>
    <x v="0"/>
    <x v="957"/>
    <n v="1340"/>
    <x v="1"/>
    <x v="1"/>
    <x v="2"/>
    <s v="No"/>
    <s v="Y"/>
    <n v="0"/>
    <n v="-2"/>
    <n v="0"/>
    <n v="40"/>
    <n v="0"/>
    <m/>
    <n v="0"/>
    <n v="1"/>
    <n v="458"/>
    <n v="16"/>
    <x v="0"/>
    <n v="1"/>
    <n v="3"/>
    <n v="74"/>
    <n v="3"/>
    <n v="1"/>
    <n v="3"/>
    <n v="3544"/>
    <n v="8532"/>
    <n v="9"/>
    <n v="16"/>
    <n v="3"/>
    <n v="2"/>
    <n v="80"/>
    <n v="1"/>
    <n v="6"/>
    <n v="3"/>
    <n v="4"/>
    <n v="2"/>
    <n v="0"/>
    <n v="0"/>
  </r>
  <r>
    <x v="1"/>
    <s v="Travel_Rarely"/>
    <x v="2"/>
    <s v="Current Employees"/>
    <x v="1"/>
    <x v="0"/>
    <x v="958"/>
    <n v="1344"/>
    <x v="1"/>
    <x v="4"/>
    <x v="2"/>
    <s v="No"/>
    <s v="Y"/>
    <n v="0"/>
    <n v="-2"/>
    <n v="0"/>
    <n v="34"/>
    <n v="0"/>
    <m/>
    <n v="0"/>
    <n v="1"/>
    <n v="943"/>
    <n v="9"/>
    <x v="3"/>
    <n v="1"/>
    <n v="4"/>
    <n v="86"/>
    <n v="3"/>
    <n v="3"/>
    <n v="4"/>
    <n v="8500"/>
    <n v="5494"/>
    <n v="0"/>
    <n v="11"/>
    <n v="3"/>
    <n v="4"/>
    <n v="80"/>
    <n v="1"/>
    <n v="10"/>
    <n v="2"/>
    <n v="9"/>
    <n v="7"/>
    <n v="1"/>
    <n v="6"/>
  </r>
  <r>
    <x v="1"/>
    <s v="Travel_Rarely"/>
    <x v="0"/>
    <s v="Current Employees"/>
    <x v="1"/>
    <x v="0"/>
    <x v="959"/>
    <n v="1346"/>
    <x v="1"/>
    <x v="1"/>
    <x v="0"/>
    <s v="No"/>
    <s v="Y"/>
    <n v="4"/>
    <n v="-2"/>
    <n v="0"/>
    <n v="40"/>
    <n v="0"/>
    <m/>
    <n v="0"/>
    <n v="1"/>
    <n v="523"/>
    <n v="2"/>
    <x v="3"/>
    <n v="1"/>
    <n v="3"/>
    <n v="98"/>
    <n v="3"/>
    <n v="2"/>
    <n v="4"/>
    <n v="4661"/>
    <n v="22455"/>
    <n v="1"/>
    <n v="13"/>
    <n v="3"/>
    <n v="3"/>
    <n v="80"/>
    <n v="0"/>
    <n v="9"/>
    <n v="3"/>
    <n v="9"/>
    <n v="8"/>
    <n v="8"/>
    <n v="8"/>
  </r>
  <r>
    <x v="1"/>
    <s v="Travel_Frequently"/>
    <x v="0"/>
    <s v="Current Employees"/>
    <x v="0"/>
    <x v="3"/>
    <x v="960"/>
    <n v="1349"/>
    <x v="0"/>
    <x v="0"/>
    <x v="2"/>
    <s v="No"/>
    <s v="Y"/>
    <n v="2"/>
    <n v="-2"/>
    <n v="0"/>
    <n v="41"/>
    <n v="0"/>
    <m/>
    <n v="0"/>
    <n v="1"/>
    <n v="1018"/>
    <n v="1"/>
    <x v="3"/>
    <n v="1"/>
    <n v="3"/>
    <n v="66"/>
    <n v="3"/>
    <n v="2"/>
    <n v="2"/>
    <n v="4103"/>
    <n v="4297"/>
    <n v="0"/>
    <n v="17"/>
    <n v="3"/>
    <n v="4"/>
    <n v="80"/>
    <n v="1"/>
    <n v="10"/>
    <n v="3"/>
    <n v="9"/>
    <n v="3"/>
    <n v="1"/>
    <n v="7"/>
  </r>
  <r>
    <x v="1"/>
    <s v="Travel_Frequently"/>
    <x v="0"/>
    <s v="Current Employees"/>
    <x v="1"/>
    <x v="0"/>
    <x v="961"/>
    <n v="1350"/>
    <x v="1"/>
    <x v="1"/>
    <x v="0"/>
    <s v="Yes"/>
    <s v="Y"/>
    <n v="3"/>
    <n v="-2"/>
    <n v="0"/>
    <n v="35"/>
    <n v="0"/>
    <m/>
    <n v="0"/>
    <n v="1"/>
    <n v="482"/>
    <n v="4"/>
    <x v="2"/>
    <n v="1"/>
    <n v="3"/>
    <n v="87"/>
    <n v="3"/>
    <n v="2"/>
    <n v="3"/>
    <n v="4249"/>
    <n v="2690"/>
    <n v="1"/>
    <n v="11"/>
    <n v="3"/>
    <n v="2"/>
    <n v="80"/>
    <n v="0"/>
    <n v="9"/>
    <n v="3"/>
    <n v="9"/>
    <n v="6"/>
    <n v="1"/>
    <n v="1"/>
  </r>
  <r>
    <x v="1"/>
    <s v="Travel_Rarely"/>
    <x v="1"/>
    <s v="Current Employees"/>
    <x v="2"/>
    <x v="0"/>
    <x v="962"/>
    <n v="1352"/>
    <x v="1"/>
    <x v="5"/>
    <x v="2"/>
    <s v="Yes"/>
    <s v="Y"/>
    <n v="2"/>
    <n v="-2"/>
    <n v="0"/>
    <n v="51"/>
    <n v="0"/>
    <m/>
    <n v="0"/>
    <n v="1"/>
    <n v="770"/>
    <n v="5"/>
    <x v="3"/>
    <n v="1"/>
    <n v="3"/>
    <n v="84"/>
    <n v="3"/>
    <n v="4"/>
    <n v="2"/>
    <n v="14026"/>
    <n v="17588"/>
    <n v="1"/>
    <n v="11"/>
    <n v="3"/>
    <n v="2"/>
    <n v="80"/>
    <n v="1"/>
    <n v="33"/>
    <n v="3"/>
    <n v="33"/>
    <n v="9"/>
    <n v="0"/>
    <n v="10"/>
  </r>
  <r>
    <x v="1"/>
    <s v="Travel_Rarely"/>
    <x v="0"/>
    <s v="Current Employees"/>
    <x v="0"/>
    <x v="0"/>
    <x v="963"/>
    <n v="1355"/>
    <x v="0"/>
    <x v="0"/>
    <x v="2"/>
    <s v="No"/>
    <s v="Y"/>
    <n v="3"/>
    <n v="-2"/>
    <n v="0"/>
    <n v="38"/>
    <n v="0"/>
    <m/>
    <n v="0"/>
    <n v="1"/>
    <n v="1009"/>
    <n v="2"/>
    <x v="0"/>
    <n v="1"/>
    <n v="2"/>
    <n v="31"/>
    <n v="3"/>
    <n v="2"/>
    <n v="3"/>
    <n v="6893"/>
    <n v="19461"/>
    <n v="3"/>
    <n v="15"/>
    <n v="3"/>
    <n v="4"/>
    <n v="80"/>
    <n v="1"/>
    <n v="11"/>
    <n v="3"/>
    <n v="7"/>
    <n v="7"/>
    <n v="1"/>
    <n v="7"/>
  </r>
  <r>
    <x v="1"/>
    <s v="Travel_Rarely"/>
    <x v="2"/>
    <s v="Current Employees"/>
    <x v="0"/>
    <x v="2"/>
    <x v="964"/>
    <n v="1356"/>
    <x v="0"/>
    <x v="0"/>
    <x v="0"/>
    <s v="No"/>
    <s v="Y"/>
    <n v="6"/>
    <n v="-2"/>
    <n v="0"/>
    <n v="34"/>
    <n v="0"/>
    <m/>
    <n v="0"/>
    <n v="1"/>
    <n v="507"/>
    <n v="15"/>
    <x v="0"/>
    <n v="1"/>
    <n v="3"/>
    <n v="66"/>
    <n v="3"/>
    <n v="2"/>
    <n v="3"/>
    <n v="6125"/>
    <n v="23553"/>
    <n v="1"/>
    <n v="12"/>
    <n v="3"/>
    <n v="4"/>
    <n v="80"/>
    <n v="0"/>
    <n v="10"/>
    <n v="4"/>
    <n v="10"/>
    <n v="8"/>
    <n v="9"/>
    <n v="6"/>
  </r>
  <r>
    <x v="1"/>
    <s v="Travel_Rarely"/>
    <x v="2"/>
    <s v="Current Employees"/>
    <x v="1"/>
    <x v="2"/>
    <x v="965"/>
    <n v="1358"/>
    <x v="1"/>
    <x v="2"/>
    <x v="1"/>
    <s v="No"/>
    <s v="Y"/>
    <n v="6"/>
    <n v="-2"/>
    <n v="0"/>
    <n v="25"/>
    <n v="0"/>
    <m/>
    <n v="0"/>
    <n v="1"/>
    <n v="882"/>
    <n v="19"/>
    <x v="1"/>
    <n v="1"/>
    <n v="4"/>
    <n v="67"/>
    <n v="3"/>
    <n v="1"/>
    <n v="4"/>
    <n v="3669"/>
    <n v="9075"/>
    <n v="3"/>
    <n v="11"/>
    <n v="3"/>
    <n v="3"/>
    <n v="80"/>
    <n v="3"/>
    <n v="7"/>
    <n v="2"/>
    <n v="3"/>
    <n v="2"/>
    <n v="1"/>
    <n v="2"/>
  </r>
  <r>
    <x v="0"/>
    <s v="Travel_Rarely"/>
    <x v="3"/>
    <s v="Ex-Employees"/>
    <x v="1"/>
    <x v="2"/>
    <x v="966"/>
    <n v="1360"/>
    <x v="0"/>
    <x v="3"/>
    <x v="1"/>
    <s v="Yes"/>
    <s v="Y"/>
    <n v="0"/>
    <n v="-2"/>
    <n v="0"/>
    <n v="58"/>
    <n v="1"/>
    <n v="1"/>
    <n v="1"/>
    <n v="0"/>
    <n v="601"/>
    <n v="7"/>
    <x v="2"/>
    <n v="1"/>
    <n v="3"/>
    <n v="53"/>
    <n v="2"/>
    <n v="3"/>
    <n v="3"/>
    <n v="10008"/>
    <n v="12023"/>
    <n v="7"/>
    <n v="14"/>
    <n v="3"/>
    <n v="4"/>
    <n v="80"/>
    <n v="0"/>
    <n v="31"/>
    <n v="2"/>
    <n v="10"/>
    <n v="9"/>
    <n v="5"/>
    <n v="9"/>
  </r>
  <r>
    <x v="1"/>
    <s v="Travel_Rarely"/>
    <x v="0"/>
    <s v="Current Employees"/>
    <x v="1"/>
    <x v="0"/>
    <x v="967"/>
    <n v="1361"/>
    <x v="1"/>
    <x v="2"/>
    <x v="1"/>
    <s v="No"/>
    <s v="Y"/>
    <n v="3"/>
    <n v="-2"/>
    <n v="0"/>
    <n v="40"/>
    <n v="0"/>
    <m/>
    <n v="0"/>
    <n v="1"/>
    <n v="329"/>
    <n v="1"/>
    <x v="2"/>
    <n v="1"/>
    <n v="2"/>
    <n v="88"/>
    <n v="3"/>
    <n v="1"/>
    <n v="2"/>
    <n v="2387"/>
    <n v="6762"/>
    <n v="3"/>
    <n v="22"/>
    <n v="4"/>
    <n v="3"/>
    <n v="80"/>
    <n v="1"/>
    <n v="7"/>
    <n v="3"/>
    <n v="4"/>
    <n v="2"/>
    <n v="0"/>
    <n v="3"/>
  </r>
  <r>
    <x v="1"/>
    <s v="Travel_Frequently"/>
    <x v="0"/>
    <s v="Current Employees"/>
    <x v="0"/>
    <x v="3"/>
    <x v="968"/>
    <n v="1362"/>
    <x v="0"/>
    <x v="0"/>
    <x v="1"/>
    <s v="No"/>
    <s v="Y"/>
    <n v="2"/>
    <n v="-2"/>
    <n v="0"/>
    <n v="36"/>
    <n v="0"/>
    <m/>
    <n v="0"/>
    <n v="1"/>
    <n v="607"/>
    <n v="7"/>
    <x v="3"/>
    <n v="1"/>
    <n v="1"/>
    <n v="83"/>
    <n v="4"/>
    <n v="2"/>
    <n v="2"/>
    <n v="4639"/>
    <n v="2261"/>
    <n v="2"/>
    <n v="16"/>
    <n v="3"/>
    <n v="4"/>
    <n v="80"/>
    <n v="1"/>
    <n v="17"/>
    <n v="2"/>
    <n v="15"/>
    <n v="7"/>
    <n v="6"/>
    <n v="13"/>
  </r>
  <r>
    <x v="1"/>
    <s v="Travel_Rarely"/>
    <x v="1"/>
    <s v="Current Employees"/>
    <x v="1"/>
    <x v="0"/>
    <x v="969"/>
    <n v="1363"/>
    <x v="1"/>
    <x v="3"/>
    <x v="0"/>
    <s v="No"/>
    <s v="Y"/>
    <n v="2"/>
    <n v="-2"/>
    <n v="0"/>
    <n v="48"/>
    <n v="0"/>
    <m/>
    <n v="0"/>
    <n v="1"/>
    <n v="855"/>
    <n v="4"/>
    <x v="3"/>
    <n v="1"/>
    <n v="4"/>
    <n v="54"/>
    <n v="3"/>
    <n v="3"/>
    <n v="4"/>
    <n v="7898"/>
    <n v="18706"/>
    <n v="1"/>
    <n v="11"/>
    <n v="3"/>
    <n v="3"/>
    <n v="80"/>
    <n v="0"/>
    <n v="11"/>
    <n v="3"/>
    <n v="10"/>
    <n v="9"/>
    <n v="0"/>
    <n v="8"/>
  </r>
  <r>
    <x v="1"/>
    <s v="Travel_Rarely"/>
    <x v="2"/>
    <s v="Current Employees"/>
    <x v="0"/>
    <x v="2"/>
    <x v="970"/>
    <n v="1364"/>
    <x v="0"/>
    <x v="6"/>
    <x v="1"/>
    <s v="No"/>
    <s v="Y"/>
    <n v="4"/>
    <n v="-2"/>
    <n v="0"/>
    <n v="27"/>
    <n v="0"/>
    <m/>
    <n v="0"/>
    <n v="1"/>
    <n v="1291"/>
    <n v="11"/>
    <x v="3"/>
    <n v="1"/>
    <n v="3"/>
    <n v="98"/>
    <n v="4"/>
    <n v="1"/>
    <n v="4"/>
    <n v="2534"/>
    <n v="6527"/>
    <n v="8"/>
    <n v="14"/>
    <n v="3"/>
    <n v="2"/>
    <n v="80"/>
    <n v="1"/>
    <n v="5"/>
    <n v="3"/>
    <n v="1"/>
    <n v="0"/>
    <n v="0"/>
    <n v="0"/>
  </r>
  <r>
    <x v="1"/>
    <s v="Travel_Rarely"/>
    <x v="1"/>
    <s v="Current Employees"/>
    <x v="1"/>
    <x v="4"/>
    <x v="971"/>
    <n v="1367"/>
    <x v="0"/>
    <x v="3"/>
    <x v="0"/>
    <s v="No"/>
    <s v="Y"/>
    <n v="1"/>
    <n v="-2"/>
    <n v="0"/>
    <n v="51"/>
    <n v="0"/>
    <m/>
    <n v="0"/>
    <n v="1"/>
    <n v="1405"/>
    <n v="11"/>
    <x v="0"/>
    <n v="1"/>
    <n v="4"/>
    <n v="82"/>
    <n v="2"/>
    <n v="4"/>
    <n v="4"/>
    <n v="13142"/>
    <n v="24439"/>
    <n v="3"/>
    <n v="16"/>
    <n v="3"/>
    <n v="2"/>
    <n v="80"/>
    <n v="0"/>
    <n v="29"/>
    <n v="2"/>
    <n v="5"/>
    <n v="2"/>
    <n v="0"/>
    <n v="3"/>
  </r>
  <r>
    <x v="1"/>
    <s v="Non-Travel"/>
    <x v="4"/>
    <s v="Current Employees"/>
    <x v="1"/>
    <x v="0"/>
    <x v="972"/>
    <n v="1368"/>
    <x v="0"/>
    <x v="2"/>
    <x v="0"/>
    <s v="No"/>
    <s v="Y"/>
    <n v="5"/>
    <n v="-2"/>
    <n v="0"/>
    <n v="18"/>
    <n v="0"/>
    <m/>
    <n v="0"/>
    <n v="1"/>
    <n v="1124"/>
    <n v="1"/>
    <x v="3"/>
    <n v="1"/>
    <n v="4"/>
    <n v="97"/>
    <n v="3"/>
    <n v="1"/>
    <n v="4"/>
    <n v="1611"/>
    <n v="19305"/>
    <n v="1"/>
    <n v="15"/>
    <n v="3"/>
    <n v="3"/>
    <n v="80"/>
    <n v="0"/>
    <n v="0"/>
    <n v="4"/>
    <n v="0"/>
    <n v="0"/>
    <n v="0"/>
    <n v="0"/>
  </r>
  <r>
    <x v="1"/>
    <s v="Travel_Rarely"/>
    <x v="0"/>
    <s v="Current Employees"/>
    <x v="1"/>
    <x v="2"/>
    <x v="973"/>
    <n v="1369"/>
    <x v="0"/>
    <x v="2"/>
    <x v="1"/>
    <s v="No"/>
    <s v="Y"/>
    <n v="0"/>
    <n v="-2"/>
    <n v="0"/>
    <n v="35"/>
    <n v="0"/>
    <m/>
    <n v="0"/>
    <n v="1"/>
    <n v="817"/>
    <n v="1"/>
    <x v="3"/>
    <n v="1"/>
    <n v="4"/>
    <n v="60"/>
    <n v="2"/>
    <n v="2"/>
    <n v="4"/>
    <n v="5363"/>
    <n v="10846"/>
    <n v="0"/>
    <n v="12"/>
    <n v="3"/>
    <n v="2"/>
    <n v="80"/>
    <n v="1"/>
    <n v="10"/>
    <n v="3"/>
    <n v="9"/>
    <n v="7"/>
    <n v="0"/>
    <n v="0"/>
  </r>
  <r>
    <x v="1"/>
    <s v="Travel_Frequently"/>
    <x v="2"/>
    <s v="Current Employees"/>
    <x v="0"/>
    <x v="0"/>
    <x v="974"/>
    <n v="1371"/>
    <x v="1"/>
    <x v="0"/>
    <x v="0"/>
    <s v="No"/>
    <s v="Y"/>
    <n v="3"/>
    <n v="-2"/>
    <n v="0"/>
    <n v="27"/>
    <n v="0"/>
    <m/>
    <n v="0"/>
    <n v="1"/>
    <n v="793"/>
    <n v="2"/>
    <x v="1"/>
    <n v="1"/>
    <n v="4"/>
    <n v="43"/>
    <n v="1"/>
    <n v="2"/>
    <n v="4"/>
    <n v="5071"/>
    <n v="20392"/>
    <n v="3"/>
    <n v="20"/>
    <n v="4"/>
    <n v="2"/>
    <n v="80"/>
    <n v="0"/>
    <n v="8"/>
    <n v="3"/>
    <n v="6"/>
    <n v="2"/>
    <n v="0"/>
    <n v="0"/>
  </r>
  <r>
    <x v="0"/>
    <s v="Travel_Rarely"/>
    <x v="3"/>
    <s v="Ex-Employees"/>
    <x v="0"/>
    <x v="3"/>
    <x v="975"/>
    <n v="1372"/>
    <x v="1"/>
    <x v="0"/>
    <x v="0"/>
    <s v="Yes"/>
    <s v="Y"/>
    <n v="2"/>
    <n v="-2"/>
    <n v="0"/>
    <n v="55"/>
    <n v="1"/>
    <n v="1"/>
    <n v="1"/>
    <n v="0"/>
    <n v="267"/>
    <n v="13"/>
    <x v="2"/>
    <n v="1"/>
    <n v="1"/>
    <n v="85"/>
    <n v="4"/>
    <n v="4"/>
    <n v="2"/>
    <n v="13695"/>
    <n v="9277"/>
    <n v="6"/>
    <n v="17"/>
    <n v="3"/>
    <n v="3"/>
    <n v="80"/>
    <n v="0"/>
    <n v="24"/>
    <n v="2"/>
    <n v="19"/>
    <n v="7"/>
    <n v="3"/>
    <n v="8"/>
  </r>
  <r>
    <x v="1"/>
    <s v="Travel_Rarely"/>
    <x v="3"/>
    <s v="Current Employees"/>
    <x v="1"/>
    <x v="0"/>
    <x v="976"/>
    <n v="1373"/>
    <x v="1"/>
    <x v="3"/>
    <x v="1"/>
    <s v="Yes"/>
    <s v="Y"/>
    <n v="0"/>
    <n v="-2"/>
    <n v="0"/>
    <n v="56"/>
    <n v="0"/>
    <m/>
    <n v="0"/>
    <n v="1"/>
    <n v="1369"/>
    <n v="23"/>
    <x v="3"/>
    <n v="1"/>
    <n v="4"/>
    <n v="68"/>
    <n v="3"/>
    <n v="4"/>
    <n v="2"/>
    <n v="13402"/>
    <n v="18235"/>
    <n v="4"/>
    <n v="12"/>
    <n v="3"/>
    <n v="1"/>
    <n v="80"/>
    <n v="1"/>
    <n v="33"/>
    <n v="3"/>
    <n v="19"/>
    <n v="16"/>
    <n v="15"/>
    <n v="9"/>
  </r>
  <r>
    <x v="1"/>
    <s v="Non-Travel"/>
    <x v="2"/>
    <s v="Current Employees"/>
    <x v="1"/>
    <x v="4"/>
    <x v="977"/>
    <n v="1374"/>
    <x v="0"/>
    <x v="1"/>
    <x v="2"/>
    <s v="No"/>
    <s v="Y"/>
    <n v="2"/>
    <n v="-2"/>
    <n v="0"/>
    <n v="34"/>
    <n v="0"/>
    <m/>
    <n v="0"/>
    <n v="1"/>
    <n v="999"/>
    <n v="26"/>
    <x v="1"/>
    <n v="1"/>
    <n v="4"/>
    <n v="92"/>
    <n v="2"/>
    <n v="1"/>
    <n v="4"/>
    <n v="2029"/>
    <n v="15891"/>
    <n v="1"/>
    <n v="20"/>
    <n v="4"/>
    <n v="3"/>
    <n v="80"/>
    <n v="3"/>
    <n v="5"/>
    <n v="3"/>
    <n v="5"/>
    <n v="4"/>
    <n v="0"/>
    <n v="0"/>
  </r>
  <r>
    <x v="1"/>
    <s v="Travel_Rarely"/>
    <x v="0"/>
    <s v="Current Employees"/>
    <x v="1"/>
    <x v="2"/>
    <x v="978"/>
    <n v="1375"/>
    <x v="0"/>
    <x v="4"/>
    <x v="2"/>
    <s v="No"/>
    <s v="Y"/>
    <n v="0"/>
    <n v="-2"/>
    <n v="0"/>
    <n v="40"/>
    <n v="0"/>
    <m/>
    <n v="0"/>
    <n v="1"/>
    <n v="1202"/>
    <n v="2"/>
    <x v="1"/>
    <n v="1"/>
    <n v="2"/>
    <n v="89"/>
    <n v="4"/>
    <n v="2"/>
    <n v="3"/>
    <n v="6377"/>
    <n v="13888"/>
    <n v="5"/>
    <n v="20"/>
    <n v="4"/>
    <n v="2"/>
    <n v="80"/>
    <n v="3"/>
    <n v="15"/>
    <n v="3"/>
    <n v="12"/>
    <n v="11"/>
    <n v="11"/>
    <n v="8"/>
  </r>
  <r>
    <x v="1"/>
    <s v="Travel_Rarely"/>
    <x v="2"/>
    <s v="Current Employees"/>
    <x v="1"/>
    <x v="2"/>
    <x v="979"/>
    <n v="1377"/>
    <x v="1"/>
    <x v="2"/>
    <x v="1"/>
    <s v="No"/>
    <s v="Y"/>
    <n v="1"/>
    <n v="-2"/>
    <n v="0"/>
    <n v="34"/>
    <n v="0"/>
    <m/>
    <n v="0"/>
    <n v="1"/>
    <n v="285"/>
    <n v="29"/>
    <x v="3"/>
    <n v="1"/>
    <n v="2"/>
    <n v="86"/>
    <n v="3"/>
    <n v="2"/>
    <n v="3"/>
    <n v="5429"/>
    <n v="17491"/>
    <n v="4"/>
    <n v="13"/>
    <n v="3"/>
    <n v="1"/>
    <n v="80"/>
    <n v="2"/>
    <n v="10"/>
    <n v="3"/>
    <n v="8"/>
    <n v="7"/>
    <n v="7"/>
    <n v="7"/>
  </r>
  <r>
    <x v="0"/>
    <s v="Travel_Frequently"/>
    <x v="2"/>
    <s v="Ex-Employees"/>
    <x v="0"/>
    <x v="0"/>
    <x v="980"/>
    <n v="1379"/>
    <x v="0"/>
    <x v="6"/>
    <x v="0"/>
    <s v="No"/>
    <s v="Y"/>
    <n v="3"/>
    <n v="-2"/>
    <n v="0"/>
    <n v="31"/>
    <n v="1"/>
    <n v="1"/>
    <n v="1"/>
    <n v="0"/>
    <n v="703"/>
    <n v="2"/>
    <x v="3"/>
    <n v="1"/>
    <n v="3"/>
    <n v="90"/>
    <n v="2"/>
    <n v="1"/>
    <n v="4"/>
    <n v="2785"/>
    <n v="11882"/>
    <n v="7"/>
    <n v="14"/>
    <n v="3"/>
    <n v="3"/>
    <n v="80"/>
    <n v="0"/>
    <n v="3"/>
    <n v="4"/>
    <n v="1"/>
    <n v="0"/>
    <n v="0"/>
    <n v="0"/>
  </r>
  <r>
    <x v="0"/>
    <s v="Travel_Frequently"/>
    <x v="0"/>
    <s v="Ex-Employees"/>
    <x v="0"/>
    <x v="3"/>
    <x v="981"/>
    <n v="1380"/>
    <x v="0"/>
    <x v="0"/>
    <x v="1"/>
    <s v="Yes"/>
    <s v="Y"/>
    <n v="0"/>
    <n v="-2"/>
    <n v="0"/>
    <n v="35"/>
    <n v="1"/>
    <n v="1"/>
    <n v="1"/>
    <n v="0"/>
    <n v="662"/>
    <n v="18"/>
    <x v="2"/>
    <n v="1"/>
    <n v="4"/>
    <n v="67"/>
    <n v="3"/>
    <n v="2"/>
    <n v="2"/>
    <n v="4614"/>
    <n v="23288"/>
    <n v="0"/>
    <n v="18"/>
    <n v="3"/>
    <n v="3"/>
    <n v="80"/>
    <n v="1"/>
    <n v="5"/>
    <n v="2"/>
    <n v="4"/>
    <n v="2"/>
    <n v="3"/>
    <n v="2"/>
  </r>
  <r>
    <x v="1"/>
    <s v="Travel_Frequently"/>
    <x v="0"/>
    <s v="Current Employees"/>
    <x v="1"/>
    <x v="0"/>
    <x v="982"/>
    <n v="1382"/>
    <x v="1"/>
    <x v="1"/>
    <x v="2"/>
    <s v="No"/>
    <s v="Y"/>
    <n v="2"/>
    <n v="-2"/>
    <n v="0"/>
    <n v="38"/>
    <n v="0"/>
    <m/>
    <n v="0"/>
    <n v="1"/>
    <n v="693"/>
    <n v="7"/>
    <x v="3"/>
    <n v="1"/>
    <n v="4"/>
    <n v="57"/>
    <n v="4"/>
    <n v="1"/>
    <n v="3"/>
    <n v="2610"/>
    <n v="15748"/>
    <n v="1"/>
    <n v="11"/>
    <n v="3"/>
    <n v="4"/>
    <n v="80"/>
    <n v="3"/>
    <n v="4"/>
    <n v="3"/>
    <n v="4"/>
    <n v="2"/>
    <n v="0"/>
    <n v="3"/>
  </r>
  <r>
    <x v="1"/>
    <s v="Travel_Rarely"/>
    <x v="2"/>
    <s v="Current Employees"/>
    <x v="1"/>
    <x v="4"/>
    <x v="983"/>
    <n v="1383"/>
    <x v="0"/>
    <x v="4"/>
    <x v="0"/>
    <s v="No"/>
    <s v="Y"/>
    <n v="2"/>
    <n v="-2"/>
    <n v="0"/>
    <n v="34"/>
    <n v="0"/>
    <m/>
    <n v="0"/>
    <n v="1"/>
    <n v="404"/>
    <n v="2"/>
    <x v="2"/>
    <n v="1"/>
    <n v="4"/>
    <n v="98"/>
    <n v="3"/>
    <n v="2"/>
    <n v="4"/>
    <n v="6687"/>
    <n v="6163"/>
    <n v="1"/>
    <n v="11"/>
    <n v="3"/>
    <n v="4"/>
    <n v="80"/>
    <n v="0"/>
    <n v="14"/>
    <n v="4"/>
    <n v="14"/>
    <n v="11"/>
    <n v="4"/>
    <n v="11"/>
  </r>
  <r>
    <x v="1"/>
    <s v="Travel_Rarely"/>
    <x v="2"/>
    <s v="Current Employees"/>
    <x v="0"/>
    <x v="0"/>
    <x v="984"/>
    <n v="1387"/>
    <x v="1"/>
    <x v="0"/>
    <x v="1"/>
    <s v="No"/>
    <s v="Y"/>
    <n v="0"/>
    <n v="-2"/>
    <n v="0"/>
    <n v="28"/>
    <n v="0"/>
    <m/>
    <n v="0"/>
    <n v="1"/>
    <n v="736"/>
    <n v="26"/>
    <x v="3"/>
    <n v="1"/>
    <n v="3"/>
    <n v="48"/>
    <n v="2"/>
    <n v="2"/>
    <n v="3"/>
    <n v="4724"/>
    <n v="24232"/>
    <n v="1"/>
    <n v="11"/>
    <n v="3"/>
    <n v="3"/>
    <n v="80"/>
    <n v="1"/>
    <n v="5"/>
    <n v="3"/>
    <n v="5"/>
    <n v="3"/>
    <n v="0"/>
    <n v="4"/>
  </r>
  <r>
    <x v="0"/>
    <s v="Travel_Rarely"/>
    <x v="2"/>
    <s v="Ex-Employees"/>
    <x v="1"/>
    <x v="2"/>
    <x v="985"/>
    <n v="1389"/>
    <x v="1"/>
    <x v="3"/>
    <x v="1"/>
    <s v="Yes"/>
    <s v="Y"/>
    <n v="3"/>
    <n v="-2"/>
    <n v="0"/>
    <n v="31"/>
    <n v="1"/>
    <n v="1"/>
    <n v="1"/>
    <n v="0"/>
    <n v="330"/>
    <n v="22"/>
    <x v="2"/>
    <n v="1"/>
    <n v="4"/>
    <n v="98"/>
    <n v="3"/>
    <n v="2"/>
    <n v="3"/>
    <n v="6179"/>
    <n v="21057"/>
    <n v="1"/>
    <n v="15"/>
    <n v="3"/>
    <n v="4"/>
    <n v="80"/>
    <n v="2"/>
    <n v="10"/>
    <n v="2"/>
    <n v="10"/>
    <n v="2"/>
    <n v="6"/>
    <n v="7"/>
  </r>
  <r>
    <x v="1"/>
    <s v="Travel_Rarely"/>
    <x v="0"/>
    <s v="Current Employees"/>
    <x v="0"/>
    <x v="0"/>
    <x v="986"/>
    <n v="1390"/>
    <x v="1"/>
    <x v="0"/>
    <x v="1"/>
    <s v="Yes"/>
    <s v="Y"/>
    <n v="2"/>
    <n v="-2"/>
    <n v="0"/>
    <n v="39"/>
    <n v="0"/>
    <m/>
    <n v="0"/>
    <n v="1"/>
    <n v="1498"/>
    <n v="21"/>
    <x v="2"/>
    <n v="1"/>
    <n v="1"/>
    <n v="44"/>
    <n v="2"/>
    <n v="2"/>
    <n v="4"/>
    <n v="6120"/>
    <n v="3567"/>
    <n v="3"/>
    <n v="12"/>
    <n v="3"/>
    <n v="4"/>
    <n v="80"/>
    <n v="2"/>
    <n v="8"/>
    <n v="4"/>
    <n v="5"/>
    <n v="4"/>
    <n v="1"/>
    <n v="4"/>
  </r>
  <r>
    <x v="1"/>
    <s v="Travel_Frequently"/>
    <x v="1"/>
    <s v="Current Employees"/>
    <x v="0"/>
    <x v="3"/>
    <x v="987"/>
    <n v="1391"/>
    <x v="1"/>
    <x v="0"/>
    <x v="1"/>
    <s v="No"/>
    <s v="Y"/>
    <n v="5"/>
    <n v="-2"/>
    <n v="0"/>
    <n v="51"/>
    <n v="0"/>
    <m/>
    <n v="0"/>
    <n v="1"/>
    <n v="541"/>
    <n v="2"/>
    <x v="3"/>
    <n v="1"/>
    <n v="2"/>
    <n v="52"/>
    <n v="3"/>
    <n v="3"/>
    <n v="2"/>
    <n v="10596"/>
    <n v="15395"/>
    <n v="2"/>
    <n v="11"/>
    <n v="3"/>
    <n v="2"/>
    <n v="80"/>
    <n v="0"/>
    <n v="14"/>
    <n v="3"/>
    <n v="4"/>
    <n v="2"/>
    <n v="3"/>
    <n v="2"/>
  </r>
  <r>
    <x v="1"/>
    <s v="Travel_Frequently"/>
    <x v="0"/>
    <s v="Current Employees"/>
    <x v="1"/>
    <x v="0"/>
    <x v="988"/>
    <n v="1392"/>
    <x v="0"/>
    <x v="1"/>
    <x v="2"/>
    <s v="Yes"/>
    <s v="Y"/>
    <n v="4"/>
    <n v="-2"/>
    <n v="0"/>
    <n v="41"/>
    <n v="0"/>
    <m/>
    <n v="0"/>
    <n v="1"/>
    <n v="1200"/>
    <n v="22"/>
    <x v="3"/>
    <n v="1"/>
    <n v="4"/>
    <n v="75"/>
    <n v="3"/>
    <n v="2"/>
    <n v="4"/>
    <n v="5467"/>
    <n v="13953"/>
    <n v="3"/>
    <n v="14"/>
    <n v="3"/>
    <n v="1"/>
    <n v="80"/>
    <n v="2"/>
    <n v="12"/>
    <n v="2"/>
    <n v="6"/>
    <n v="2"/>
    <n v="3"/>
    <n v="3"/>
  </r>
  <r>
    <x v="1"/>
    <s v="Travel_Rarely"/>
    <x v="0"/>
    <s v="Current Employees"/>
    <x v="1"/>
    <x v="0"/>
    <x v="989"/>
    <n v="1394"/>
    <x v="1"/>
    <x v="1"/>
    <x v="1"/>
    <s v="Yes"/>
    <s v="Y"/>
    <n v="2"/>
    <n v="-2"/>
    <n v="0"/>
    <n v="37"/>
    <n v="0"/>
    <m/>
    <n v="0"/>
    <n v="1"/>
    <n v="1439"/>
    <n v="4"/>
    <x v="1"/>
    <n v="1"/>
    <n v="3"/>
    <n v="54"/>
    <n v="3"/>
    <n v="1"/>
    <n v="3"/>
    <n v="2996"/>
    <n v="5182"/>
    <n v="7"/>
    <n v="15"/>
    <n v="3"/>
    <n v="4"/>
    <n v="80"/>
    <n v="0"/>
    <n v="8"/>
    <n v="3"/>
    <n v="6"/>
    <n v="4"/>
    <n v="1"/>
    <n v="3"/>
  </r>
  <r>
    <x v="1"/>
    <s v="Travel_Frequently"/>
    <x v="2"/>
    <s v="Current Employees"/>
    <x v="0"/>
    <x v="0"/>
    <x v="990"/>
    <n v="1395"/>
    <x v="1"/>
    <x v="0"/>
    <x v="1"/>
    <s v="No"/>
    <s v="Y"/>
    <n v="2"/>
    <n v="-2"/>
    <n v="0"/>
    <n v="33"/>
    <n v="0"/>
    <m/>
    <n v="0"/>
    <n v="1"/>
    <n v="1111"/>
    <n v="5"/>
    <x v="1"/>
    <n v="1"/>
    <n v="2"/>
    <n v="61"/>
    <n v="3"/>
    <n v="2"/>
    <n v="4"/>
    <n v="9998"/>
    <n v="19293"/>
    <n v="6"/>
    <n v="13"/>
    <n v="3"/>
    <n v="1"/>
    <n v="80"/>
    <n v="0"/>
    <n v="8"/>
    <n v="4"/>
    <n v="5"/>
    <n v="4"/>
    <n v="1"/>
    <n v="2"/>
  </r>
  <r>
    <x v="1"/>
    <s v="Travel_Rarely"/>
    <x v="2"/>
    <s v="Current Employees"/>
    <x v="0"/>
    <x v="3"/>
    <x v="991"/>
    <n v="1396"/>
    <x v="1"/>
    <x v="0"/>
    <x v="1"/>
    <s v="Yes"/>
    <s v="Y"/>
    <n v="3"/>
    <n v="-2"/>
    <n v="0"/>
    <n v="32"/>
    <n v="0"/>
    <m/>
    <n v="0"/>
    <n v="1"/>
    <n v="499"/>
    <n v="2"/>
    <x v="1"/>
    <n v="1"/>
    <n v="3"/>
    <n v="36"/>
    <n v="3"/>
    <n v="2"/>
    <n v="2"/>
    <n v="4078"/>
    <n v="20497"/>
    <n v="0"/>
    <n v="13"/>
    <n v="3"/>
    <n v="1"/>
    <n v="80"/>
    <n v="3"/>
    <n v="4"/>
    <n v="2"/>
    <n v="3"/>
    <n v="2"/>
    <n v="1"/>
    <n v="2"/>
  </r>
  <r>
    <x v="1"/>
    <s v="Non-Travel"/>
    <x v="0"/>
    <s v="Current Employees"/>
    <x v="1"/>
    <x v="0"/>
    <x v="992"/>
    <n v="1397"/>
    <x v="1"/>
    <x v="4"/>
    <x v="1"/>
    <s v="No"/>
    <s v="Y"/>
    <n v="2"/>
    <n v="-2"/>
    <n v="0"/>
    <n v="39"/>
    <n v="0"/>
    <m/>
    <n v="0"/>
    <n v="1"/>
    <n v="1485"/>
    <n v="25"/>
    <x v="0"/>
    <n v="1"/>
    <n v="3"/>
    <n v="71"/>
    <n v="3"/>
    <n v="3"/>
    <n v="3"/>
    <n v="10920"/>
    <n v="3449"/>
    <n v="3"/>
    <n v="21"/>
    <n v="4"/>
    <n v="2"/>
    <n v="80"/>
    <n v="1"/>
    <n v="13"/>
    <n v="3"/>
    <n v="6"/>
    <n v="4"/>
    <n v="0"/>
    <n v="5"/>
  </r>
  <r>
    <x v="1"/>
    <s v="Travel_Rarely"/>
    <x v="2"/>
    <s v="Current Employees"/>
    <x v="0"/>
    <x v="0"/>
    <x v="993"/>
    <n v="1399"/>
    <x v="1"/>
    <x v="0"/>
    <x v="1"/>
    <s v="No"/>
    <s v="Y"/>
    <n v="3"/>
    <n v="-2"/>
    <n v="0"/>
    <n v="25"/>
    <n v="0"/>
    <m/>
    <n v="0"/>
    <n v="1"/>
    <n v="1372"/>
    <n v="18"/>
    <x v="1"/>
    <n v="1"/>
    <n v="1"/>
    <n v="93"/>
    <n v="4"/>
    <n v="2"/>
    <n v="3"/>
    <n v="6232"/>
    <n v="12477"/>
    <n v="2"/>
    <n v="11"/>
    <n v="3"/>
    <n v="2"/>
    <n v="80"/>
    <n v="0"/>
    <n v="6"/>
    <n v="2"/>
    <n v="3"/>
    <n v="2"/>
    <n v="1"/>
    <n v="2"/>
  </r>
  <r>
    <x v="1"/>
    <s v="Travel_Frequently"/>
    <x v="1"/>
    <s v="Current Employees"/>
    <x v="1"/>
    <x v="2"/>
    <x v="994"/>
    <n v="1401"/>
    <x v="0"/>
    <x v="3"/>
    <x v="1"/>
    <s v="Yes"/>
    <s v="Y"/>
    <n v="3"/>
    <n v="-2"/>
    <n v="0"/>
    <n v="52"/>
    <n v="0"/>
    <m/>
    <n v="0"/>
    <n v="1"/>
    <n v="322"/>
    <n v="28"/>
    <x v="0"/>
    <n v="1"/>
    <n v="4"/>
    <n v="59"/>
    <n v="4"/>
    <n v="4"/>
    <n v="3"/>
    <n v="13247"/>
    <n v="9731"/>
    <n v="2"/>
    <n v="11"/>
    <n v="3"/>
    <n v="2"/>
    <n v="80"/>
    <n v="1"/>
    <n v="24"/>
    <n v="2"/>
    <n v="5"/>
    <n v="3"/>
    <n v="0"/>
    <n v="2"/>
  </r>
  <r>
    <x v="1"/>
    <s v="Travel_Rarely"/>
    <x v="0"/>
    <s v="Current Employees"/>
    <x v="1"/>
    <x v="2"/>
    <x v="995"/>
    <n v="1402"/>
    <x v="0"/>
    <x v="1"/>
    <x v="0"/>
    <s v="Yes"/>
    <s v="Y"/>
    <n v="3"/>
    <n v="-2"/>
    <n v="0"/>
    <n v="43"/>
    <n v="0"/>
    <m/>
    <n v="0"/>
    <n v="1"/>
    <n v="930"/>
    <n v="6"/>
    <x v="3"/>
    <n v="1"/>
    <n v="1"/>
    <n v="73"/>
    <n v="2"/>
    <n v="2"/>
    <n v="3"/>
    <n v="4081"/>
    <n v="20003"/>
    <n v="1"/>
    <n v="14"/>
    <n v="3"/>
    <n v="1"/>
    <n v="80"/>
    <n v="0"/>
    <n v="20"/>
    <n v="1"/>
    <n v="20"/>
    <n v="7"/>
    <n v="1"/>
    <n v="8"/>
  </r>
  <r>
    <x v="1"/>
    <s v="Travel_Rarely"/>
    <x v="2"/>
    <s v="Current Employees"/>
    <x v="0"/>
    <x v="3"/>
    <x v="996"/>
    <n v="1403"/>
    <x v="0"/>
    <x v="0"/>
    <x v="1"/>
    <s v="Yes"/>
    <s v="Y"/>
    <n v="3"/>
    <n v="-2"/>
    <n v="0"/>
    <n v="27"/>
    <n v="0"/>
    <m/>
    <n v="0"/>
    <n v="1"/>
    <n v="205"/>
    <n v="10"/>
    <x v="3"/>
    <n v="1"/>
    <n v="4"/>
    <n v="98"/>
    <n v="2"/>
    <n v="2"/>
    <n v="2"/>
    <n v="5769"/>
    <n v="7100"/>
    <n v="1"/>
    <n v="11"/>
    <n v="3"/>
    <n v="4"/>
    <n v="80"/>
    <n v="0"/>
    <n v="6"/>
    <n v="3"/>
    <n v="6"/>
    <n v="2"/>
    <n v="4"/>
    <n v="4"/>
  </r>
  <r>
    <x v="0"/>
    <s v="Travel_Rarely"/>
    <x v="2"/>
    <s v="Ex-Employees"/>
    <x v="1"/>
    <x v="0"/>
    <x v="997"/>
    <n v="1405"/>
    <x v="0"/>
    <x v="1"/>
    <x v="0"/>
    <s v="Yes"/>
    <s v="Y"/>
    <n v="2"/>
    <n v="-2"/>
    <n v="0"/>
    <n v="27"/>
    <n v="1"/>
    <n v="1"/>
    <n v="1"/>
    <n v="0"/>
    <n v="135"/>
    <n v="17"/>
    <x v="2"/>
    <n v="1"/>
    <n v="4"/>
    <n v="51"/>
    <n v="3"/>
    <n v="1"/>
    <n v="3"/>
    <n v="2394"/>
    <n v="25681"/>
    <n v="1"/>
    <n v="13"/>
    <n v="3"/>
    <n v="4"/>
    <n v="80"/>
    <n v="0"/>
    <n v="8"/>
    <n v="3"/>
    <n v="8"/>
    <n v="2"/>
    <n v="7"/>
    <n v="7"/>
  </r>
  <r>
    <x v="1"/>
    <s v="Travel_Rarely"/>
    <x v="2"/>
    <s v="Current Employees"/>
    <x v="1"/>
    <x v="2"/>
    <x v="998"/>
    <n v="1407"/>
    <x v="1"/>
    <x v="1"/>
    <x v="0"/>
    <s v="No"/>
    <s v="Y"/>
    <n v="2"/>
    <n v="-2"/>
    <n v="0"/>
    <n v="26"/>
    <n v="0"/>
    <m/>
    <n v="0"/>
    <n v="1"/>
    <n v="683"/>
    <n v="2"/>
    <x v="1"/>
    <n v="1"/>
    <n v="1"/>
    <n v="36"/>
    <n v="2"/>
    <n v="1"/>
    <n v="4"/>
    <n v="3904"/>
    <n v="4050"/>
    <n v="0"/>
    <n v="12"/>
    <n v="3"/>
    <n v="4"/>
    <n v="80"/>
    <n v="0"/>
    <n v="5"/>
    <n v="3"/>
    <n v="4"/>
    <n v="3"/>
    <n v="1"/>
    <n v="1"/>
  </r>
  <r>
    <x v="1"/>
    <s v="Travel_Rarely"/>
    <x v="0"/>
    <s v="Current Employees"/>
    <x v="2"/>
    <x v="5"/>
    <x v="999"/>
    <n v="1408"/>
    <x v="0"/>
    <x v="5"/>
    <x v="1"/>
    <s v="No"/>
    <s v="Y"/>
    <n v="5"/>
    <n v="-2"/>
    <n v="0"/>
    <n v="42"/>
    <n v="0"/>
    <m/>
    <n v="0"/>
    <n v="1"/>
    <n v="1147"/>
    <n v="10"/>
    <x v="3"/>
    <n v="1"/>
    <n v="3"/>
    <n v="31"/>
    <n v="3"/>
    <n v="4"/>
    <n v="3"/>
    <n v="16799"/>
    <n v="16616"/>
    <n v="0"/>
    <n v="14"/>
    <n v="3"/>
    <n v="3"/>
    <n v="80"/>
    <n v="1"/>
    <n v="21"/>
    <n v="3"/>
    <n v="20"/>
    <n v="7"/>
    <n v="0"/>
    <n v="9"/>
  </r>
  <r>
    <x v="1"/>
    <s v="Non-Travel"/>
    <x v="2"/>
    <s v="Current Employees"/>
    <x v="1"/>
    <x v="2"/>
    <x v="1000"/>
    <n v="1955"/>
    <x v="0"/>
    <x v="4"/>
    <x v="2"/>
    <s v="No"/>
    <s v="Y"/>
    <n v="6"/>
    <n v="-2"/>
    <n v="0"/>
    <n v="32"/>
    <n v="0"/>
    <m/>
    <n v="0"/>
    <n v="1"/>
    <n v="1146"/>
    <n v="15"/>
    <x v="2"/>
    <n v="1"/>
    <n v="3"/>
    <n v="34"/>
    <n v="3"/>
    <n v="2"/>
    <n v="4"/>
    <n v="6667"/>
    <n v="16542"/>
    <n v="5"/>
    <n v="18"/>
    <n v="3"/>
    <n v="2"/>
    <n v="80"/>
    <n v="1"/>
    <n v="9"/>
    <n v="3"/>
    <n v="5"/>
    <n v="1"/>
    <n v="1"/>
    <n v="2"/>
  </r>
  <r>
    <x v="1"/>
    <s v="Non-Travel"/>
    <x v="0"/>
    <s v="Current Employees"/>
    <x v="1"/>
    <x v="2"/>
    <x v="1001"/>
    <n v="1662"/>
    <x v="0"/>
    <x v="3"/>
    <x v="1"/>
    <s v="No"/>
    <s v="Y"/>
    <n v="6"/>
    <n v="-2"/>
    <n v="0"/>
    <n v="36"/>
    <n v="0"/>
    <m/>
    <n v="0"/>
    <n v="1"/>
    <n v="894"/>
    <n v="1"/>
    <x v="2"/>
    <n v="1"/>
    <n v="4"/>
    <n v="33"/>
    <n v="2"/>
    <n v="2"/>
    <n v="3"/>
    <n v="4374"/>
    <n v="15411"/>
    <n v="0"/>
    <n v="15"/>
    <n v="3"/>
    <n v="3"/>
    <n v="80"/>
    <n v="0"/>
    <n v="4"/>
    <n v="3"/>
    <n v="3"/>
    <n v="2"/>
    <n v="1"/>
    <n v="2"/>
  </r>
  <r>
    <x v="1"/>
    <s v="Non-Travel"/>
    <x v="0"/>
    <s v="Current Employees"/>
    <x v="1"/>
    <x v="0"/>
    <x v="1002"/>
    <n v="1630"/>
    <x v="0"/>
    <x v="4"/>
    <x v="1"/>
    <s v="No"/>
    <s v="Y"/>
    <n v="5"/>
    <n v="-2"/>
    <n v="0"/>
    <n v="35"/>
    <n v="0"/>
    <m/>
    <n v="0"/>
    <n v="1"/>
    <n v="208"/>
    <n v="8"/>
    <x v="2"/>
    <n v="1"/>
    <n v="3"/>
    <n v="52"/>
    <n v="3"/>
    <n v="2"/>
    <n v="3"/>
    <n v="4148"/>
    <n v="12250"/>
    <n v="1"/>
    <n v="12"/>
    <n v="3"/>
    <n v="4"/>
    <n v="80"/>
    <n v="1"/>
    <n v="15"/>
    <n v="3"/>
    <n v="14"/>
    <n v="11"/>
    <n v="2"/>
    <n v="9"/>
  </r>
  <r>
    <x v="1"/>
    <s v="Non-Travel"/>
    <x v="1"/>
    <s v="Current Employees"/>
    <x v="1"/>
    <x v="2"/>
    <x v="1003"/>
    <n v="2000"/>
    <x v="0"/>
    <x v="7"/>
    <x v="1"/>
    <s v="No"/>
    <s v="Y"/>
    <n v="3"/>
    <n v="-2"/>
    <n v="0"/>
    <n v="47"/>
    <n v="0"/>
    <m/>
    <n v="0"/>
    <n v="1"/>
    <n v="1162"/>
    <n v="1"/>
    <x v="1"/>
    <n v="1"/>
    <n v="3"/>
    <n v="98"/>
    <n v="3"/>
    <n v="3"/>
    <n v="2"/>
    <n v="11957"/>
    <n v="17231"/>
    <n v="0"/>
    <n v="18"/>
    <n v="3"/>
    <n v="1"/>
    <n v="80"/>
    <n v="2"/>
    <n v="14"/>
    <n v="1"/>
    <n v="13"/>
    <n v="8"/>
    <n v="5"/>
    <n v="12"/>
  </r>
  <r>
    <x v="1"/>
    <s v="Non-Travel"/>
    <x v="4"/>
    <s v="Current Employees"/>
    <x v="1"/>
    <x v="2"/>
    <x v="1004"/>
    <n v="1839"/>
    <x v="0"/>
    <x v="1"/>
    <x v="0"/>
    <s v="No"/>
    <s v="Y"/>
    <n v="4"/>
    <n v="-2"/>
    <n v="0"/>
    <n v="18"/>
    <n v="0"/>
    <m/>
    <n v="0"/>
    <n v="1"/>
    <n v="1431"/>
    <n v="14"/>
    <x v="3"/>
    <n v="1"/>
    <n v="2"/>
    <n v="33"/>
    <n v="3"/>
    <n v="1"/>
    <n v="3"/>
    <n v="1514"/>
    <n v="8018"/>
    <n v="1"/>
    <n v="16"/>
    <n v="3"/>
    <n v="3"/>
    <n v="80"/>
    <n v="0"/>
    <n v="0"/>
    <n v="1"/>
    <n v="0"/>
    <n v="0"/>
    <n v="0"/>
    <n v="0"/>
  </r>
  <r>
    <x v="1"/>
    <s v="Non-Travel"/>
    <x v="0"/>
    <s v="Current Employees"/>
    <x v="0"/>
    <x v="0"/>
    <x v="1005"/>
    <n v="1929"/>
    <x v="0"/>
    <x v="0"/>
    <x v="1"/>
    <s v="No"/>
    <s v="Y"/>
    <n v="1"/>
    <n v="-2"/>
    <n v="0"/>
    <n v="39"/>
    <n v="0"/>
    <m/>
    <n v="0"/>
    <n v="1"/>
    <n v="1251"/>
    <n v="21"/>
    <x v="2"/>
    <n v="1"/>
    <n v="1"/>
    <n v="32"/>
    <n v="1"/>
    <n v="2"/>
    <n v="3"/>
    <n v="5736"/>
    <n v="3987"/>
    <n v="6"/>
    <n v="19"/>
    <n v="3"/>
    <n v="3"/>
    <n v="80"/>
    <n v="1"/>
    <n v="10"/>
    <n v="3"/>
    <n v="3"/>
    <n v="2"/>
    <n v="1"/>
    <n v="2"/>
  </r>
  <r>
    <x v="1"/>
    <s v="Non-Travel"/>
    <x v="4"/>
    <s v="Current Employees"/>
    <x v="0"/>
    <x v="0"/>
    <x v="1006"/>
    <n v="1495"/>
    <x v="0"/>
    <x v="6"/>
    <x v="1"/>
    <s v="No"/>
    <s v="Y"/>
    <n v="2"/>
    <n v="-2"/>
    <n v="0"/>
    <n v="24"/>
    <n v="0"/>
    <m/>
    <n v="0"/>
    <n v="1"/>
    <n v="830"/>
    <n v="13"/>
    <x v="0"/>
    <n v="1"/>
    <n v="4"/>
    <n v="78"/>
    <n v="3"/>
    <n v="1"/>
    <n v="2"/>
    <n v="2033"/>
    <n v="7103"/>
    <n v="1"/>
    <n v="13"/>
    <n v="3"/>
    <n v="3"/>
    <n v="80"/>
    <n v="1"/>
    <n v="1"/>
    <n v="3"/>
    <n v="1"/>
    <n v="0"/>
    <n v="0"/>
    <n v="0"/>
  </r>
  <r>
    <x v="1"/>
    <s v="Non-Travel"/>
    <x v="2"/>
    <s v="Current Employees"/>
    <x v="0"/>
    <x v="3"/>
    <x v="1007"/>
    <n v="1756"/>
    <x v="0"/>
    <x v="0"/>
    <x v="0"/>
    <s v="No"/>
    <s v="Y"/>
    <n v="2"/>
    <n v="-2"/>
    <n v="0"/>
    <n v="33"/>
    <n v="0"/>
    <m/>
    <n v="0"/>
    <n v="1"/>
    <n v="1283"/>
    <n v="2"/>
    <x v="3"/>
    <n v="1"/>
    <n v="4"/>
    <n v="62"/>
    <n v="3"/>
    <n v="2"/>
    <n v="2"/>
    <n v="5147"/>
    <n v="10697"/>
    <n v="8"/>
    <n v="15"/>
    <n v="3"/>
    <n v="4"/>
    <n v="80"/>
    <n v="0"/>
    <n v="13"/>
    <n v="2"/>
    <n v="11"/>
    <n v="7"/>
    <n v="1"/>
    <n v="7"/>
  </r>
  <r>
    <x v="1"/>
    <s v="Travel_Frequently"/>
    <x v="1"/>
    <s v="Current Employees"/>
    <x v="1"/>
    <x v="2"/>
    <x v="1008"/>
    <n v="1900"/>
    <x v="0"/>
    <x v="5"/>
    <x v="2"/>
    <s v="No"/>
    <s v="Y"/>
    <n v="3"/>
    <n v="-2"/>
    <n v="0"/>
    <n v="48"/>
    <n v="0"/>
    <m/>
    <n v="0"/>
    <n v="1"/>
    <n v="117"/>
    <n v="22"/>
    <x v="3"/>
    <n v="1"/>
    <n v="4"/>
    <n v="58"/>
    <n v="3"/>
    <n v="4"/>
    <n v="4"/>
    <n v="17174"/>
    <n v="2437"/>
    <n v="3"/>
    <n v="11"/>
    <n v="3"/>
    <n v="2"/>
    <n v="80"/>
    <n v="1"/>
    <n v="24"/>
    <n v="3"/>
    <n v="22"/>
    <n v="17"/>
    <n v="4"/>
    <n v="7"/>
  </r>
  <r>
    <x v="1"/>
    <s v="Travel_Frequently"/>
    <x v="0"/>
    <s v="Current Employees"/>
    <x v="1"/>
    <x v="0"/>
    <x v="1009"/>
    <n v="2025"/>
    <x v="0"/>
    <x v="3"/>
    <x v="2"/>
    <s v="No"/>
    <s v="Y"/>
    <n v="3"/>
    <n v="-2"/>
    <n v="0"/>
    <n v="36"/>
    <n v="0"/>
    <m/>
    <n v="0"/>
    <n v="1"/>
    <n v="688"/>
    <n v="4"/>
    <x v="0"/>
    <n v="1"/>
    <n v="4"/>
    <n v="97"/>
    <n v="3"/>
    <n v="2"/>
    <n v="2"/>
    <n v="5131"/>
    <n v="9192"/>
    <n v="7"/>
    <n v="13"/>
    <n v="3"/>
    <n v="2"/>
    <n v="80"/>
    <n v="3"/>
    <n v="18"/>
    <n v="3"/>
    <n v="4"/>
    <n v="2"/>
    <n v="0"/>
    <n v="2"/>
  </r>
  <r>
    <x v="1"/>
    <s v="Travel_Frequently"/>
    <x v="0"/>
    <s v="Current Employees"/>
    <x v="1"/>
    <x v="2"/>
    <x v="1010"/>
    <n v="1760"/>
    <x v="0"/>
    <x v="2"/>
    <x v="1"/>
    <s v="No"/>
    <s v="Y"/>
    <n v="4"/>
    <n v="-2"/>
    <n v="0"/>
    <n v="38"/>
    <n v="0"/>
    <m/>
    <n v="0"/>
    <n v="1"/>
    <n v="594"/>
    <n v="2"/>
    <x v="0"/>
    <n v="1"/>
    <n v="3"/>
    <n v="75"/>
    <n v="2"/>
    <n v="1"/>
    <n v="2"/>
    <n v="2468"/>
    <n v="15963"/>
    <n v="4"/>
    <n v="14"/>
    <n v="3"/>
    <n v="2"/>
    <n v="80"/>
    <n v="1"/>
    <n v="9"/>
    <n v="2"/>
    <n v="6"/>
    <n v="1"/>
    <n v="0"/>
    <n v="5"/>
  </r>
  <r>
    <x v="1"/>
    <s v="Travel_Frequently"/>
    <x v="2"/>
    <s v="Current Employees"/>
    <x v="1"/>
    <x v="0"/>
    <x v="1011"/>
    <n v="1870"/>
    <x v="0"/>
    <x v="1"/>
    <x v="1"/>
    <s v="No"/>
    <s v="Y"/>
    <n v="2"/>
    <n v="-2"/>
    <n v="0"/>
    <n v="27"/>
    <n v="0"/>
    <m/>
    <n v="0"/>
    <n v="1"/>
    <n v="1131"/>
    <n v="15"/>
    <x v="3"/>
    <n v="1"/>
    <n v="4"/>
    <n v="77"/>
    <n v="2"/>
    <n v="1"/>
    <n v="3"/>
    <n v="4774"/>
    <n v="23844"/>
    <n v="0"/>
    <n v="19"/>
    <n v="3"/>
    <n v="4"/>
    <n v="80"/>
    <n v="1"/>
    <n v="8"/>
    <n v="2"/>
    <n v="7"/>
    <n v="6"/>
    <n v="7"/>
    <n v="3"/>
  </r>
  <r>
    <x v="1"/>
    <s v="Travel_Frequently"/>
    <x v="0"/>
    <s v="Current Employees"/>
    <x v="1"/>
    <x v="4"/>
    <x v="1012"/>
    <n v="1985"/>
    <x v="0"/>
    <x v="2"/>
    <x v="1"/>
    <s v="No"/>
    <s v="Y"/>
    <n v="2"/>
    <n v="-2"/>
    <n v="0"/>
    <n v="40"/>
    <n v="0"/>
    <m/>
    <n v="0"/>
    <n v="1"/>
    <n v="692"/>
    <n v="11"/>
    <x v="3"/>
    <n v="1"/>
    <n v="4"/>
    <n v="73"/>
    <n v="3"/>
    <n v="2"/>
    <n v="4"/>
    <n v="6323"/>
    <n v="26849"/>
    <n v="1"/>
    <n v="11"/>
    <n v="3"/>
    <n v="1"/>
    <n v="80"/>
    <n v="1"/>
    <n v="10"/>
    <n v="4"/>
    <n v="10"/>
    <n v="9"/>
    <n v="9"/>
    <n v="4"/>
  </r>
  <r>
    <x v="1"/>
    <s v="Travel_Frequently"/>
    <x v="2"/>
    <s v="Current Employees"/>
    <x v="1"/>
    <x v="0"/>
    <x v="1013"/>
    <n v="1513"/>
    <x v="0"/>
    <x v="2"/>
    <x v="1"/>
    <s v="No"/>
    <s v="Y"/>
    <n v="3"/>
    <n v="-2"/>
    <n v="0"/>
    <n v="29"/>
    <n v="0"/>
    <m/>
    <n v="0"/>
    <n v="1"/>
    <n v="410"/>
    <n v="2"/>
    <x v="1"/>
    <n v="1"/>
    <n v="4"/>
    <n v="97"/>
    <n v="3"/>
    <n v="1"/>
    <n v="2"/>
    <n v="3180"/>
    <n v="4668"/>
    <n v="0"/>
    <n v="13"/>
    <n v="3"/>
    <n v="3"/>
    <n v="80"/>
    <n v="3"/>
    <n v="4"/>
    <n v="3"/>
    <n v="3"/>
    <n v="2"/>
    <n v="0"/>
    <n v="2"/>
  </r>
  <r>
    <x v="1"/>
    <s v="Travel_Frequently"/>
    <x v="0"/>
    <s v="Current Employees"/>
    <x v="1"/>
    <x v="2"/>
    <x v="1014"/>
    <n v="1633"/>
    <x v="0"/>
    <x v="3"/>
    <x v="0"/>
    <s v="No"/>
    <s v="Y"/>
    <n v="2"/>
    <n v="-2"/>
    <n v="0"/>
    <n v="39"/>
    <n v="0"/>
    <m/>
    <n v="0"/>
    <n v="1"/>
    <n v="711"/>
    <n v="4"/>
    <x v="3"/>
    <n v="1"/>
    <n v="1"/>
    <n v="81"/>
    <n v="3"/>
    <n v="2"/>
    <n v="3"/>
    <n v="5042"/>
    <n v="3140"/>
    <n v="0"/>
    <n v="13"/>
    <n v="3"/>
    <n v="4"/>
    <n v="80"/>
    <n v="0"/>
    <n v="10"/>
    <n v="1"/>
    <n v="9"/>
    <n v="2"/>
    <n v="3"/>
    <n v="8"/>
  </r>
  <r>
    <x v="1"/>
    <s v="Travel_Frequently"/>
    <x v="0"/>
    <s v="Current Employees"/>
    <x v="1"/>
    <x v="2"/>
    <x v="1015"/>
    <n v="1480"/>
    <x v="0"/>
    <x v="2"/>
    <x v="0"/>
    <s v="No"/>
    <s v="Y"/>
    <n v="3"/>
    <n v="-2"/>
    <n v="0"/>
    <n v="42"/>
    <n v="0"/>
    <m/>
    <n v="0"/>
    <n v="1"/>
    <n v="748"/>
    <n v="9"/>
    <x v="0"/>
    <n v="1"/>
    <n v="1"/>
    <n v="74"/>
    <n v="3"/>
    <n v="1"/>
    <n v="4"/>
    <n v="3673"/>
    <n v="16458"/>
    <n v="1"/>
    <n v="13"/>
    <n v="3"/>
    <n v="3"/>
    <n v="80"/>
    <n v="0"/>
    <n v="12"/>
    <n v="3"/>
    <n v="12"/>
    <n v="9"/>
    <n v="5"/>
    <n v="8"/>
  </r>
  <r>
    <x v="1"/>
    <s v="Travel_Frequently"/>
    <x v="2"/>
    <s v="Current Employees"/>
    <x v="1"/>
    <x v="4"/>
    <x v="1016"/>
    <n v="1745"/>
    <x v="0"/>
    <x v="1"/>
    <x v="0"/>
    <s v="No"/>
    <s v="Y"/>
    <n v="2"/>
    <n v="-2"/>
    <n v="0"/>
    <n v="30"/>
    <n v="0"/>
    <m/>
    <n v="0"/>
    <n v="1"/>
    <n v="1312"/>
    <n v="2"/>
    <x v="2"/>
    <n v="1"/>
    <n v="4"/>
    <n v="78"/>
    <n v="2"/>
    <n v="1"/>
    <n v="4"/>
    <n v="4968"/>
    <n v="26427"/>
    <n v="0"/>
    <n v="16"/>
    <n v="3"/>
    <n v="4"/>
    <n v="80"/>
    <n v="0"/>
    <n v="10"/>
    <n v="3"/>
    <n v="9"/>
    <n v="7"/>
    <n v="0"/>
    <n v="7"/>
  </r>
  <r>
    <x v="1"/>
    <s v="Travel_Frequently"/>
    <x v="0"/>
    <s v="Current Employees"/>
    <x v="0"/>
    <x v="3"/>
    <x v="1017"/>
    <n v="1481"/>
    <x v="0"/>
    <x v="0"/>
    <x v="1"/>
    <s v="No"/>
    <s v="Y"/>
    <n v="4"/>
    <n v="-2"/>
    <n v="0"/>
    <n v="44"/>
    <n v="0"/>
    <m/>
    <n v="0"/>
    <n v="1"/>
    <n v="383"/>
    <n v="1"/>
    <x v="4"/>
    <n v="1"/>
    <n v="1"/>
    <n v="79"/>
    <n v="3"/>
    <n v="2"/>
    <n v="2"/>
    <n v="4768"/>
    <n v="9282"/>
    <n v="7"/>
    <n v="12"/>
    <n v="3"/>
    <n v="3"/>
    <n v="80"/>
    <n v="1"/>
    <n v="11"/>
    <n v="2"/>
    <n v="1"/>
    <n v="0"/>
    <n v="0"/>
    <n v="0"/>
  </r>
  <r>
    <x v="1"/>
    <s v="Travel_Frequently"/>
    <x v="2"/>
    <s v="Current Employees"/>
    <x v="0"/>
    <x v="3"/>
    <x v="1018"/>
    <n v="1833"/>
    <x v="0"/>
    <x v="0"/>
    <x v="1"/>
    <s v="No"/>
    <s v="Y"/>
    <n v="3"/>
    <n v="-2"/>
    <n v="0"/>
    <n v="31"/>
    <n v="0"/>
    <m/>
    <n v="0"/>
    <n v="1"/>
    <n v="1125"/>
    <n v="7"/>
    <x v="2"/>
    <n v="1"/>
    <n v="1"/>
    <n v="68"/>
    <n v="3"/>
    <n v="3"/>
    <n v="2"/>
    <n v="9637"/>
    <n v="8277"/>
    <n v="2"/>
    <n v="14"/>
    <n v="3"/>
    <n v="4"/>
    <n v="80"/>
    <n v="2"/>
    <n v="9"/>
    <n v="3"/>
    <n v="3"/>
    <n v="2"/>
    <n v="2"/>
    <n v="2"/>
  </r>
  <r>
    <x v="1"/>
    <s v="Travel_Rarely"/>
    <x v="2"/>
    <s v="Current Employees"/>
    <x v="2"/>
    <x v="5"/>
    <x v="1019"/>
    <n v="1987"/>
    <x v="0"/>
    <x v="8"/>
    <x v="1"/>
    <s v="No"/>
    <s v="Y"/>
    <n v="3"/>
    <n v="-2"/>
    <n v="0"/>
    <n v="25"/>
    <n v="0"/>
    <m/>
    <n v="0"/>
    <n v="1"/>
    <n v="309"/>
    <n v="2"/>
    <x v="3"/>
    <n v="1"/>
    <n v="3"/>
    <n v="82"/>
    <n v="3"/>
    <n v="1"/>
    <n v="2"/>
    <n v="2187"/>
    <n v="19655"/>
    <n v="4"/>
    <n v="14"/>
    <n v="3"/>
    <n v="3"/>
    <n v="80"/>
    <n v="0"/>
    <n v="6"/>
    <n v="3"/>
    <n v="2"/>
    <n v="0"/>
    <n v="1"/>
    <n v="2"/>
  </r>
  <r>
    <x v="1"/>
    <s v="Travel_Rarely"/>
    <x v="1"/>
    <s v="Current Employees"/>
    <x v="2"/>
    <x v="0"/>
    <x v="1020"/>
    <n v="1625"/>
    <x v="0"/>
    <x v="5"/>
    <x v="1"/>
    <s v="No"/>
    <s v="Y"/>
    <n v="2"/>
    <n v="-2"/>
    <n v="0"/>
    <n v="47"/>
    <n v="0"/>
    <m/>
    <n v="0"/>
    <n v="1"/>
    <n v="1176"/>
    <n v="26"/>
    <x v="2"/>
    <n v="1"/>
    <n v="4"/>
    <n v="98"/>
    <n v="3"/>
    <n v="5"/>
    <n v="3"/>
    <n v="19658"/>
    <n v="5220"/>
    <n v="3"/>
    <n v="11"/>
    <n v="3"/>
    <n v="3"/>
    <n v="80"/>
    <n v="1"/>
    <n v="27"/>
    <n v="3"/>
    <n v="5"/>
    <n v="2"/>
    <n v="1"/>
    <n v="0"/>
  </r>
  <r>
    <x v="1"/>
    <s v="Travel_Rarely"/>
    <x v="2"/>
    <s v="Current Employees"/>
    <x v="2"/>
    <x v="2"/>
    <x v="1021"/>
    <n v="1461"/>
    <x v="0"/>
    <x v="8"/>
    <x v="0"/>
    <s v="No"/>
    <s v="Y"/>
    <n v="3"/>
    <n v="-2"/>
    <n v="0"/>
    <n v="31"/>
    <n v="0"/>
    <m/>
    <n v="0"/>
    <n v="1"/>
    <n v="1398"/>
    <n v="8"/>
    <x v="0"/>
    <n v="1"/>
    <n v="4"/>
    <n v="96"/>
    <n v="4"/>
    <n v="1"/>
    <n v="2"/>
    <n v="2109"/>
    <n v="24609"/>
    <n v="9"/>
    <n v="18"/>
    <n v="3"/>
    <n v="4"/>
    <n v="80"/>
    <n v="0"/>
    <n v="8"/>
    <n v="3"/>
    <n v="3"/>
    <n v="2"/>
    <n v="0"/>
    <n v="2"/>
  </r>
  <r>
    <x v="1"/>
    <s v="Travel_Rarely"/>
    <x v="2"/>
    <s v="Current Employees"/>
    <x v="1"/>
    <x v="2"/>
    <x v="1022"/>
    <n v="1916"/>
    <x v="0"/>
    <x v="2"/>
    <x v="2"/>
    <s v="No"/>
    <s v="Y"/>
    <n v="0"/>
    <n v="-2"/>
    <n v="0"/>
    <n v="31"/>
    <n v="0"/>
    <m/>
    <n v="0"/>
    <n v="1"/>
    <n v="471"/>
    <n v="4"/>
    <x v="3"/>
    <n v="1"/>
    <n v="1"/>
    <n v="62"/>
    <n v="4"/>
    <n v="1"/>
    <n v="3"/>
    <n v="3978"/>
    <n v="16031"/>
    <n v="8"/>
    <n v="12"/>
    <n v="3"/>
    <n v="2"/>
    <n v="80"/>
    <n v="1"/>
    <n v="4"/>
    <n v="2"/>
    <n v="2"/>
    <n v="2"/>
    <n v="2"/>
    <n v="2"/>
  </r>
  <r>
    <x v="1"/>
    <s v="Travel_Rarely"/>
    <x v="0"/>
    <s v="Current Employees"/>
    <x v="1"/>
    <x v="0"/>
    <x v="1023"/>
    <n v="1829"/>
    <x v="0"/>
    <x v="4"/>
    <x v="2"/>
    <s v="No"/>
    <s v="Y"/>
    <n v="3"/>
    <n v="-2"/>
    <n v="0"/>
    <n v="40"/>
    <n v="0"/>
    <m/>
    <n v="0"/>
    <n v="1"/>
    <n v="750"/>
    <n v="12"/>
    <x v="3"/>
    <n v="1"/>
    <n v="2"/>
    <n v="47"/>
    <n v="3"/>
    <n v="2"/>
    <n v="3"/>
    <n v="4448"/>
    <n v="10748"/>
    <n v="2"/>
    <n v="12"/>
    <n v="3"/>
    <n v="2"/>
    <n v="80"/>
    <n v="1"/>
    <n v="15"/>
    <n v="3"/>
    <n v="7"/>
    <n v="4"/>
    <n v="7"/>
    <n v="7"/>
  </r>
  <r>
    <x v="1"/>
    <s v="Travel_Rarely"/>
    <x v="0"/>
    <s v="Current Employees"/>
    <x v="1"/>
    <x v="0"/>
    <x v="1024"/>
    <n v="1822"/>
    <x v="0"/>
    <x v="4"/>
    <x v="2"/>
    <s v="No"/>
    <s v="Y"/>
    <n v="3"/>
    <n v="-2"/>
    <n v="0"/>
    <n v="40"/>
    <n v="0"/>
    <m/>
    <n v="0"/>
    <n v="1"/>
    <n v="1194"/>
    <n v="1"/>
    <x v="3"/>
    <n v="1"/>
    <n v="3"/>
    <n v="52"/>
    <n v="3"/>
    <n v="2"/>
    <n v="4"/>
    <n v="6513"/>
    <n v="9060"/>
    <n v="4"/>
    <n v="17"/>
    <n v="3"/>
    <n v="4"/>
    <n v="80"/>
    <n v="1"/>
    <n v="12"/>
    <n v="3"/>
    <n v="5"/>
    <n v="3"/>
    <n v="0"/>
    <n v="3"/>
  </r>
  <r>
    <x v="1"/>
    <s v="Travel_Rarely"/>
    <x v="2"/>
    <s v="Current Employees"/>
    <x v="1"/>
    <x v="4"/>
    <x v="1025"/>
    <n v="1762"/>
    <x v="0"/>
    <x v="1"/>
    <x v="2"/>
    <s v="No"/>
    <s v="Y"/>
    <n v="2"/>
    <n v="-2"/>
    <n v="0"/>
    <n v="29"/>
    <n v="0"/>
    <m/>
    <n v="0"/>
    <n v="1"/>
    <n v="590"/>
    <n v="4"/>
    <x v="3"/>
    <n v="1"/>
    <n v="4"/>
    <n v="91"/>
    <n v="2"/>
    <n v="1"/>
    <n v="4"/>
    <n v="2109"/>
    <n v="10007"/>
    <n v="1"/>
    <n v="13"/>
    <n v="3"/>
    <n v="3"/>
    <n v="80"/>
    <n v="1"/>
    <n v="1"/>
    <n v="3"/>
    <n v="1"/>
    <n v="0"/>
    <n v="0"/>
    <n v="0"/>
  </r>
  <r>
    <x v="1"/>
    <s v="Travel_Rarely"/>
    <x v="2"/>
    <s v="Current Employees"/>
    <x v="1"/>
    <x v="0"/>
    <x v="1026"/>
    <n v="1658"/>
    <x v="0"/>
    <x v="1"/>
    <x v="2"/>
    <s v="No"/>
    <s v="Y"/>
    <n v="2"/>
    <n v="-2"/>
    <n v="0"/>
    <n v="34"/>
    <n v="0"/>
    <m/>
    <n v="0"/>
    <n v="1"/>
    <n v="1130"/>
    <n v="3"/>
    <x v="3"/>
    <n v="1"/>
    <n v="4"/>
    <n v="66"/>
    <n v="3"/>
    <n v="2"/>
    <n v="2"/>
    <n v="5433"/>
    <n v="19332"/>
    <n v="1"/>
    <n v="12"/>
    <n v="3"/>
    <n v="3"/>
    <n v="80"/>
    <n v="1"/>
    <n v="11"/>
    <n v="3"/>
    <n v="11"/>
    <n v="8"/>
    <n v="7"/>
    <n v="9"/>
  </r>
  <r>
    <x v="1"/>
    <s v="Travel_Rarely"/>
    <x v="1"/>
    <s v="Current Employees"/>
    <x v="1"/>
    <x v="1"/>
    <x v="1027"/>
    <n v="1635"/>
    <x v="0"/>
    <x v="3"/>
    <x v="2"/>
    <s v="No"/>
    <s v="Y"/>
    <n v="3"/>
    <n v="-2"/>
    <n v="0"/>
    <n v="45"/>
    <n v="0"/>
    <m/>
    <n v="0"/>
    <n v="1"/>
    <n v="1329"/>
    <n v="2"/>
    <x v="0"/>
    <n v="1"/>
    <n v="4"/>
    <n v="59"/>
    <n v="2"/>
    <n v="2"/>
    <n v="4"/>
    <n v="5770"/>
    <n v="5388"/>
    <n v="1"/>
    <n v="19"/>
    <n v="3"/>
    <n v="1"/>
    <n v="80"/>
    <n v="2"/>
    <n v="10"/>
    <n v="3"/>
    <n v="10"/>
    <n v="7"/>
    <n v="3"/>
    <n v="9"/>
  </r>
  <r>
    <x v="1"/>
    <s v="Travel_Rarely"/>
    <x v="1"/>
    <s v="Current Employees"/>
    <x v="1"/>
    <x v="0"/>
    <x v="1028"/>
    <n v="1656"/>
    <x v="0"/>
    <x v="7"/>
    <x v="2"/>
    <s v="No"/>
    <s v="Y"/>
    <n v="3"/>
    <n v="-2"/>
    <n v="0"/>
    <n v="50"/>
    <n v="0"/>
    <m/>
    <n v="0"/>
    <n v="1"/>
    <n v="813"/>
    <n v="17"/>
    <x v="4"/>
    <n v="1"/>
    <n v="4"/>
    <n v="50"/>
    <n v="2"/>
    <n v="3"/>
    <n v="3"/>
    <n v="13269"/>
    <n v="21981"/>
    <n v="5"/>
    <n v="15"/>
    <n v="3"/>
    <n v="3"/>
    <n v="80"/>
    <n v="3"/>
    <n v="19"/>
    <n v="3"/>
    <n v="14"/>
    <n v="11"/>
    <n v="1"/>
    <n v="11"/>
  </r>
  <r>
    <x v="1"/>
    <s v="Travel_Rarely"/>
    <x v="2"/>
    <s v="Current Employees"/>
    <x v="1"/>
    <x v="2"/>
    <x v="1029"/>
    <n v="1502"/>
    <x v="0"/>
    <x v="2"/>
    <x v="1"/>
    <s v="No"/>
    <s v="Y"/>
    <n v="5"/>
    <n v="-2"/>
    <n v="0"/>
    <n v="33"/>
    <n v="0"/>
    <m/>
    <n v="0"/>
    <n v="1"/>
    <n v="1099"/>
    <n v="4"/>
    <x v="2"/>
    <n v="1"/>
    <n v="1"/>
    <n v="82"/>
    <n v="2"/>
    <n v="1"/>
    <n v="2"/>
    <n v="3838"/>
    <n v="8192"/>
    <n v="8"/>
    <n v="11"/>
    <n v="3"/>
    <n v="4"/>
    <n v="80"/>
    <n v="0"/>
    <n v="8"/>
    <n v="3"/>
    <n v="5"/>
    <n v="4"/>
    <n v="0"/>
    <n v="2"/>
  </r>
  <r>
    <x v="1"/>
    <s v="Travel_Rarely"/>
    <x v="0"/>
    <s v="Current Employees"/>
    <x v="1"/>
    <x v="2"/>
    <x v="1030"/>
    <n v="1866"/>
    <x v="0"/>
    <x v="5"/>
    <x v="1"/>
    <s v="No"/>
    <s v="Y"/>
    <n v="2"/>
    <n v="-2"/>
    <n v="0"/>
    <n v="43"/>
    <n v="0"/>
    <m/>
    <n v="0"/>
    <n v="1"/>
    <n v="823"/>
    <n v="6"/>
    <x v="3"/>
    <n v="1"/>
    <n v="1"/>
    <n v="81"/>
    <n v="2"/>
    <n v="5"/>
    <n v="3"/>
    <n v="19392"/>
    <n v="22539"/>
    <n v="7"/>
    <n v="13"/>
    <n v="3"/>
    <n v="4"/>
    <n v="80"/>
    <n v="0"/>
    <n v="21"/>
    <n v="3"/>
    <n v="16"/>
    <n v="12"/>
    <n v="6"/>
    <n v="14"/>
  </r>
  <r>
    <x v="1"/>
    <s v="Travel_Rarely"/>
    <x v="1"/>
    <s v="Current Employees"/>
    <x v="1"/>
    <x v="4"/>
    <x v="1031"/>
    <n v="1786"/>
    <x v="0"/>
    <x v="5"/>
    <x v="1"/>
    <s v="No"/>
    <s v="Y"/>
    <n v="2"/>
    <n v="-2"/>
    <n v="0"/>
    <n v="51"/>
    <n v="0"/>
    <m/>
    <n v="0"/>
    <n v="1"/>
    <n v="942"/>
    <n v="3"/>
    <x v="3"/>
    <n v="1"/>
    <n v="4"/>
    <n v="53"/>
    <n v="3"/>
    <n v="3"/>
    <n v="4"/>
    <n v="13116"/>
    <n v="22984"/>
    <n v="2"/>
    <n v="11"/>
    <n v="3"/>
    <n v="4"/>
    <n v="80"/>
    <n v="0"/>
    <n v="15"/>
    <n v="3"/>
    <n v="2"/>
    <n v="2"/>
    <n v="2"/>
    <n v="2"/>
  </r>
  <r>
    <x v="1"/>
    <s v="Travel_Rarely"/>
    <x v="2"/>
    <s v="Current Employees"/>
    <x v="1"/>
    <x v="0"/>
    <x v="1032"/>
    <n v="1701"/>
    <x v="0"/>
    <x v="1"/>
    <x v="1"/>
    <s v="No"/>
    <s v="Y"/>
    <n v="3"/>
    <n v="-2"/>
    <n v="0"/>
    <n v="34"/>
    <n v="0"/>
    <m/>
    <n v="0"/>
    <n v="1"/>
    <n v="678"/>
    <n v="19"/>
    <x v="3"/>
    <n v="1"/>
    <n v="2"/>
    <n v="35"/>
    <n v="2"/>
    <n v="1"/>
    <n v="4"/>
    <n v="2929"/>
    <n v="20338"/>
    <n v="1"/>
    <n v="12"/>
    <n v="3"/>
    <n v="2"/>
    <n v="80"/>
    <n v="0"/>
    <n v="10"/>
    <n v="3"/>
    <n v="10"/>
    <n v="9"/>
    <n v="8"/>
    <n v="7"/>
  </r>
  <r>
    <x v="1"/>
    <s v="Travel_Rarely"/>
    <x v="2"/>
    <s v="Current Employees"/>
    <x v="1"/>
    <x v="2"/>
    <x v="1033"/>
    <n v="1647"/>
    <x v="0"/>
    <x v="1"/>
    <x v="1"/>
    <s v="No"/>
    <s v="Y"/>
    <n v="0"/>
    <n v="-2"/>
    <n v="0"/>
    <n v="27"/>
    <n v="0"/>
    <m/>
    <n v="0"/>
    <n v="1"/>
    <n v="486"/>
    <n v="8"/>
    <x v="3"/>
    <n v="1"/>
    <n v="2"/>
    <n v="86"/>
    <n v="4"/>
    <n v="1"/>
    <n v="3"/>
    <n v="3517"/>
    <n v="22490"/>
    <n v="7"/>
    <n v="17"/>
    <n v="3"/>
    <n v="1"/>
    <n v="80"/>
    <n v="0"/>
    <n v="5"/>
    <n v="3"/>
    <n v="3"/>
    <n v="2"/>
    <n v="0"/>
    <n v="2"/>
  </r>
  <r>
    <x v="1"/>
    <s v="Travel_Rarely"/>
    <x v="1"/>
    <s v="Current Employees"/>
    <x v="1"/>
    <x v="1"/>
    <x v="1034"/>
    <n v="1409"/>
    <x v="0"/>
    <x v="2"/>
    <x v="1"/>
    <s v="No"/>
    <s v="Y"/>
    <n v="2"/>
    <n v="-2"/>
    <n v="0"/>
    <n v="52"/>
    <n v="0"/>
    <m/>
    <n v="0"/>
    <n v="1"/>
    <n v="258"/>
    <n v="8"/>
    <x v="2"/>
    <n v="1"/>
    <n v="3"/>
    <n v="54"/>
    <n v="3"/>
    <n v="1"/>
    <n v="3"/>
    <n v="2950"/>
    <n v="17363"/>
    <n v="9"/>
    <n v="13"/>
    <n v="3"/>
    <n v="3"/>
    <n v="80"/>
    <n v="0"/>
    <n v="12"/>
    <n v="1"/>
    <n v="5"/>
    <n v="4"/>
    <n v="0"/>
    <n v="4"/>
  </r>
  <r>
    <x v="1"/>
    <s v="Travel_Rarely"/>
    <x v="0"/>
    <s v="Current Employees"/>
    <x v="1"/>
    <x v="2"/>
    <x v="1035"/>
    <n v="2015"/>
    <x v="0"/>
    <x v="7"/>
    <x v="1"/>
    <s v="No"/>
    <s v="Y"/>
    <n v="3"/>
    <n v="-2"/>
    <n v="0"/>
    <n v="38"/>
    <n v="0"/>
    <m/>
    <n v="0"/>
    <n v="1"/>
    <n v="201"/>
    <n v="10"/>
    <x v="3"/>
    <n v="1"/>
    <n v="2"/>
    <n v="99"/>
    <n v="1"/>
    <n v="3"/>
    <n v="3"/>
    <n v="13206"/>
    <n v="3376"/>
    <n v="3"/>
    <n v="12"/>
    <n v="3"/>
    <n v="1"/>
    <n v="80"/>
    <n v="1"/>
    <n v="20"/>
    <n v="3"/>
    <n v="18"/>
    <n v="16"/>
    <n v="1"/>
    <n v="11"/>
  </r>
  <r>
    <x v="1"/>
    <s v="Travel_Rarely"/>
    <x v="0"/>
    <s v="Current Employees"/>
    <x v="1"/>
    <x v="2"/>
    <x v="1036"/>
    <n v="1640"/>
    <x v="0"/>
    <x v="1"/>
    <x v="1"/>
    <s v="No"/>
    <s v="Y"/>
    <n v="2"/>
    <n v="-2"/>
    <n v="0"/>
    <n v="37"/>
    <n v="0"/>
    <m/>
    <n v="0"/>
    <n v="1"/>
    <n v="1470"/>
    <n v="10"/>
    <x v="3"/>
    <n v="1"/>
    <n v="2"/>
    <n v="71"/>
    <n v="3"/>
    <n v="1"/>
    <n v="2"/>
    <n v="3936"/>
    <n v="9953"/>
    <n v="1"/>
    <n v="11"/>
    <n v="3"/>
    <n v="1"/>
    <n v="80"/>
    <n v="1"/>
    <n v="8"/>
    <n v="1"/>
    <n v="8"/>
    <n v="4"/>
    <n v="7"/>
    <n v="7"/>
  </r>
  <r>
    <x v="1"/>
    <s v="Travel_Rarely"/>
    <x v="2"/>
    <s v="Current Employees"/>
    <x v="1"/>
    <x v="1"/>
    <x v="1037"/>
    <n v="1544"/>
    <x v="0"/>
    <x v="4"/>
    <x v="1"/>
    <s v="No"/>
    <s v="Y"/>
    <n v="3"/>
    <n v="-2"/>
    <n v="0"/>
    <n v="29"/>
    <n v="0"/>
    <m/>
    <n v="0"/>
    <n v="1"/>
    <n v="441"/>
    <n v="8"/>
    <x v="1"/>
    <n v="1"/>
    <n v="3"/>
    <n v="39"/>
    <n v="1"/>
    <n v="2"/>
    <n v="3"/>
    <n v="9715"/>
    <n v="7288"/>
    <n v="3"/>
    <n v="13"/>
    <n v="3"/>
    <n v="3"/>
    <n v="80"/>
    <n v="1"/>
    <n v="9"/>
    <n v="3"/>
    <n v="7"/>
    <n v="7"/>
    <n v="0"/>
    <n v="7"/>
  </r>
  <r>
    <x v="1"/>
    <s v="Travel_Rarely"/>
    <x v="0"/>
    <s v="Current Employees"/>
    <x v="1"/>
    <x v="0"/>
    <x v="1038"/>
    <n v="2052"/>
    <x v="0"/>
    <x v="1"/>
    <x v="1"/>
    <s v="No"/>
    <s v="Y"/>
    <n v="5"/>
    <n v="-2"/>
    <n v="0"/>
    <n v="35"/>
    <n v="0"/>
    <m/>
    <n v="0"/>
    <n v="1"/>
    <n v="287"/>
    <n v="1"/>
    <x v="2"/>
    <n v="1"/>
    <n v="3"/>
    <n v="62"/>
    <n v="1"/>
    <n v="1"/>
    <n v="4"/>
    <n v="2977"/>
    <n v="8952"/>
    <n v="1"/>
    <n v="12"/>
    <n v="3"/>
    <n v="4"/>
    <n v="80"/>
    <n v="1"/>
    <n v="4"/>
    <n v="3"/>
    <n v="4"/>
    <n v="3"/>
    <n v="1"/>
    <n v="1"/>
  </r>
  <r>
    <x v="1"/>
    <s v="Travel_Rarely"/>
    <x v="0"/>
    <s v="Current Employees"/>
    <x v="1"/>
    <x v="0"/>
    <x v="1039"/>
    <n v="1802"/>
    <x v="0"/>
    <x v="2"/>
    <x v="1"/>
    <s v="No"/>
    <s v="Y"/>
    <n v="5"/>
    <n v="-2"/>
    <n v="0"/>
    <n v="40"/>
    <n v="0"/>
    <m/>
    <n v="0"/>
    <n v="1"/>
    <n v="616"/>
    <n v="2"/>
    <x v="0"/>
    <n v="1"/>
    <n v="3"/>
    <n v="99"/>
    <n v="3"/>
    <n v="1"/>
    <n v="3"/>
    <n v="3377"/>
    <n v="25605"/>
    <n v="4"/>
    <n v="17"/>
    <n v="3"/>
    <n v="4"/>
    <n v="80"/>
    <n v="1"/>
    <n v="7"/>
    <n v="2"/>
    <n v="4"/>
    <n v="3"/>
    <n v="0"/>
    <n v="2"/>
  </r>
  <r>
    <x v="1"/>
    <s v="Travel_Rarely"/>
    <x v="1"/>
    <s v="Current Employees"/>
    <x v="1"/>
    <x v="0"/>
    <x v="1040"/>
    <n v="1617"/>
    <x v="0"/>
    <x v="2"/>
    <x v="1"/>
    <s v="No"/>
    <s v="Y"/>
    <n v="3"/>
    <n v="-2"/>
    <n v="0"/>
    <n v="49"/>
    <n v="0"/>
    <m/>
    <n v="0"/>
    <n v="1"/>
    <n v="722"/>
    <n v="25"/>
    <x v="2"/>
    <n v="1"/>
    <n v="3"/>
    <n v="84"/>
    <n v="3"/>
    <n v="1"/>
    <n v="3"/>
    <n v="3211"/>
    <n v="22102"/>
    <n v="1"/>
    <n v="14"/>
    <n v="3"/>
    <n v="4"/>
    <n v="80"/>
    <n v="1"/>
    <n v="10"/>
    <n v="2"/>
    <n v="9"/>
    <n v="6"/>
    <n v="1"/>
    <n v="4"/>
  </r>
  <r>
    <x v="1"/>
    <s v="Travel_Rarely"/>
    <x v="1"/>
    <s v="Current Employees"/>
    <x v="1"/>
    <x v="1"/>
    <x v="1041"/>
    <n v="1576"/>
    <x v="0"/>
    <x v="1"/>
    <x v="1"/>
    <s v="No"/>
    <s v="Y"/>
    <n v="3"/>
    <n v="-2"/>
    <n v="0"/>
    <n v="48"/>
    <n v="0"/>
    <m/>
    <n v="0"/>
    <n v="1"/>
    <n v="1108"/>
    <n v="15"/>
    <x v="2"/>
    <n v="1"/>
    <n v="3"/>
    <n v="65"/>
    <n v="3"/>
    <n v="1"/>
    <n v="3"/>
    <n v="2367"/>
    <n v="16530"/>
    <n v="8"/>
    <n v="12"/>
    <n v="3"/>
    <n v="4"/>
    <n v="80"/>
    <n v="1"/>
    <n v="10"/>
    <n v="2"/>
    <n v="8"/>
    <n v="2"/>
    <n v="7"/>
    <n v="6"/>
  </r>
  <r>
    <x v="1"/>
    <s v="Travel_Rarely"/>
    <x v="2"/>
    <s v="Current Employees"/>
    <x v="1"/>
    <x v="0"/>
    <x v="1042"/>
    <n v="1447"/>
    <x v="0"/>
    <x v="2"/>
    <x v="1"/>
    <s v="No"/>
    <s v="Y"/>
    <n v="2"/>
    <n v="-2"/>
    <n v="0"/>
    <n v="34"/>
    <n v="0"/>
    <m/>
    <n v="0"/>
    <n v="1"/>
    <n v="401"/>
    <n v="1"/>
    <x v="3"/>
    <n v="1"/>
    <n v="4"/>
    <n v="86"/>
    <n v="2"/>
    <n v="1"/>
    <n v="2"/>
    <n v="3294"/>
    <n v="3708"/>
    <n v="5"/>
    <n v="17"/>
    <n v="3"/>
    <n v="1"/>
    <n v="80"/>
    <n v="1"/>
    <n v="7"/>
    <n v="2"/>
    <n v="5"/>
    <n v="4"/>
    <n v="0"/>
    <n v="2"/>
  </r>
  <r>
    <x v="1"/>
    <s v="Travel_Rarely"/>
    <x v="2"/>
    <s v="Current Employees"/>
    <x v="1"/>
    <x v="0"/>
    <x v="1043"/>
    <n v="1555"/>
    <x v="0"/>
    <x v="1"/>
    <x v="1"/>
    <s v="No"/>
    <s v="Y"/>
    <n v="2"/>
    <n v="-2"/>
    <n v="0"/>
    <n v="32"/>
    <n v="0"/>
    <m/>
    <n v="0"/>
    <n v="1"/>
    <n v="824"/>
    <n v="5"/>
    <x v="0"/>
    <n v="1"/>
    <n v="4"/>
    <n v="67"/>
    <n v="2"/>
    <n v="2"/>
    <n v="2"/>
    <n v="5878"/>
    <n v="15624"/>
    <n v="3"/>
    <n v="12"/>
    <n v="3"/>
    <n v="1"/>
    <n v="80"/>
    <n v="1"/>
    <n v="12"/>
    <n v="3"/>
    <n v="7"/>
    <n v="1"/>
    <n v="2"/>
    <n v="5"/>
  </r>
  <r>
    <x v="1"/>
    <s v="Travel_Rarely"/>
    <x v="0"/>
    <s v="Current Employees"/>
    <x v="1"/>
    <x v="1"/>
    <x v="1044"/>
    <n v="1782"/>
    <x v="0"/>
    <x v="2"/>
    <x v="1"/>
    <s v="No"/>
    <s v="Y"/>
    <n v="3"/>
    <n v="-2"/>
    <n v="0"/>
    <n v="38"/>
    <n v="0"/>
    <m/>
    <n v="0"/>
    <n v="1"/>
    <n v="1153"/>
    <n v="6"/>
    <x v="0"/>
    <n v="1"/>
    <n v="4"/>
    <n v="40"/>
    <n v="2"/>
    <n v="1"/>
    <n v="3"/>
    <n v="3702"/>
    <n v="16376"/>
    <n v="1"/>
    <n v="11"/>
    <n v="3"/>
    <n v="2"/>
    <n v="80"/>
    <n v="1"/>
    <n v="5"/>
    <n v="3"/>
    <n v="5"/>
    <n v="4"/>
    <n v="0"/>
    <n v="4"/>
  </r>
  <r>
    <x v="1"/>
    <s v="Travel_Rarely"/>
    <x v="0"/>
    <s v="Current Employees"/>
    <x v="1"/>
    <x v="2"/>
    <x v="1045"/>
    <n v="1687"/>
    <x v="0"/>
    <x v="2"/>
    <x v="1"/>
    <s v="No"/>
    <s v="Y"/>
    <n v="5"/>
    <n v="-2"/>
    <n v="0"/>
    <n v="38"/>
    <n v="0"/>
    <m/>
    <n v="0"/>
    <n v="1"/>
    <n v="1495"/>
    <n v="4"/>
    <x v="0"/>
    <n v="1"/>
    <n v="4"/>
    <n v="87"/>
    <n v="3"/>
    <n v="1"/>
    <n v="3"/>
    <n v="3306"/>
    <n v="26176"/>
    <n v="7"/>
    <n v="19"/>
    <n v="3"/>
    <n v="4"/>
    <n v="80"/>
    <n v="1"/>
    <n v="7"/>
    <n v="2"/>
    <n v="0"/>
    <n v="0"/>
    <n v="0"/>
    <n v="0"/>
  </r>
  <r>
    <x v="1"/>
    <s v="Travel_Rarely"/>
    <x v="2"/>
    <s v="Current Employees"/>
    <x v="1"/>
    <x v="2"/>
    <x v="1046"/>
    <n v="1709"/>
    <x v="0"/>
    <x v="2"/>
    <x v="1"/>
    <s v="No"/>
    <s v="Y"/>
    <n v="2"/>
    <n v="-2"/>
    <n v="0"/>
    <n v="29"/>
    <n v="0"/>
    <m/>
    <n v="0"/>
    <n v="1"/>
    <n v="1082"/>
    <n v="9"/>
    <x v="2"/>
    <n v="1"/>
    <n v="4"/>
    <n v="43"/>
    <n v="3"/>
    <n v="1"/>
    <n v="3"/>
    <n v="2974"/>
    <n v="25412"/>
    <n v="9"/>
    <n v="17"/>
    <n v="3"/>
    <n v="3"/>
    <n v="80"/>
    <n v="1"/>
    <n v="9"/>
    <n v="3"/>
    <n v="5"/>
    <n v="3"/>
    <n v="1"/>
    <n v="2"/>
  </r>
  <r>
    <x v="1"/>
    <s v="Travel_Rarely"/>
    <x v="1"/>
    <s v="Current Employees"/>
    <x v="1"/>
    <x v="2"/>
    <x v="1047"/>
    <n v="1830"/>
    <x v="0"/>
    <x v="1"/>
    <x v="1"/>
    <s v="No"/>
    <s v="Y"/>
    <n v="2"/>
    <n v="-2"/>
    <n v="0"/>
    <n v="54"/>
    <n v="0"/>
    <m/>
    <n v="0"/>
    <n v="1"/>
    <n v="431"/>
    <n v="7"/>
    <x v="2"/>
    <n v="1"/>
    <n v="4"/>
    <n v="68"/>
    <n v="3"/>
    <n v="2"/>
    <n v="4"/>
    <n v="6854"/>
    <n v="15696"/>
    <n v="4"/>
    <n v="15"/>
    <n v="3"/>
    <n v="2"/>
    <n v="80"/>
    <n v="1"/>
    <n v="14"/>
    <n v="2"/>
    <n v="7"/>
    <n v="1"/>
    <n v="1"/>
    <n v="7"/>
  </r>
  <r>
    <x v="1"/>
    <s v="Travel_Rarely"/>
    <x v="0"/>
    <s v="Current Employees"/>
    <x v="1"/>
    <x v="0"/>
    <x v="1048"/>
    <n v="1628"/>
    <x v="0"/>
    <x v="3"/>
    <x v="1"/>
    <s v="No"/>
    <s v="Y"/>
    <n v="2"/>
    <n v="-2"/>
    <n v="0"/>
    <n v="40"/>
    <n v="0"/>
    <m/>
    <n v="0"/>
    <n v="1"/>
    <n v="884"/>
    <n v="15"/>
    <x v="3"/>
    <n v="1"/>
    <n v="1"/>
    <n v="80"/>
    <n v="2"/>
    <n v="3"/>
    <n v="3"/>
    <n v="10435"/>
    <n v="25800"/>
    <n v="1"/>
    <n v="13"/>
    <n v="3"/>
    <n v="4"/>
    <n v="80"/>
    <n v="2"/>
    <n v="18"/>
    <n v="3"/>
    <n v="18"/>
    <n v="15"/>
    <n v="14"/>
    <n v="12"/>
  </r>
  <r>
    <x v="1"/>
    <s v="Travel_Rarely"/>
    <x v="1"/>
    <s v="Current Employees"/>
    <x v="1"/>
    <x v="1"/>
    <x v="1049"/>
    <n v="1655"/>
    <x v="0"/>
    <x v="7"/>
    <x v="1"/>
    <s v="No"/>
    <s v="Y"/>
    <n v="2"/>
    <n v="-2"/>
    <n v="0"/>
    <n v="49"/>
    <n v="0"/>
    <m/>
    <n v="0"/>
    <n v="1"/>
    <n v="301"/>
    <n v="22"/>
    <x v="2"/>
    <n v="1"/>
    <n v="1"/>
    <n v="72"/>
    <n v="3"/>
    <n v="4"/>
    <n v="2"/>
    <n v="16413"/>
    <n v="3498"/>
    <n v="3"/>
    <n v="16"/>
    <n v="3"/>
    <n v="2"/>
    <n v="80"/>
    <n v="2"/>
    <n v="27"/>
    <n v="3"/>
    <n v="4"/>
    <n v="2"/>
    <n v="1"/>
    <n v="2"/>
  </r>
  <r>
    <x v="1"/>
    <s v="Travel_Rarely"/>
    <x v="1"/>
    <s v="Current Employees"/>
    <x v="1"/>
    <x v="0"/>
    <x v="1050"/>
    <n v="1969"/>
    <x v="0"/>
    <x v="1"/>
    <x v="1"/>
    <s v="No"/>
    <s v="Y"/>
    <n v="6"/>
    <n v="-2"/>
    <n v="0"/>
    <n v="54"/>
    <n v="0"/>
    <m/>
    <n v="0"/>
    <n v="1"/>
    <n v="155"/>
    <n v="9"/>
    <x v="0"/>
    <n v="1"/>
    <n v="1"/>
    <n v="67"/>
    <n v="3"/>
    <n v="2"/>
    <n v="3"/>
    <n v="2897"/>
    <n v="22474"/>
    <n v="3"/>
    <n v="11"/>
    <n v="3"/>
    <n v="3"/>
    <n v="80"/>
    <n v="2"/>
    <n v="9"/>
    <n v="2"/>
    <n v="4"/>
    <n v="3"/>
    <n v="2"/>
    <n v="3"/>
  </r>
  <r>
    <x v="1"/>
    <s v="Travel_Rarely"/>
    <x v="1"/>
    <s v="Current Employees"/>
    <x v="1"/>
    <x v="2"/>
    <x v="1051"/>
    <n v="1443"/>
    <x v="0"/>
    <x v="7"/>
    <x v="1"/>
    <s v="No"/>
    <s v="Y"/>
    <n v="2"/>
    <n v="-2"/>
    <n v="0"/>
    <n v="47"/>
    <n v="0"/>
    <m/>
    <n v="0"/>
    <n v="1"/>
    <n v="359"/>
    <n v="2"/>
    <x v="2"/>
    <n v="1"/>
    <n v="1"/>
    <n v="82"/>
    <n v="3"/>
    <n v="4"/>
    <n v="3"/>
    <n v="17169"/>
    <n v="26703"/>
    <n v="3"/>
    <n v="19"/>
    <n v="3"/>
    <n v="2"/>
    <n v="80"/>
    <n v="2"/>
    <n v="26"/>
    <n v="4"/>
    <n v="20"/>
    <n v="17"/>
    <n v="5"/>
    <n v="6"/>
  </r>
  <r>
    <x v="1"/>
    <s v="Travel_Rarely"/>
    <x v="1"/>
    <s v="Current Employees"/>
    <x v="1"/>
    <x v="0"/>
    <x v="1052"/>
    <n v="1888"/>
    <x v="0"/>
    <x v="3"/>
    <x v="1"/>
    <s v="No"/>
    <s v="Y"/>
    <n v="2"/>
    <n v="-2"/>
    <n v="0"/>
    <n v="45"/>
    <n v="0"/>
    <m/>
    <n v="0"/>
    <n v="1"/>
    <n v="556"/>
    <n v="25"/>
    <x v="0"/>
    <n v="1"/>
    <n v="2"/>
    <n v="93"/>
    <n v="2"/>
    <n v="2"/>
    <n v="4"/>
    <n v="5906"/>
    <n v="23888"/>
    <n v="0"/>
    <n v="13"/>
    <n v="3"/>
    <n v="4"/>
    <n v="80"/>
    <n v="2"/>
    <n v="10"/>
    <n v="2"/>
    <n v="9"/>
    <n v="8"/>
    <n v="3"/>
    <n v="8"/>
  </r>
  <r>
    <x v="1"/>
    <s v="Travel_Rarely"/>
    <x v="0"/>
    <s v="Current Employees"/>
    <x v="1"/>
    <x v="0"/>
    <x v="1053"/>
    <n v="1651"/>
    <x v="0"/>
    <x v="4"/>
    <x v="1"/>
    <s v="No"/>
    <s v="Y"/>
    <n v="6"/>
    <n v="-2"/>
    <n v="0"/>
    <n v="36"/>
    <n v="0"/>
    <m/>
    <n v="0"/>
    <n v="1"/>
    <n v="711"/>
    <n v="5"/>
    <x v="2"/>
    <n v="1"/>
    <n v="2"/>
    <n v="42"/>
    <n v="3"/>
    <n v="3"/>
    <n v="3"/>
    <n v="8008"/>
    <n v="22792"/>
    <n v="4"/>
    <n v="12"/>
    <n v="3"/>
    <n v="3"/>
    <n v="80"/>
    <n v="2"/>
    <n v="9"/>
    <n v="3"/>
    <n v="3"/>
    <n v="2"/>
    <n v="0"/>
    <n v="2"/>
  </r>
  <r>
    <x v="1"/>
    <s v="Travel_Rarely"/>
    <x v="2"/>
    <s v="Current Employees"/>
    <x v="1"/>
    <x v="1"/>
    <x v="1054"/>
    <n v="1607"/>
    <x v="0"/>
    <x v="1"/>
    <x v="1"/>
    <s v="No"/>
    <s v="Y"/>
    <n v="3"/>
    <n v="-2"/>
    <n v="0"/>
    <n v="32"/>
    <n v="0"/>
    <m/>
    <n v="0"/>
    <n v="1"/>
    <n v="634"/>
    <n v="5"/>
    <x v="2"/>
    <n v="1"/>
    <n v="2"/>
    <n v="35"/>
    <n v="4"/>
    <n v="1"/>
    <n v="4"/>
    <n v="3312"/>
    <n v="18783"/>
    <n v="3"/>
    <n v="17"/>
    <n v="3"/>
    <n v="4"/>
    <n v="80"/>
    <n v="2"/>
    <n v="6"/>
    <n v="3"/>
    <n v="3"/>
    <n v="2"/>
    <n v="0"/>
    <n v="2"/>
  </r>
  <r>
    <x v="1"/>
    <s v="Travel_Rarely"/>
    <x v="0"/>
    <s v="Current Employees"/>
    <x v="1"/>
    <x v="2"/>
    <x v="1055"/>
    <n v="2051"/>
    <x v="0"/>
    <x v="1"/>
    <x v="1"/>
    <s v="No"/>
    <s v="Y"/>
    <n v="2"/>
    <n v="-2"/>
    <n v="0"/>
    <n v="40"/>
    <n v="0"/>
    <m/>
    <n v="0"/>
    <n v="1"/>
    <n v="1194"/>
    <n v="2"/>
    <x v="2"/>
    <n v="1"/>
    <n v="3"/>
    <n v="98"/>
    <n v="3"/>
    <n v="1"/>
    <n v="3"/>
    <n v="2001"/>
    <n v="12549"/>
    <n v="2"/>
    <n v="14"/>
    <n v="3"/>
    <n v="2"/>
    <n v="80"/>
    <n v="3"/>
    <n v="20"/>
    <n v="3"/>
    <n v="5"/>
    <n v="3"/>
    <n v="0"/>
    <n v="2"/>
  </r>
  <r>
    <x v="1"/>
    <s v="Travel_Rarely"/>
    <x v="2"/>
    <s v="Current Employees"/>
    <x v="1"/>
    <x v="0"/>
    <x v="1056"/>
    <n v="1430"/>
    <x v="0"/>
    <x v="7"/>
    <x v="0"/>
    <s v="No"/>
    <s v="Y"/>
    <n v="3"/>
    <n v="-2"/>
    <n v="0"/>
    <n v="31"/>
    <n v="0"/>
    <m/>
    <n v="0"/>
    <n v="1"/>
    <n v="182"/>
    <n v="8"/>
    <x v="4"/>
    <n v="1"/>
    <n v="1"/>
    <n v="93"/>
    <n v="3"/>
    <n v="4"/>
    <n v="2"/>
    <n v="16422"/>
    <n v="8847"/>
    <n v="3"/>
    <n v="11"/>
    <n v="3"/>
    <n v="3"/>
    <n v="80"/>
    <n v="0"/>
    <n v="9"/>
    <n v="4"/>
    <n v="3"/>
    <n v="2"/>
    <n v="1"/>
    <n v="0"/>
  </r>
  <r>
    <x v="1"/>
    <s v="Travel_Rarely"/>
    <x v="0"/>
    <s v="Current Employees"/>
    <x v="1"/>
    <x v="2"/>
    <x v="1057"/>
    <n v="1411"/>
    <x v="0"/>
    <x v="2"/>
    <x v="0"/>
    <s v="No"/>
    <s v="Y"/>
    <n v="6"/>
    <n v="-2"/>
    <n v="0"/>
    <n v="37"/>
    <n v="0"/>
    <m/>
    <n v="0"/>
    <n v="1"/>
    <n v="1462"/>
    <n v="11"/>
    <x v="3"/>
    <n v="1"/>
    <n v="1"/>
    <n v="94"/>
    <n v="3"/>
    <n v="1"/>
    <n v="3"/>
    <n v="3629"/>
    <n v="19106"/>
    <n v="4"/>
    <n v="18"/>
    <n v="3"/>
    <n v="1"/>
    <n v="80"/>
    <n v="0"/>
    <n v="8"/>
    <n v="3"/>
    <n v="3"/>
    <n v="2"/>
    <n v="0"/>
    <n v="2"/>
  </r>
  <r>
    <x v="1"/>
    <s v="Travel_Rarely"/>
    <x v="2"/>
    <s v="Current Employees"/>
    <x v="1"/>
    <x v="2"/>
    <x v="1058"/>
    <n v="1816"/>
    <x v="0"/>
    <x v="3"/>
    <x v="0"/>
    <s v="No"/>
    <s v="Y"/>
    <n v="3"/>
    <n v="-2"/>
    <n v="0"/>
    <n v="30"/>
    <n v="0"/>
    <m/>
    <n v="0"/>
    <n v="1"/>
    <n v="1092"/>
    <n v="10"/>
    <x v="3"/>
    <n v="1"/>
    <n v="1"/>
    <n v="64"/>
    <n v="3"/>
    <n v="3"/>
    <n v="3"/>
    <n v="9667"/>
    <n v="2739"/>
    <n v="9"/>
    <n v="14"/>
    <n v="3"/>
    <n v="2"/>
    <n v="80"/>
    <n v="0"/>
    <n v="9"/>
    <n v="3"/>
    <n v="7"/>
    <n v="7"/>
    <n v="0"/>
    <n v="2"/>
  </r>
  <r>
    <x v="1"/>
    <s v="Travel_Rarely"/>
    <x v="0"/>
    <s v="Current Employees"/>
    <x v="1"/>
    <x v="0"/>
    <x v="1059"/>
    <n v="1525"/>
    <x v="0"/>
    <x v="3"/>
    <x v="0"/>
    <s v="No"/>
    <s v="Y"/>
    <n v="3"/>
    <n v="-2"/>
    <n v="0"/>
    <n v="39"/>
    <n v="0"/>
    <m/>
    <n v="0"/>
    <n v="1"/>
    <n v="1089"/>
    <n v="6"/>
    <x v="3"/>
    <n v="1"/>
    <n v="2"/>
    <n v="32"/>
    <n v="3"/>
    <n v="3"/>
    <n v="2"/>
    <n v="8376"/>
    <n v="9150"/>
    <n v="4"/>
    <n v="18"/>
    <n v="3"/>
    <n v="4"/>
    <n v="80"/>
    <n v="0"/>
    <n v="9"/>
    <n v="3"/>
    <n v="2"/>
    <n v="0"/>
    <n v="2"/>
    <n v="2"/>
  </r>
  <r>
    <x v="1"/>
    <s v="Travel_Rarely"/>
    <x v="1"/>
    <s v="Current Employees"/>
    <x v="1"/>
    <x v="0"/>
    <x v="1060"/>
    <n v="1856"/>
    <x v="0"/>
    <x v="2"/>
    <x v="0"/>
    <s v="No"/>
    <s v="Y"/>
    <n v="2"/>
    <n v="-2"/>
    <n v="0"/>
    <n v="47"/>
    <n v="0"/>
    <m/>
    <n v="0"/>
    <n v="1"/>
    <n v="207"/>
    <n v="9"/>
    <x v="2"/>
    <n v="1"/>
    <n v="2"/>
    <n v="64"/>
    <n v="3"/>
    <n v="1"/>
    <n v="3"/>
    <n v="2105"/>
    <n v="5411"/>
    <n v="4"/>
    <n v="12"/>
    <n v="3"/>
    <n v="3"/>
    <n v="80"/>
    <n v="0"/>
    <n v="7"/>
    <n v="3"/>
    <n v="2"/>
    <n v="2"/>
    <n v="2"/>
    <n v="0"/>
  </r>
  <r>
    <x v="1"/>
    <s v="Travel_Rarely"/>
    <x v="2"/>
    <s v="Current Employees"/>
    <x v="1"/>
    <x v="0"/>
    <x v="1061"/>
    <n v="2010"/>
    <x v="0"/>
    <x v="2"/>
    <x v="0"/>
    <s v="No"/>
    <s v="Y"/>
    <n v="3"/>
    <n v="-2"/>
    <n v="0"/>
    <n v="32"/>
    <n v="0"/>
    <m/>
    <n v="0"/>
    <n v="1"/>
    <n v="267"/>
    <n v="29"/>
    <x v="2"/>
    <n v="1"/>
    <n v="3"/>
    <n v="49"/>
    <n v="2"/>
    <n v="1"/>
    <n v="2"/>
    <n v="2837"/>
    <n v="15919"/>
    <n v="1"/>
    <n v="13"/>
    <n v="3"/>
    <n v="3"/>
    <n v="80"/>
    <n v="0"/>
    <n v="6"/>
    <n v="3"/>
    <n v="6"/>
    <n v="2"/>
    <n v="4"/>
    <n v="1"/>
  </r>
  <r>
    <x v="1"/>
    <s v="Travel_Rarely"/>
    <x v="4"/>
    <s v="Current Employees"/>
    <x v="1"/>
    <x v="2"/>
    <x v="1062"/>
    <n v="1735"/>
    <x v="0"/>
    <x v="2"/>
    <x v="0"/>
    <s v="No"/>
    <s v="Y"/>
    <n v="3"/>
    <n v="-2"/>
    <n v="0"/>
    <n v="23"/>
    <n v="0"/>
    <m/>
    <n v="0"/>
    <n v="1"/>
    <n v="160"/>
    <n v="4"/>
    <x v="1"/>
    <n v="1"/>
    <n v="3"/>
    <n v="51"/>
    <n v="3"/>
    <n v="1"/>
    <n v="2"/>
    <n v="3295"/>
    <n v="12862"/>
    <n v="1"/>
    <n v="13"/>
    <n v="3"/>
    <n v="3"/>
    <n v="80"/>
    <n v="0"/>
    <n v="3"/>
    <n v="1"/>
    <n v="3"/>
    <n v="2"/>
    <n v="1"/>
    <n v="2"/>
  </r>
  <r>
    <x v="1"/>
    <s v="Travel_Rarely"/>
    <x v="2"/>
    <s v="Current Employees"/>
    <x v="1"/>
    <x v="2"/>
    <x v="1063"/>
    <n v="1751"/>
    <x v="0"/>
    <x v="1"/>
    <x v="0"/>
    <s v="No"/>
    <s v="Y"/>
    <n v="5"/>
    <n v="-2"/>
    <n v="0"/>
    <n v="27"/>
    <n v="0"/>
    <m/>
    <n v="0"/>
    <n v="1"/>
    <n v="1054"/>
    <n v="8"/>
    <x v="3"/>
    <n v="1"/>
    <n v="3"/>
    <n v="67"/>
    <n v="3"/>
    <n v="1"/>
    <n v="4"/>
    <n v="3445"/>
    <n v="6152"/>
    <n v="1"/>
    <n v="11"/>
    <n v="3"/>
    <n v="3"/>
    <n v="80"/>
    <n v="0"/>
    <n v="6"/>
    <n v="2"/>
    <n v="6"/>
    <n v="2"/>
    <n v="1"/>
    <n v="4"/>
  </r>
  <r>
    <x v="1"/>
    <s v="Travel_Rarely"/>
    <x v="2"/>
    <s v="Current Employees"/>
    <x v="1"/>
    <x v="2"/>
    <x v="1064"/>
    <n v="2054"/>
    <x v="0"/>
    <x v="1"/>
    <x v="0"/>
    <s v="No"/>
    <s v="Y"/>
    <n v="3"/>
    <n v="-2"/>
    <n v="0"/>
    <n v="29"/>
    <n v="0"/>
    <m/>
    <n v="0"/>
    <n v="1"/>
    <n v="468"/>
    <n v="28"/>
    <x v="2"/>
    <n v="1"/>
    <n v="4"/>
    <n v="73"/>
    <n v="2"/>
    <n v="1"/>
    <n v="3"/>
    <n v="3785"/>
    <n v="8489"/>
    <n v="1"/>
    <n v="14"/>
    <n v="3"/>
    <n v="2"/>
    <n v="80"/>
    <n v="0"/>
    <n v="5"/>
    <n v="1"/>
    <n v="5"/>
    <n v="4"/>
    <n v="0"/>
    <n v="4"/>
  </r>
  <r>
    <x v="1"/>
    <s v="Travel_Rarely"/>
    <x v="0"/>
    <s v="Current Employees"/>
    <x v="1"/>
    <x v="0"/>
    <x v="1065"/>
    <n v="1529"/>
    <x v="0"/>
    <x v="4"/>
    <x v="0"/>
    <s v="No"/>
    <s v="Y"/>
    <n v="3"/>
    <n v="-2"/>
    <n v="0"/>
    <n v="35"/>
    <n v="0"/>
    <m/>
    <n v="0"/>
    <n v="1"/>
    <n v="1029"/>
    <n v="16"/>
    <x v="3"/>
    <n v="1"/>
    <n v="4"/>
    <n v="91"/>
    <n v="2"/>
    <n v="3"/>
    <n v="2"/>
    <n v="8606"/>
    <n v="21195"/>
    <n v="1"/>
    <n v="19"/>
    <n v="3"/>
    <n v="4"/>
    <n v="80"/>
    <n v="0"/>
    <n v="11"/>
    <n v="1"/>
    <n v="11"/>
    <n v="8"/>
    <n v="3"/>
    <n v="3"/>
  </r>
  <r>
    <x v="1"/>
    <s v="Travel_Rarely"/>
    <x v="1"/>
    <s v="Current Employees"/>
    <x v="1"/>
    <x v="4"/>
    <x v="1066"/>
    <n v="1719"/>
    <x v="0"/>
    <x v="7"/>
    <x v="0"/>
    <s v="No"/>
    <s v="Y"/>
    <n v="2"/>
    <n v="-2"/>
    <n v="0"/>
    <n v="45"/>
    <n v="0"/>
    <m/>
    <n v="0"/>
    <n v="1"/>
    <n v="1005"/>
    <n v="28"/>
    <x v="0"/>
    <n v="1"/>
    <n v="4"/>
    <n v="48"/>
    <n v="2"/>
    <n v="4"/>
    <n v="4"/>
    <n v="16704"/>
    <n v="17119"/>
    <n v="1"/>
    <n v="11"/>
    <n v="3"/>
    <n v="3"/>
    <n v="80"/>
    <n v="0"/>
    <n v="21"/>
    <n v="3"/>
    <n v="21"/>
    <n v="6"/>
    <n v="8"/>
    <n v="6"/>
  </r>
  <r>
    <x v="1"/>
    <s v="Travel_Rarely"/>
    <x v="1"/>
    <s v="Current Employees"/>
    <x v="1"/>
    <x v="2"/>
    <x v="1067"/>
    <n v="1422"/>
    <x v="0"/>
    <x v="7"/>
    <x v="0"/>
    <s v="No"/>
    <s v="Y"/>
    <n v="3"/>
    <n v="-2"/>
    <n v="0"/>
    <n v="54"/>
    <n v="0"/>
    <m/>
    <n v="0"/>
    <n v="1"/>
    <n v="971"/>
    <n v="1"/>
    <x v="3"/>
    <n v="1"/>
    <n v="4"/>
    <n v="54"/>
    <n v="3"/>
    <n v="4"/>
    <n v="4"/>
    <n v="17328"/>
    <n v="5652"/>
    <n v="6"/>
    <n v="19"/>
    <n v="3"/>
    <n v="4"/>
    <n v="80"/>
    <n v="0"/>
    <n v="29"/>
    <n v="2"/>
    <n v="20"/>
    <n v="7"/>
    <n v="12"/>
    <n v="7"/>
  </r>
  <r>
    <x v="1"/>
    <s v="Travel_Rarely"/>
    <x v="1"/>
    <s v="Current Employees"/>
    <x v="0"/>
    <x v="4"/>
    <x v="1068"/>
    <n v="1863"/>
    <x v="0"/>
    <x v="0"/>
    <x v="2"/>
    <s v="No"/>
    <s v="Y"/>
    <n v="5"/>
    <n v="-2"/>
    <n v="0"/>
    <n v="46"/>
    <n v="0"/>
    <m/>
    <n v="0"/>
    <n v="1"/>
    <n v="1319"/>
    <n v="3"/>
    <x v="3"/>
    <n v="1"/>
    <n v="4"/>
    <n v="45"/>
    <n v="4"/>
    <n v="4"/>
    <n v="4"/>
    <n v="13225"/>
    <n v="7739"/>
    <n v="2"/>
    <n v="12"/>
    <n v="3"/>
    <n v="4"/>
    <n v="80"/>
    <n v="1"/>
    <n v="25"/>
    <n v="3"/>
    <n v="19"/>
    <n v="17"/>
    <n v="2"/>
    <n v="8"/>
  </r>
  <r>
    <x v="1"/>
    <s v="Travel_Rarely"/>
    <x v="1"/>
    <s v="Current Employees"/>
    <x v="0"/>
    <x v="0"/>
    <x v="1069"/>
    <n v="1557"/>
    <x v="0"/>
    <x v="0"/>
    <x v="2"/>
    <s v="No"/>
    <s v="Y"/>
    <n v="2"/>
    <n v="-2"/>
    <n v="0"/>
    <n v="48"/>
    <n v="0"/>
    <m/>
    <n v="0"/>
    <n v="1"/>
    <n v="492"/>
    <n v="16"/>
    <x v="2"/>
    <n v="1"/>
    <n v="3"/>
    <n v="96"/>
    <n v="3"/>
    <n v="2"/>
    <n v="3"/>
    <n v="6439"/>
    <n v="13693"/>
    <n v="8"/>
    <n v="14"/>
    <n v="3"/>
    <n v="3"/>
    <n v="80"/>
    <n v="1"/>
    <n v="18"/>
    <n v="3"/>
    <n v="8"/>
    <n v="7"/>
    <n v="7"/>
    <n v="7"/>
  </r>
  <r>
    <x v="1"/>
    <s v="Travel_Rarely"/>
    <x v="2"/>
    <s v="Current Employees"/>
    <x v="0"/>
    <x v="3"/>
    <x v="1070"/>
    <n v="1428"/>
    <x v="0"/>
    <x v="0"/>
    <x v="2"/>
    <s v="No"/>
    <s v="Y"/>
    <n v="3"/>
    <n v="-2"/>
    <n v="0"/>
    <n v="30"/>
    <n v="0"/>
    <m/>
    <n v="0"/>
    <n v="1"/>
    <n v="855"/>
    <n v="7"/>
    <x v="2"/>
    <n v="1"/>
    <n v="4"/>
    <n v="73"/>
    <n v="3"/>
    <n v="2"/>
    <n v="2"/>
    <n v="4779"/>
    <n v="12761"/>
    <n v="7"/>
    <n v="14"/>
    <n v="3"/>
    <n v="2"/>
    <n v="80"/>
    <n v="2"/>
    <n v="8"/>
    <n v="3"/>
    <n v="3"/>
    <n v="2"/>
    <n v="0"/>
    <n v="2"/>
  </r>
  <r>
    <x v="1"/>
    <s v="Travel_Rarely"/>
    <x v="1"/>
    <s v="Current Employees"/>
    <x v="0"/>
    <x v="0"/>
    <x v="1071"/>
    <n v="1676"/>
    <x v="0"/>
    <x v="5"/>
    <x v="2"/>
    <s v="No"/>
    <s v="Y"/>
    <n v="2"/>
    <n v="-2"/>
    <n v="0"/>
    <n v="47"/>
    <n v="0"/>
    <m/>
    <n v="0"/>
    <n v="1"/>
    <n v="1225"/>
    <n v="2"/>
    <x v="2"/>
    <n v="1"/>
    <n v="2"/>
    <n v="47"/>
    <n v="4"/>
    <n v="4"/>
    <n v="2"/>
    <n v="15972"/>
    <n v="21086"/>
    <n v="6"/>
    <n v="14"/>
    <n v="3"/>
    <n v="3"/>
    <n v="80"/>
    <n v="3"/>
    <n v="29"/>
    <n v="3"/>
    <n v="3"/>
    <n v="2"/>
    <n v="1"/>
    <n v="2"/>
  </r>
  <r>
    <x v="1"/>
    <s v="Travel_Rarely"/>
    <x v="0"/>
    <s v="Current Employees"/>
    <x v="0"/>
    <x v="0"/>
    <x v="1072"/>
    <n v="2041"/>
    <x v="0"/>
    <x v="0"/>
    <x v="1"/>
    <s v="No"/>
    <s v="Y"/>
    <n v="1"/>
    <n v="-2"/>
    <n v="0"/>
    <n v="38"/>
    <n v="0"/>
    <m/>
    <n v="0"/>
    <n v="1"/>
    <n v="345"/>
    <n v="10"/>
    <x v="0"/>
    <n v="1"/>
    <n v="1"/>
    <n v="100"/>
    <n v="3"/>
    <n v="2"/>
    <n v="4"/>
    <n v="5343"/>
    <n v="5982"/>
    <n v="1"/>
    <n v="11"/>
    <n v="3"/>
    <n v="3"/>
    <n v="80"/>
    <n v="1"/>
    <n v="10"/>
    <n v="3"/>
    <n v="10"/>
    <n v="7"/>
    <n v="1"/>
    <n v="9"/>
  </r>
  <r>
    <x v="1"/>
    <s v="Travel_Rarely"/>
    <x v="0"/>
    <s v="Current Employees"/>
    <x v="0"/>
    <x v="3"/>
    <x v="1073"/>
    <n v="2045"/>
    <x v="0"/>
    <x v="0"/>
    <x v="1"/>
    <s v="No"/>
    <s v="Y"/>
    <n v="2"/>
    <n v="-2"/>
    <n v="0"/>
    <n v="36"/>
    <n v="0"/>
    <m/>
    <n v="0"/>
    <n v="1"/>
    <n v="1120"/>
    <n v="11"/>
    <x v="2"/>
    <n v="1"/>
    <n v="2"/>
    <n v="100"/>
    <n v="2"/>
    <n v="2"/>
    <n v="2"/>
    <n v="6652"/>
    <n v="14369"/>
    <n v="4"/>
    <n v="13"/>
    <n v="3"/>
    <n v="1"/>
    <n v="80"/>
    <n v="1"/>
    <n v="8"/>
    <n v="2"/>
    <n v="6"/>
    <n v="3"/>
    <n v="0"/>
    <n v="0"/>
  </r>
  <r>
    <x v="1"/>
    <s v="Travel_Rarely"/>
    <x v="0"/>
    <s v="Current Employees"/>
    <x v="0"/>
    <x v="3"/>
    <x v="1074"/>
    <n v="2056"/>
    <x v="0"/>
    <x v="0"/>
    <x v="1"/>
    <s v="No"/>
    <s v="Y"/>
    <n v="2"/>
    <n v="-2"/>
    <n v="0"/>
    <n v="39"/>
    <n v="0"/>
    <m/>
    <n v="0"/>
    <n v="1"/>
    <n v="722"/>
    <n v="24"/>
    <x v="1"/>
    <n v="1"/>
    <n v="2"/>
    <n v="60"/>
    <n v="2"/>
    <n v="4"/>
    <n v="2"/>
    <n v="12031"/>
    <n v="8828"/>
    <n v="0"/>
    <n v="11"/>
    <n v="3"/>
    <n v="1"/>
    <n v="80"/>
    <n v="1"/>
    <n v="21"/>
    <n v="2"/>
    <n v="20"/>
    <n v="9"/>
    <n v="9"/>
    <n v="6"/>
  </r>
  <r>
    <x v="1"/>
    <s v="Travel_Rarely"/>
    <x v="0"/>
    <s v="Current Employees"/>
    <x v="0"/>
    <x v="3"/>
    <x v="1075"/>
    <n v="1986"/>
    <x v="0"/>
    <x v="0"/>
    <x v="1"/>
    <s v="No"/>
    <s v="Y"/>
    <n v="4"/>
    <n v="-2"/>
    <n v="0"/>
    <n v="40"/>
    <n v="0"/>
    <m/>
    <n v="0"/>
    <n v="1"/>
    <n v="444"/>
    <n v="2"/>
    <x v="0"/>
    <n v="1"/>
    <n v="2"/>
    <n v="92"/>
    <n v="3"/>
    <n v="2"/>
    <n v="2"/>
    <n v="5677"/>
    <n v="4258"/>
    <n v="3"/>
    <n v="14"/>
    <n v="3"/>
    <n v="3"/>
    <n v="80"/>
    <n v="1"/>
    <n v="15"/>
    <n v="3"/>
    <n v="11"/>
    <n v="8"/>
    <n v="5"/>
    <n v="10"/>
  </r>
  <r>
    <x v="1"/>
    <s v="Travel_Rarely"/>
    <x v="2"/>
    <s v="Current Employees"/>
    <x v="0"/>
    <x v="2"/>
    <x v="1076"/>
    <n v="1875"/>
    <x v="0"/>
    <x v="6"/>
    <x v="1"/>
    <s v="No"/>
    <s v="Y"/>
    <n v="3"/>
    <n v="-2"/>
    <n v="0"/>
    <n v="28"/>
    <n v="0"/>
    <m/>
    <n v="0"/>
    <n v="1"/>
    <n v="1172"/>
    <n v="3"/>
    <x v="3"/>
    <n v="1"/>
    <n v="2"/>
    <n v="78"/>
    <n v="3"/>
    <n v="1"/>
    <n v="2"/>
    <n v="2856"/>
    <n v="3692"/>
    <n v="1"/>
    <n v="19"/>
    <n v="3"/>
    <n v="4"/>
    <n v="80"/>
    <n v="1"/>
    <n v="1"/>
    <n v="3"/>
    <n v="1"/>
    <n v="0"/>
    <n v="0"/>
    <n v="0"/>
  </r>
  <r>
    <x v="1"/>
    <s v="Travel_Rarely"/>
    <x v="1"/>
    <s v="Current Employees"/>
    <x v="0"/>
    <x v="0"/>
    <x v="1077"/>
    <n v="1527"/>
    <x v="0"/>
    <x v="5"/>
    <x v="1"/>
    <s v="No"/>
    <s v="Y"/>
    <n v="2"/>
    <n v="-2"/>
    <n v="0"/>
    <n v="46"/>
    <n v="0"/>
    <m/>
    <n v="0"/>
    <n v="1"/>
    <n v="228"/>
    <n v="3"/>
    <x v="3"/>
    <n v="1"/>
    <n v="3"/>
    <n v="51"/>
    <n v="3"/>
    <n v="4"/>
    <n v="2"/>
    <n v="16606"/>
    <n v="11380"/>
    <n v="8"/>
    <n v="12"/>
    <n v="3"/>
    <n v="4"/>
    <n v="80"/>
    <n v="1"/>
    <n v="23"/>
    <n v="4"/>
    <n v="13"/>
    <n v="12"/>
    <n v="5"/>
    <n v="1"/>
  </r>
  <r>
    <x v="1"/>
    <s v="Travel_Rarely"/>
    <x v="3"/>
    <s v="Current Employees"/>
    <x v="0"/>
    <x v="3"/>
    <x v="1078"/>
    <n v="1935"/>
    <x v="0"/>
    <x v="0"/>
    <x v="1"/>
    <s v="No"/>
    <s v="Y"/>
    <n v="3"/>
    <n v="-2"/>
    <n v="0"/>
    <n v="56"/>
    <n v="0"/>
    <m/>
    <n v="0"/>
    <n v="1"/>
    <n v="1443"/>
    <n v="11"/>
    <x v="4"/>
    <n v="1"/>
    <n v="4"/>
    <n v="89"/>
    <n v="2"/>
    <n v="2"/>
    <n v="2"/>
    <n v="5380"/>
    <n v="20328"/>
    <n v="4"/>
    <n v="16"/>
    <n v="3"/>
    <n v="3"/>
    <n v="80"/>
    <n v="1"/>
    <n v="6"/>
    <n v="3"/>
    <n v="0"/>
    <n v="0"/>
    <n v="0"/>
    <n v="0"/>
  </r>
  <r>
    <x v="1"/>
    <s v="Travel_Rarely"/>
    <x v="0"/>
    <s v="Current Employees"/>
    <x v="0"/>
    <x v="0"/>
    <x v="1079"/>
    <n v="1598"/>
    <x v="0"/>
    <x v="0"/>
    <x v="1"/>
    <s v="No"/>
    <s v="Y"/>
    <n v="2"/>
    <n v="-2"/>
    <n v="0"/>
    <n v="40"/>
    <n v="0"/>
    <m/>
    <n v="0"/>
    <n v="1"/>
    <n v="118"/>
    <n v="14"/>
    <x v="0"/>
    <n v="1"/>
    <n v="4"/>
    <n v="84"/>
    <n v="3"/>
    <n v="2"/>
    <n v="3"/>
    <n v="4639"/>
    <n v="11262"/>
    <n v="1"/>
    <n v="15"/>
    <n v="3"/>
    <n v="3"/>
    <n v="80"/>
    <n v="1"/>
    <n v="5"/>
    <n v="3"/>
    <n v="5"/>
    <n v="4"/>
    <n v="1"/>
    <n v="2"/>
  </r>
  <r>
    <x v="1"/>
    <s v="Travel_Rarely"/>
    <x v="2"/>
    <s v="Current Employees"/>
    <x v="0"/>
    <x v="3"/>
    <x v="1080"/>
    <n v="1784"/>
    <x v="0"/>
    <x v="0"/>
    <x v="1"/>
    <s v="No"/>
    <s v="Y"/>
    <n v="3"/>
    <n v="-2"/>
    <n v="0"/>
    <n v="31"/>
    <n v="0"/>
    <m/>
    <n v="0"/>
    <n v="1"/>
    <n v="196"/>
    <n v="29"/>
    <x v="2"/>
    <n v="1"/>
    <n v="1"/>
    <n v="91"/>
    <n v="2"/>
    <n v="2"/>
    <n v="2"/>
    <n v="5468"/>
    <n v="13402"/>
    <n v="1"/>
    <n v="14"/>
    <n v="3"/>
    <n v="1"/>
    <n v="80"/>
    <n v="2"/>
    <n v="13"/>
    <n v="3"/>
    <n v="12"/>
    <n v="7"/>
    <n v="5"/>
    <n v="7"/>
  </r>
  <r>
    <x v="1"/>
    <s v="Travel_Rarely"/>
    <x v="0"/>
    <s v="Current Employees"/>
    <x v="0"/>
    <x v="2"/>
    <x v="1081"/>
    <n v="2024"/>
    <x v="0"/>
    <x v="0"/>
    <x v="1"/>
    <s v="No"/>
    <s v="Y"/>
    <n v="2"/>
    <n v="-2"/>
    <n v="0"/>
    <n v="36"/>
    <n v="0"/>
    <m/>
    <n v="0"/>
    <n v="1"/>
    <n v="557"/>
    <n v="3"/>
    <x v="3"/>
    <n v="1"/>
    <n v="1"/>
    <n v="94"/>
    <n v="2"/>
    <n v="3"/>
    <n v="4"/>
    <n v="7644"/>
    <n v="12695"/>
    <n v="0"/>
    <n v="19"/>
    <n v="3"/>
    <n v="3"/>
    <n v="80"/>
    <n v="2"/>
    <n v="10"/>
    <n v="3"/>
    <n v="9"/>
    <n v="7"/>
    <n v="3"/>
    <n v="4"/>
  </r>
  <r>
    <x v="1"/>
    <s v="Travel_Rarely"/>
    <x v="2"/>
    <s v="Current Employees"/>
    <x v="0"/>
    <x v="0"/>
    <x v="1082"/>
    <n v="1673"/>
    <x v="0"/>
    <x v="0"/>
    <x v="1"/>
    <s v="No"/>
    <s v="Y"/>
    <n v="2"/>
    <n v="-2"/>
    <n v="0"/>
    <n v="31"/>
    <n v="0"/>
    <m/>
    <n v="0"/>
    <n v="1"/>
    <n v="1112"/>
    <n v="5"/>
    <x v="2"/>
    <n v="1"/>
    <n v="1"/>
    <n v="67"/>
    <n v="3"/>
    <n v="2"/>
    <n v="4"/>
    <n v="5476"/>
    <n v="22589"/>
    <n v="1"/>
    <n v="11"/>
    <n v="3"/>
    <n v="1"/>
    <n v="80"/>
    <n v="2"/>
    <n v="10"/>
    <n v="3"/>
    <n v="10"/>
    <n v="0"/>
    <n v="0"/>
    <n v="2"/>
  </r>
  <r>
    <x v="1"/>
    <s v="Travel_Rarely"/>
    <x v="0"/>
    <s v="Current Employees"/>
    <x v="0"/>
    <x v="3"/>
    <x v="1083"/>
    <n v="1436"/>
    <x v="0"/>
    <x v="0"/>
    <x v="1"/>
    <s v="No"/>
    <s v="Y"/>
    <n v="3"/>
    <n v="-2"/>
    <n v="0"/>
    <n v="36"/>
    <n v="0"/>
    <m/>
    <n v="0"/>
    <n v="1"/>
    <n v="329"/>
    <n v="16"/>
    <x v="2"/>
    <n v="1"/>
    <n v="3"/>
    <n v="98"/>
    <n v="2"/>
    <n v="2"/>
    <n v="2"/>
    <n v="5647"/>
    <n v="13494"/>
    <n v="4"/>
    <n v="13"/>
    <n v="3"/>
    <n v="1"/>
    <n v="80"/>
    <n v="2"/>
    <n v="11"/>
    <n v="2"/>
    <n v="3"/>
    <n v="2"/>
    <n v="0"/>
    <n v="2"/>
  </r>
  <r>
    <x v="1"/>
    <s v="Travel_Rarely"/>
    <x v="2"/>
    <s v="Current Employees"/>
    <x v="0"/>
    <x v="3"/>
    <x v="1084"/>
    <n v="2016"/>
    <x v="0"/>
    <x v="0"/>
    <x v="1"/>
    <s v="No"/>
    <s v="Y"/>
    <n v="3"/>
    <n v="-2"/>
    <n v="0"/>
    <n v="32"/>
    <n v="0"/>
    <m/>
    <n v="0"/>
    <n v="1"/>
    <n v="801"/>
    <n v="1"/>
    <x v="2"/>
    <n v="1"/>
    <n v="3"/>
    <n v="48"/>
    <n v="3"/>
    <n v="3"/>
    <n v="2"/>
    <n v="10422"/>
    <n v="24032"/>
    <n v="1"/>
    <n v="19"/>
    <n v="3"/>
    <n v="3"/>
    <n v="80"/>
    <n v="2"/>
    <n v="14"/>
    <n v="3"/>
    <n v="14"/>
    <n v="10"/>
    <n v="5"/>
    <n v="7"/>
  </r>
  <r>
    <x v="1"/>
    <s v="Travel_Rarely"/>
    <x v="2"/>
    <s v="Current Employees"/>
    <x v="0"/>
    <x v="2"/>
    <x v="1085"/>
    <n v="1898"/>
    <x v="0"/>
    <x v="0"/>
    <x v="0"/>
    <s v="No"/>
    <s v="Y"/>
    <n v="5"/>
    <n v="-2"/>
    <n v="0"/>
    <n v="27"/>
    <n v="0"/>
    <m/>
    <n v="0"/>
    <n v="1"/>
    <n v="511"/>
    <n v="2"/>
    <x v="0"/>
    <n v="1"/>
    <n v="1"/>
    <n v="89"/>
    <n v="4"/>
    <n v="2"/>
    <n v="3"/>
    <n v="6500"/>
    <n v="26997"/>
    <n v="0"/>
    <n v="14"/>
    <n v="3"/>
    <n v="2"/>
    <n v="80"/>
    <n v="0"/>
    <n v="9"/>
    <n v="2"/>
    <n v="8"/>
    <n v="7"/>
    <n v="0"/>
    <n v="7"/>
  </r>
  <r>
    <x v="1"/>
    <s v="Travel_Rarely"/>
    <x v="0"/>
    <s v="Current Employees"/>
    <x v="0"/>
    <x v="0"/>
    <x v="1086"/>
    <n v="1583"/>
    <x v="0"/>
    <x v="0"/>
    <x v="0"/>
    <s v="No"/>
    <s v="Y"/>
    <n v="5"/>
    <n v="-2"/>
    <n v="0"/>
    <n v="38"/>
    <n v="0"/>
    <m/>
    <n v="0"/>
    <n v="1"/>
    <n v="437"/>
    <n v="16"/>
    <x v="3"/>
    <n v="1"/>
    <n v="2"/>
    <n v="90"/>
    <n v="3"/>
    <n v="2"/>
    <n v="2"/>
    <n v="4198"/>
    <n v="16379"/>
    <n v="2"/>
    <n v="12"/>
    <n v="3"/>
    <n v="2"/>
    <n v="80"/>
    <n v="0"/>
    <n v="8"/>
    <n v="4"/>
    <n v="3"/>
    <n v="2"/>
    <n v="1"/>
    <n v="2"/>
  </r>
  <r>
    <x v="1"/>
    <s v="Travel_Rarely"/>
    <x v="0"/>
    <s v="Current Employees"/>
    <x v="0"/>
    <x v="0"/>
    <x v="1087"/>
    <n v="1585"/>
    <x v="0"/>
    <x v="0"/>
    <x v="0"/>
    <s v="No"/>
    <s v="Y"/>
    <n v="5"/>
    <n v="-2"/>
    <n v="0"/>
    <n v="36"/>
    <n v="0"/>
    <m/>
    <n v="0"/>
    <n v="1"/>
    <n v="884"/>
    <n v="1"/>
    <x v="2"/>
    <n v="1"/>
    <n v="2"/>
    <n v="73"/>
    <n v="3"/>
    <n v="2"/>
    <n v="3"/>
    <n v="6815"/>
    <n v="21447"/>
    <n v="6"/>
    <n v="13"/>
    <n v="3"/>
    <n v="1"/>
    <n v="80"/>
    <n v="0"/>
    <n v="15"/>
    <n v="3"/>
    <n v="1"/>
    <n v="0"/>
    <n v="0"/>
    <n v="0"/>
  </r>
  <r>
    <x v="1"/>
    <s v="Travel_Rarely"/>
    <x v="4"/>
    <s v="Current Employees"/>
    <x v="0"/>
    <x v="2"/>
    <x v="1088"/>
    <n v="1657"/>
    <x v="0"/>
    <x v="6"/>
    <x v="0"/>
    <s v="No"/>
    <s v="Y"/>
    <n v="3"/>
    <n v="-2"/>
    <n v="0"/>
    <n v="20"/>
    <n v="0"/>
    <m/>
    <n v="0"/>
    <n v="1"/>
    <n v="1141"/>
    <n v="2"/>
    <x v="3"/>
    <n v="1"/>
    <n v="3"/>
    <n v="31"/>
    <n v="3"/>
    <n v="1"/>
    <n v="3"/>
    <n v="2783"/>
    <n v="13251"/>
    <n v="1"/>
    <n v="19"/>
    <n v="3"/>
    <n v="1"/>
    <n v="80"/>
    <n v="0"/>
    <n v="2"/>
    <n v="3"/>
    <n v="2"/>
    <n v="2"/>
    <n v="2"/>
    <n v="2"/>
  </r>
  <r>
    <x v="1"/>
    <s v="Travel_Rarely"/>
    <x v="0"/>
    <s v="Current Employees"/>
    <x v="0"/>
    <x v="0"/>
    <x v="1089"/>
    <n v="1710"/>
    <x v="0"/>
    <x v="6"/>
    <x v="0"/>
    <s v="No"/>
    <s v="Y"/>
    <n v="2"/>
    <n v="-2"/>
    <n v="0"/>
    <n v="36"/>
    <n v="0"/>
    <m/>
    <n v="0"/>
    <n v="1"/>
    <n v="530"/>
    <n v="2"/>
    <x v="2"/>
    <n v="1"/>
    <n v="3"/>
    <n v="51"/>
    <n v="3"/>
    <n v="2"/>
    <n v="4"/>
    <n v="4502"/>
    <n v="7439"/>
    <n v="3"/>
    <n v="15"/>
    <n v="3"/>
    <n v="3"/>
    <n v="80"/>
    <n v="0"/>
    <n v="17"/>
    <n v="2"/>
    <n v="13"/>
    <n v="7"/>
    <n v="6"/>
    <n v="7"/>
  </r>
  <r>
    <x v="1"/>
    <s v="Travel_Rarely"/>
    <x v="2"/>
    <s v="Current Employees"/>
    <x v="0"/>
    <x v="0"/>
    <x v="1090"/>
    <n v="1779"/>
    <x v="0"/>
    <x v="0"/>
    <x v="0"/>
    <s v="No"/>
    <s v="Y"/>
    <n v="3"/>
    <n v="-2"/>
    <n v="0"/>
    <n v="34"/>
    <n v="0"/>
    <m/>
    <n v="0"/>
    <n v="1"/>
    <n v="511"/>
    <n v="3"/>
    <x v="0"/>
    <n v="1"/>
    <n v="4"/>
    <n v="32"/>
    <n v="1"/>
    <n v="2"/>
    <n v="4"/>
    <n v="6029"/>
    <n v="25353"/>
    <n v="5"/>
    <n v="12"/>
    <n v="3"/>
    <n v="1"/>
    <n v="80"/>
    <n v="0"/>
    <n v="6"/>
    <n v="3"/>
    <n v="2"/>
    <n v="2"/>
    <n v="2"/>
    <n v="2"/>
  </r>
  <r>
    <x v="1"/>
    <s v="Travel_Rarely"/>
    <x v="2"/>
    <s v="Current Employees"/>
    <x v="0"/>
    <x v="1"/>
    <x v="1091"/>
    <n v="2060"/>
    <x v="0"/>
    <x v="6"/>
    <x v="0"/>
    <s v="No"/>
    <s v="Y"/>
    <n v="2"/>
    <n v="-2"/>
    <n v="0"/>
    <n v="26"/>
    <n v="0"/>
    <m/>
    <n v="0"/>
    <n v="1"/>
    <n v="1167"/>
    <n v="5"/>
    <x v="3"/>
    <n v="1"/>
    <n v="4"/>
    <n v="30"/>
    <n v="2"/>
    <n v="1"/>
    <n v="3"/>
    <n v="2966"/>
    <n v="21378"/>
    <n v="0"/>
    <n v="18"/>
    <n v="3"/>
    <n v="4"/>
    <n v="80"/>
    <n v="0"/>
    <n v="5"/>
    <n v="3"/>
    <n v="4"/>
    <n v="2"/>
    <n v="0"/>
    <n v="0"/>
  </r>
  <r>
    <x v="1"/>
    <s v="Travel_Rarely"/>
    <x v="1"/>
    <s v="Current Employees"/>
    <x v="0"/>
    <x v="0"/>
    <x v="1092"/>
    <n v="2046"/>
    <x v="0"/>
    <x v="0"/>
    <x v="0"/>
    <s v="No"/>
    <s v="Y"/>
    <n v="3"/>
    <n v="-2"/>
    <n v="0"/>
    <n v="45"/>
    <n v="0"/>
    <m/>
    <n v="0"/>
    <n v="1"/>
    <n v="374"/>
    <n v="20"/>
    <x v="3"/>
    <n v="1"/>
    <n v="4"/>
    <n v="50"/>
    <n v="3"/>
    <n v="2"/>
    <n v="3"/>
    <n v="4850"/>
    <n v="23333"/>
    <n v="8"/>
    <n v="15"/>
    <n v="3"/>
    <n v="3"/>
    <n v="80"/>
    <n v="0"/>
    <n v="8"/>
    <n v="3"/>
    <n v="5"/>
    <n v="3"/>
    <n v="0"/>
    <n v="1"/>
  </r>
  <r>
    <x v="1"/>
    <s v="Travel_Rarely"/>
    <x v="1"/>
    <s v="Current Employees"/>
    <x v="0"/>
    <x v="3"/>
    <x v="1093"/>
    <n v="1757"/>
    <x v="0"/>
    <x v="0"/>
    <x v="0"/>
    <s v="No"/>
    <s v="Y"/>
    <n v="1"/>
    <n v="-2"/>
    <n v="0"/>
    <n v="49"/>
    <n v="0"/>
    <m/>
    <n v="0"/>
    <n v="1"/>
    <n v="1313"/>
    <n v="11"/>
    <x v="2"/>
    <n v="1"/>
    <n v="4"/>
    <n v="80"/>
    <n v="3"/>
    <n v="2"/>
    <n v="2"/>
    <n v="4507"/>
    <n v="8191"/>
    <n v="3"/>
    <n v="12"/>
    <n v="3"/>
    <n v="3"/>
    <n v="80"/>
    <n v="0"/>
    <n v="8"/>
    <n v="4"/>
    <n v="5"/>
    <n v="1"/>
    <n v="0"/>
    <n v="4"/>
  </r>
  <r>
    <x v="1"/>
    <s v="Non-Travel"/>
    <x v="2"/>
    <s v="Current Employees"/>
    <x v="2"/>
    <x v="0"/>
    <x v="1094"/>
    <n v="1858"/>
    <x v="1"/>
    <x v="8"/>
    <x v="2"/>
    <s v="No"/>
    <s v="Y"/>
    <n v="2"/>
    <n v="-2"/>
    <n v="0"/>
    <n v="28"/>
    <n v="0"/>
    <m/>
    <n v="0"/>
    <n v="1"/>
    <n v="280"/>
    <n v="1"/>
    <x v="0"/>
    <n v="1"/>
    <n v="3"/>
    <n v="43"/>
    <n v="3"/>
    <n v="1"/>
    <n v="4"/>
    <n v="2706"/>
    <n v="10494"/>
    <n v="1"/>
    <n v="15"/>
    <n v="3"/>
    <n v="2"/>
    <n v="80"/>
    <n v="1"/>
    <n v="3"/>
    <n v="3"/>
    <n v="3"/>
    <n v="2"/>
    <n v="2"/>
    <n v="2"/>
  </r>
  <r>
    <x v="1"/>
    <s v="Non-Travel"/>
    <x v="0"/>
    <s v="Current Employees"/>
    <x v="2"/>
    <x v="5"/>
    <x v="1095"/>
    <n v="1805"/>
    <x v="1"/>
    <x v="8"/>
    <x v="2"/>
    <s v="No"/>
    <s v="Y"/>
    <n v="3"/>
    <n v="-2"/>
    <n v="0"/>
    <n v="38"/>
    <n v="0"/>
    <m/>
    <n v="0"/>
    <n v="1"/>
    <n v="1336"/>
    <n v="2"/>
    <x v="3"/>
    <n v="1"/>
    <n v="1"/>
    <n v="100"/>
    <n v="3"/>
    <n v="1"/>
    <n v="2"/>
    <n v="2592"/>
    <n v="7129"/>
    <n v="5"/>
    <n v="13"/>
    <n v="3"/>
    <n v="4"/>
    <n v="80"/>
    <n v="3"/>
    <n v="13"/>
    <n v="3"/>
    <n v="11"/>
    <n v="10"/>
    <n v="3"/>
    <n v="8"/>
  </r>
  <r>
    <x v="1"/>
    <s v="Non-Travel"/>
    <x v="0"/>
    <s v="Current Employees"/>
    <x v="2"/>
    <x v="5"/>
    <x v="1096"/>
    <n v="1722"/>
    <x v="1"/>
    <x v="8"/>
    <x v="1"/>
    <s v="No"/>
    <s v="Y"/>
    <n v="4"/>
    <n v="-2"/>
    <n v="0"/>
    <n v="41"/>
    <n v="0"/>
    <m/>
    <n v="0"/>
    <n v="1"/>
    <n v="552"/>
    <n v="4"/>
    <x v="3"/>
    <n v="1"/>
    <n v="3"/>
    <n v="60"/>
    <n v="1"/>
    <n v="2"/>
    <n v="2"/>
    <n v="6430"/>
    <n v="20794"/>
    <n v="6"/>
    <n v="19"/>
    <n v="3"/>
    <n v="2"/>
    <n v="80"/>
    <n v="1"/>
    <n v="10"/>
    <n v="3"/>
    <n v="3"/>
    <n v="2"/>
    <n v="1"/>
    <n v="2"/>
  </r>
  <r>
    <x v="1"/>
    <s v="Non-Travel"/>
    <x v="0"/>
    <s v="Current Employees"/>
    <x v="1"/>
    <x v="2"/>
    <x v="1097"/>
    <n v="1804"/>
    <x v="1"/>
    <x v="3"/>
    <x v="2"/>
    <s v="No"/>
    <s v="Y"/>
    <n v="6"/>
    <n v="-2"/>
    <n v="0"/>
    <n v="35"/>
    <n v="0"/>
    <m/>
    <n v="0"/>
    <n v="1"/>
    <n v="1180"/>
    <n v="2"/>
    <x v="0"/>
    <n v="1"/>
    <n v="2"/>
    <n v="90"/>
    <n v="3"/>
    <n v="2"/>
    <n v="4"/>
    <n v="5762"/>
    <n v="24442"/>
    <n v="2"/>
    <n v="14"/>
    <n v="3"/>
    <n v="3"/>
    <n v="80"/>
    <n v="1"/>
    <n v="15"/>
    <n v="3"/>
    <n v="7"/>
    <n v="7"/>
    <n v="1"/>
    <n v="7"/>
  </r>
  <r>
    <x v="1"/>
    <s v="Non-Travel"/>
    <x v="0"/>
    <s v="Current Employees"/>
    <x v="1"/>
    <x v="2"/>
    <x v="1098"/>
    <n v="1468"/>
    <x v="1"/>
    <x v="7"/>
    <x v="2"/>
    <s v="No"/>
    <s v="Y"/>
    <n v="5"/>
    <n v="-2"/>
    <n v="0"/>
    <n v="40"/>
    <n v="0"/>
    <m/>
    <n v="0"/>
    <n v="1"/>
    <n v="218"/>
    <n v="8"/>
    <x v="1"/>
    <n v="1"/>
    <n v="4"/>
    <n v="55"/>
    <n v="2"/>
    <n v="3"/>
    <n v="2"/>
    <n v="13757"/>
    <n v="25178"/>
    <n v="2"/>
    <n v="11"/>
    <n v="3"/>
    <n v="3"/>
    <n v="80"/>
    <n v="1"/>
    <n v="16"/>
    <n v="3"/>
    <n v="9"/>
    <n v="8"/>
    <n v="4"/>
    <n v="8"/>
  </r>
  <r>
    <x v="1"/>
    <s v="Non-Travel"/>
    <x v="2"/>
    <s v="Current Employees"/>
    <x v="1"/>
    <x v="4"/>
    <x v="1099"/>
    <n v="1482"/>
    <x v="1"/>
    <x v="1"/>
    <x v="2"/>
    <s v="No"/>
    <s v="Y"/>
    <n v="2"/>
    <n v="-2"/>
    <n v="0"/>
    <n v="30"/>
    <n v="0"/>
    <m/>
    <n v="0"/>
    <n v="1"/>
    <n v="990"/>
    <n v="7"/>
    <x v="3"/>
    <n v="1"/>
    <n v="4"/>
    <n v="64"/>
    <n v="3"/>
    <n v="1"/>
    <n v="4"/>
    <n v="1274"/>
    <n v="7152"/>
    <n v="1"/>
    <n v="13"/>
    <n v="3"/>
    <n v="2"/>
    <n v="80"/>
    <n v="2"/>
    <n v="1"/>
    <n v="2"/>
    <n v="1"/>
    <n v="0"/>
    <n v="0"/>
    <n v="0"/>
  </r>
  <r>
    <x v="1"/>
    <s v="Non-Travel"/>
    <x v="0"/>
    <s v="Current Employees"/>
    <x v="1"/>
    <x v="1"/>
    <x v="1100"/>
    <n v="1449"/>
    <x v="1"/>
    <x v="2"/>
    <x v="2"/>
    <s v="No"/>
    <s v="Y"/>
    <n v="2"/>
    <n v="-2"/>
    <n v="0"/>
    <n v="40"/>
    <n v="0"/>
    <m/>
    <n v="0"/>
    <n v="1"/>
    <n v="663"/>
    <n v="9"/>
    <x v="2"/>
    <n v="1"/>
    <n v="3"/>
    <n v="81"/>
    <n v="3"/>
    <n v="2"/>
    <n v="3"/>
    <n v="3975"/>
    <n v="23099"/>
    <n v="3"/>
    <n v="11"/>
    <n v="3"/>
    <n v="3"/>
    <n v="80"/>
    <n v="2"/>
    <n v="11"/>
    <n v="4"/>
    <n v="8"/>
    <n v="7"/>
    <n v="0"/>
    <n v="7"/>
  </r>
  <r>
    <x v="1"/>
    <s v="Non-Travel"/>
    <x v="2"/>
    <s v="Current Employees"/>
    <x v="1"/>
    <x v="4"/>
    <x v="1101"/>
    <n v="1771"/>
    <x v="1"/>
    <x v="1"/>
    <x v="2"/>
    <s v="No"/>
    <s v="Y"/>
    <n v="2"/>
    <n v="-2"/>
    <n v="0"/>
    <n v="33"/>
    <n v="0"/>
    <m/>
    <n v="0"/>
    <n v="1"/>
    <n v="775"/>
    <n v="4"/>
    <x v="3"/>
    <n v="1"/>
    <n v="4"/>
    <n v="90"/>
    <n v="3"/>
    <n v="2"/>
    <n v="4"/>
    <n v="3055"/>
    <n v="6194"/>
    <n v="5"/>
    <n v="15"/>
    <n v="3"/>
    <n v="4"/>
    <n v="80"/>
    <n v="2"/>
    <n v="11"/>
    <n v="2"/>
    <n v="9"/>
    <n v="8"/>
    <n v="1"/>
    <n v="7"/>
  </r>
  <r>
    <x v="1"/>
    <s v="Non-Travel"/>
    <x v="2"/>
    <s v="Current Employees"/>
    <x v="1"/>
    <x v="2"/>
    <x v="1102"/>
    <n v="1994"/>
    <x v="1"/>
    <x v="2"/>
    <x v="2"/>
    <s v="No"/>
    <s v="Y"/>
    <n v="2"/>
    <n v="-2"/>
    <n v="0"/>
    <n v="33"/>
    <n v="0"/>
    <m/>
    <n v="0"/>
    <n v="1"/>
    <n v="1313"/>
    <n v="1"/>
    <x v="0"/>
    <n v="1"/>
    <n v="2"/>
    <n v="59"/>
    <n v="2"/>
    <n v="1"/>
    <n v="3"/>
    <n v="2008"/>
    <n v="20439"/>
    <n v="1"/>
    <n v="12"/>
    <n v="3"/>
    <n v="3"/>
    <n v="80"/>
    <n v="3"/>
    <n v="1"/>
    <n v="2"/>
    <n v="1"/>
    <n v="1"/>
    <n v="0"/>
    <n v="0"/>
  </r>
  <r>
    <x v="1"/>
    <s v="Non-Travel"/>
    <x v="1"/>
    <s v="Current Employees"/>
    <x v="1"/>
    <x v="4"/>
    <x v="1103"/>
    <n v="1934"/>
    <x v="1"/>
    <x v="1"/>
    <x v="1"/>
    <s v="No"/>
    <s v="Y"/>
    <n v="4"/>
    <n v="-2"/>
    <n v="0"/>
    <n v="47"/>
    <n v="0"/>
    <m/>
    <n v="0"/>
    <n v="1"/>
    <n v="1169"/>
    <n v="14"/>
    <x v="2"/>
    <n v="1"/>
    <n v="4"/>
    <n v="64"/>
    <n v="3"/>
    <n v="2"/>
    <n v="4"/>
    <n v="5467"/>
    <n v="2125"/>
    <n v="8"/>
    <n v="18"/>
    <n v="3"/>
    <n v="3"/>
    <n v="80"/>
    <n v="1"/>
    <n v="16"/>
    <n v="4"/>
    <n v="8"/>
    <n v="7"/>
    <n v="1"/>
    <n v="7"/>
  </r>
  <r>
    <x v="1"/>
    <s v="Non-Travel"/>
    <x v="2"/>
    <s v="Current Employees"/>
    <x v="1"/>
    <x v="4"/>
    <x v="1104"/>
    <n v="1574"/>
    <x v="1"/>
    <x v="1"/>
    <x v="1"/>
    <s v="No"/>
    <s v="Y"/>
    <n v="3"/>
    <n v="-2"/>
    <n v="0"/>
    <n v="32"/>
    <n v="0"/>
    <m/>
    <n v="0"/>
    <n v="1"/>
    <n v="1200"/>
    <n v="1"/>
    <x v="2"/>
    <n v="1"/>
    <n v="4"/>
    <n v="62"/>
    <n v="3"/>
    <n v="2"/>
    <n v="4"/>
    <n v="4087"/>
    <n v="25174"/>
    <n v="4"/>
    <n v="14"/>
    <n v="3"/>
    <n v="2"/>
    <n v="80"/>
    <n v="1"/>
    <n v="9"/>
    <n v="2"/>
    <n v="6"/>
    <n v="5"/>
    <n v="1"/>
    <n v="2"/>
  </r>
  <r>
    <x v="1"/>
    <s v="Non-Travel"/>
    <x v="0"/>
    <s v="Current Employees"/>
    <x v="1"/>
    <x v="0"/>
    <x v="1105"/>
    <n v="1813"/>
    <x v="1"/>
    <x v="1"/>
    <x v="0"/>
    <s v="No"/>
    <s v="Y"/>
    <n v="2"/>
    <n v="-2"/>
    <n v="0"/>
    <n v="43"/>
    <n v="0"/>
    <m/>
    <n v="0"/>
    <n v="1"/>
    <n v="343"/>
    <n v="9"/>
    <x v="3"/>
    <n v="1"/>
    <n v="1"/>
    <n v="52"/>
    <n v="3"/>
    <n v="1"/>
    <n v="3"/>
    <n v="2438"/>
    <n v="24978"/>
    <n v="4"/>
    <n v="13"/>
    <n v="3"/>
    <n v="3"/>
    <n v="80"/>
    <n v="0"/>
    <n v="7"/>
    <n v="2"/>
    <n v="3"/>
    <n v="2"/>
    <n v="1"/>
    <n v="2"/>
  </r>
  <r>
    <x v="1"/>
    <s v="Non-Travel"/>
    <x v="2"/>
    <s v="Current Employees"/>
    <x v="1"/>
    <x v="2"/>
    <x v="1106"/>
    <n v="2057"/>
    <x v="1"/>
    <x v="3"/>
    <x v="0"/>
    <s v="No"/>
    <s v="Y"/>
    <n v="2"/>
    <n v="-2"/>
    <n v="0"/>
    <n v="31"/>
    <n v="0"/>
    <m/>
    <n v="0"/>
    <n v="1"/>
    <n v="325"/>
    <n v="5"/>
    <x v="3"/>
    <n v="1"/>
    <n v="2"/>
    <n v="74"/>
    <n v="3"/>
    <n v="2"/>
    <n v="3"/>
    <n v="9936"/>
    <n v="3787"/>
    <n v="0"/>
    <n v="19"/>
    <n v="3"/>
    <n v="2"/>
    <n v="80"/>
    <n v="0"/>
    <n v="10"/>
    <n v="3"/>
    <n v="9"/>
    <n v="4"/>
    <n v="1"/>
    <n v="7"/>
  </r>
  <r>
    <x v="1"/>
    <s v="Non-Travel"/>
    <x v="2"/>
    <s v="Current Employees"/>
    <x v="1"/>
    <x v="4"/>
    <x v="1107"/>
    <n v="1764"/>
    <x v="1"/>
    <x v="1"/>
    <x v="0"/>
    <s v="No"/>
    <s v="Y"/>
    <n v="3"/>
    <n v="-2"/>
    <n v="0"/>
    <n v="32"/>
    <n v="0"/>
    <m/>
    <n v="0"/>
    <n v="1"/>
    <n v="953"/>
    <n v="5"/>
    <x v="2"/>
    <n v="1"/>
    <n v="4"/>
    <n v="65"/>
    <n v="3"/>
    <n v="1"/>
    <n v="4"/>
    <n v="2718"/>
    <n v="17674"/>
    <n v="2"/>
    <n v="14"/>
    <n v="3"/>
    <n v="2"/>
    <n v="80"/>
    <n v="0"/>
    <n v="12"/>
    <n v="3"/>
    <n v="7"/>
    <n v="7"/>
    <n v="0"/>
    <n v="7"/>
  </r>
  <r>
    <x v="1"/>
    <s v="Non-Travel"/>
    <x v="0"/>
    <s v="Current Employees"/>
    <x v="1"/>
    <x v="0"/>
    <x v="1108"/>
    <n v="1471"/>
    <x v="1"/>
    <x v="2"/>
    <x v="0"/>
    <s v="No"/>
    <s v="Y"/>
    <n v="5"/>
    <n v="-2"/>
    <n v="0"/>
    <n v="44"/>
    <n v="0"/>
    <m/>
    <n v="0"/>
    <n v="1"/>
    <n v="981"/>
    <n v="5"/>
    <x v="3"/>
    <n v="1"/>
    <n v="3"/>
    <n v="90"/>
    <n v="2"/>
    <n v="1"/>
    <n v="3"/>
    <n v="3162"/>
    <n v="7973"/>
    <n v="3"/>
    <n v="14"/>
    <n v="3"/>
    <n v="4"/>
    <n v="80"/>
    <n v="0"/>
    <n v="7"/>
    <n v="3"/>
    <n v="5"/>
    <n v="2"/>
    <n v="0"/>
    <n v="3"/>
  </r>
  <r>
    <x v="1"/>
    <s v="Non-Travel"/>
    <x v="2"/>
    <s v="Current Employees"/>
    <x v="1"/>
    <x v="2"/>
    <x v="1109"/>
    <n v="1947"/>
    <x v="1"/>
    <x v="1"/>
    <x v="0"/>
    <s v="No"/>
    <s v="Y"/>
    <n v="3"/>
    <n v="-2"/>
    <n v="0"/>
    <n v="28"/>
    <n v="0"/>
    <m/>
    <n v="0"/>
    <n v="1"/>
    <n v="1103"/>
    <n v="16"/>
    <x v="3"/>
    <n v="1"/>
    <n v="3"/>
    <n v="49"/>
    <n v="3"/>
    <n v="1"/>
    <n v="3"/>
    <n v="2144"/>
    <n v="2122"/>
    <n v="1"/>
    <n v="14"/>
    <n v="3"/>
    <n v="3"/>
    <n v="80"/>
    <n v="0"/>
    <n v="5"/>
    <n v="2"/>
    <n v="5"/>
    <n v="3"/>
    <n v="1"/>
    <n v="4"/>
  </r>
  <r>
    <x v="1"/>
    <s v="Non-Travel"/>
    <x v="0"/>
    <s v="Current Employees"/>
    <x v="1"/>
    <x v="4"/>
    <x v="1110"/>
    <n v="1440"/>
    <x v="1"/>
    <x v="2"/>
    <x v="0"/>
    <s v="No"/>
    <s v="Y"/>
    <n v="2"/>
    <n v="-2"/>
    <n v="0"/>
    <n v="37"/>
    <n v="0"/>
    <m/>
    <n v="0"/>
    <n v="1"/>
    <n v="1413"/>
    <n v="5"/>
    <x v="0"/>
    <n v="1"/>
    <n v="4"/>
    <n v="84"/>
    <n v="4"/>
    <n v="1"/>
    <n v="4"/>
    <n v="3500"/>
    <n v="25470"/>
    <n v="0"/>
    <n v="14"/>
    <n v="3"/>
    <n v="1"/>
    <n v="80"/>
    <n v="0"/>
    <n v="7"/>
    <n v="1"/>
    <n v="6"/>
    <n v="5"/>
    <n v="1"/>
    <n v="3"/>
  </r>
  <r>
    <x v="1"/>
    <s v="Non-Travel"/>
    <x v="0"/>
    <s v="Current Employees"/>
    <x v="1"/>
    <x v="0"/>
    <x v="1111"/>
    <n v="1976"/>
    <x v="1"/>
    <x v="1"/>
    <x v="0"/>
    <s v="No"/>
    <s v="Y"/>
    <n v="2"/>
    <n v="-2"/>
    <n v="0"/>
    <n v="42"/>
    <n v="0"/>
    <m/>
    <n v="0"/>
    <n v="1"/>
    <n v="335"/>
    <n v="23"/>
    <x v="0"/>
    <n v="1"/>
    <n v="4"/>
    <n v="37"/>
    <n v="2"/>
    <n v="2"/>
    <n v="3"/>
    <n v="4332"/>
    <n v="14811"/>
    <n v="1"/>
    <n v="12"/>
    <n v="3"/>
    <n v="4"/>
    <n v="80"/>
    <n v="0"/>
    <n v="20"/>
    <n v="3"/>
    <n v="20"/>
    <n v="9"/>
    <n v="3"/>
    <n v="7"/>
  </r>
  <r>
    <x v="1"/>
    <s v="Non-Travel"/>
    <x v="0"/>
    <s v="Current Employees"/>
    <x v="1"/>
    <x v="0"/>
    <x v="1112"/>
    <n v="2022"/>
    <x v="1"/>
    <x v="5"/>
    <x v="0"/>
    <s v="No"/>
    <s v="Y"/>
    <n v="3"/>
    <n v="-2"/>
    <n v="0"/>
    <n v="39"/>
    <n v="0"/>
    <m/>
    <n v="0"/>
    <n v="1"/>
    <n v="105"/>
    <n v="9"/>
    <x v="3"/>
    <n v="1"/>
    <n v="4"/>
    <n v="87"/>
    <n v="3"/>
    <n v="5"/>
    <n v="4"/>
    <n v="19431"/>
    <n v="15302"/>
    <n v="2"/>
    <n v="13"/>
    <n v="3"/>
    <n v="3"/>
    <n v="80"/>
    <n v="0"/>
    <n v="21"/>
    <n v="2"/>
    <n v="6"/>
    <n v="0"/>
    <n v="1"/>
    <n v="3"/>
  </r>
  <r>
    <x v="1"/>
    <s v="Non-Travel"/>
    <x v="1"/>
    <s v="Current Employees"/>
    <x v="0"/>
    <x v="0"/>
    <x v="1113"/>
    <n v="2019"/>
    <x v="1"/>
    <x v="6"/>
    <x v="2"/>
    <s v="No"/>
    <s v="Y"/>
    <n v="3"/>
    <n v="-2"/>
    <n v="0"/>
    <n v="52"/>
    <n v="0"/>
    <m/>
    <n v="0"/>
    <n v="1"/>
    <n v="585"/>
    <n v="29"/>
    <x v="2"/>
    <n v="1"/>
    <n v="1"/>
    <n v="40"/>
    <n v="3"/>
    <n v="1"/>
    <n v="4"/>
    <n v="3482"/>
    <n v="19788"/>
    <n v="2"/>
    <n v="15"/>
    <n v="3"/>
    <n v="2"/>
    <n v="80"/>
    <n v="2"/>
    <n v="16"/>
    <n v="2"/>
    <n v="9"/>
    <n v="8"/>
    <n v="0"/>
    <n v="0"/>
  </r>
  <r>
    <x v="1"/>
    <s v="Non-Travel"/>
    <x v="1"/>
    <s v="Current Employees"/>
    <x v="0"/>
    <x v="3"/>
    <x v="1114"/>
    <n v="1612"/>
    <x v="1"/>
    <x v="0"/>
    <x v="1"/>
    <s v="No"/>
    <s v="Y"/>
    <n v="2"/>
    <n v="-2"/>
    <n v="0"/>
    <n v="45"/>
    <n v="0"/>
    <m/>
    <n v="0"/>
    <n v="1"/>
    <n v="336"/>
    <n v="26"/>
    <x v="3"/>
    <n v="1"/>
    <n v="1"/>
    <n v="52"/>
    <n v="2"/>
    <n v="2"/>
    <n v="2"/>
    <n v="4385"/>
    <n v="24162"/>
    <n v="1"/>
    <n v="15"/>
    <n v="3"/>
    <n v="1"/>
    <n v="80"/>
    <n v="1"/>
    <n v="10"/>
    <n v="3"/>
    <n v="10"/>
    <n v="7"/>
    <n v="4"/>
    <n v="5"/>
  </r>
  <r>
    <x v="1"/>
    <s v="Non-Travel"/>
    <x v="1"/>
    <s v="Current Employees"/>
    <x v="0"/>
    <x v="3"/>
    <x v="1115"/>
    <n v="1731"/>
    <x v="1"/>
    <x v="0"/>
    <x v="1"/>
    <s v="No"/>
    <s v="Y"/>
    <n v="3"/>
    <n v="-2"/>
    <n v="0"/>
    <n v="47"/>
    <n v="0"/>
    <m/>
    <n v="0"/>
    <n v="1"/>
    <n v="543"/>
    <n v="2"/>
    <x v="2"/>
    <n v="1"/>
    <n v="3"/>
    <n v="87"/>
    <n v="3"/>
    <n v="2"/>
    <n v="2"/>
    <n v="4978"/>
    <n v="3536"/>
    <n v="7"/>
    <n v="11"/>
    <n v="3"/>
    <n v="4"/>
    <n v="80"/>
    <n v="1"/>
    <n v="4"/>
    <n v="1"/>
    <n v="1"/>
    <n v="0"/>
    <n v="0"/>
    <n v="0"/>
  </r>
  <r>
    <x v="1"/>
    <s v="Non-Travel"/>
    <x v="1"/>
    <s v="Current Employees"/>
    <x v="0"/>
    <x v="0"/>
    <x v="1116"/>
    <n v="1801"/>
    <x v="1"/>
    <x v="0"/>
    <x v="0"/>
    <s v="No"/>
    <s v="Y"/>
    <n v="3"/>
    <n v="-2"/>
    <n v="0"/>
    <n v="46"/>
    <n v="0"/>
    <m/>
    <n v="0"/>
    <n v="1"/>
    <n v="849"/>
    <n v="26"/>
    <x v="0"/>
    <n v="1"/>
    <n v="2"/>
    <n v="98"/>
    <n v="2"/>
    <n v="2"/>
    <n v="2"/>
    <n v="7991"/>
    <n v="25166"/>
    <n v="8"/>
    <n v="15"/>
    <n v="3"/>
    <n v="3"/>
    <n v="80"/>
    <n v="0"/>
    <n v="6"/>
    <n v="3"/>
    <n v="2"/>
    <n v="2"/>
    <n v="2"/>
    <n v="2"/>
  </r>
  <r>
    <x v="1"/>
    <s v="Travel_Frequently"/>
    <x v="0"/>
    <s v="Current Employees"/>
    <x v="2"/>
    <x v="5"/>
    <x v="1117"/>
    <n v="1563"/>
    <x v="1"/>
    <x v="8"/>
    <x v="1"/>
    <s v="No"/>
    <s v="Y"/>
    <n v="2"/>
    <n v="-2"/>
    <n v="0"/>
    <n v="38"/>
    <n v="0"/>
    <m/>
    <n v="0"/>
    <n v="1"/>
    <n v="888"/>
    <n v="10"/>
    <x v="2"/>
    <n v="1"/>
    <n v="3"/>
    <n v="71"/>
    <n v="3"/>
    <n v="2"/>
    <n v="3"/>
    <n v="6077"/>
    <n v="14814"/>
    <n v="3"/>
    <n v="11"/>
    <n v="3"/>
    <n v="3"/>
    <n v="80"/>
    <n v="0"/>
    <n v="10"/>
    <n v="3"/>
    <n v="6"/>
    <n v="3"/>
    <n v="1"/>
    <n v="2"/>
  </r>
  <r>
    <x v="1"/>
    <s v="Travel_Frequently"/>
    <x v="4"/>
    <s v="Current Employees"/>
    <x v="2"/>
    <x v="2"/>
    <x v="1118"/>
    <n v="1746"/>
    <x v="1"/>
    <x v="8"/>
    <x v="1"/>
    <s v="No"/>
    <s v="Y"/>
    <n v="2"/>
    <n v="-2"/>
    <n v="0"/>
    <n v="24"/>
    <n v="0"/>
    <m/>
    <n v="0"/>
    <n v="1"/>
    <n v="897"/>
    <n v="10"/>
    <x v="3"/>
    <n v="1"/>
    <n v="1"/>
    <n v="59"/>
    <n v="3"/>
    <n v="1"/>
    <n v="4"/>
    <n v="2145"/>
    <n v="2097"/>
    <n v="0"/>
    <n v="14"/>
    <n v="3"/>
    <n v="4"/>
    <n v="80"/>
    <n v="1"/>
    <n v="3"/>
    <n v="3"/>
    <n v="2"/>
    <n v="2"/>
    <n v="2"/>
    <n v="1"/>
  </r>
  <r>
    <x v="1"/>
    <s v="Travel_Frequently"/>
    <x v="2"/>
    <s v="Current Employees"/>
    <x v="1"/>
    <x v="0"/>
    <x v="1119"/>
    <n v="1590"/>
    <x v="1"/>
    <x v="4"/>
    <x v="2"/>
    <s v="No"/>
    <s v="Y"/>
    <n v="0"/>
    <n v="-2"/>
    <n v="0"/>
    <n v="29"/>
    <n v="0"/>
    <m/>
    <n v="0"/>
    <n v="1"/>
    <n v="995"/>
    <n v="2"/>
    <x v="1"/>
    <n v="1"/>
    <n v="1"/>
    <n v="87"/>
    <n v="3"/>
    <n v="2"/>
    <n v="4"/>
    <n v="8853"/>
    <n v="24483"/>
    <n v="1"/>
    <n v="19"/>
    <n v="3"/>
    <n v="4"/>
    <n v="80"/>
    <n v="1"/>
    <n v="6"/>
    <n v="4"/>
    <n v="6"/>
    <n v="4"/>
    <n v="1"/>
    <n v="3"/>
  </r>
  <r>
    <x v="1"/>
    <s v="Travel_Frequently"/>
    <x v="2"/>
    <s v="Current Employees"/>
    <x v="1"/>
    <x v="0"/>
    <x v="1120"/>
    <n v="1615"/>
    <x v="1"/>
    <x v="3"/>
    <x v="2"/>
    <s v="No"/>
    <s v="Y"/>
    <n v="3"/>
    <n v="-2"/>
    <n v="0"/>
    <n v="34"/>
    <n v="0"/>
    <m/>
    <n v="0"/>
    <n v="1"/>
    <n v="426"/>
    <n v="10"/>
    <x v="2"/>
    <n v="1"/>
    <n v="3"/>
    <n v="42"/>
    <n v="4"/>
    <n v="2"/>
    <n v="4"/>
    <n v="4724"/>
    <n v="17000"/>
    <n v="1"/>
    <n v="13"/>
    <n v="3"/>
    <n v="1"/>
    <n v="80"/>
    <n v="1"/>
    <n v="9"/>
    <n v="3"/>
    <n v="9"/>
    <n v="7"/>
    <n v="7"/>
    <n v="2"/>
  </r>
  <r>
    <x v="1"/>
    <s v="Travel_Frequently"/>
    <x v="2"/>
    <s v="Current Employees"/>
    <x v="1"/>
    <x v="2"/>
    <x v="1121"/>
    <n v="1485"/>
    <x v="1"/>
    <x v="7"/>
    <x v="2"/>
    <s v="No"/>
    <s v="Y"/>
    <n v="3"/>
    <n v="-2"/>
    <n v="0"/>
    <n v="34"/>
    <n v="0"/>
    <m/>
    <n v="0"/>
    <n v="1"/>
    <n v="829"/>
    <n v="15"/>
    <x v="3"/>
    <n v="1"/>
    <n v="2"/>
    <n v="71"/>
    <n v="3"/>
    <n v="4"/>
    <n v="3"/>
    <n v="17007"/>
    <n v="11929"/>
    <n v="7"/>
    <n v="14"/>
    <n v="3"/>
    <n v="4"/>
    <n v="80"/>
    <n v="2"/>
    <n v="16"/>
    <n v="2"/>
    <n v="14"/>
    <n v="8"/>
    <n v="6"/>
    <n v="9"/>
  </r>
  <r>
    <x v="1"/>
    <s v="Travel_Frequently"/>
    <x v="2"/>
    <s v="Current Employees"/>
    <x v="1"/>
    <x v="1"/>
    <x v="1122"/>
    <n v="1431"/>
    <x v="1"/>
    <x v="1"/>
    <x v="2"/>
    <s v="No"/>
    <s v="Y"/>
    <n v="2"/>
    <n v="-2"/>
    <n v="0"/>
    <n v="34"/>
    <n v="0"/>
    <m/>
    <n v="0"/>
    <n v="1"/>
    <n v="560"/>
    <n v="1"/>
    <x v="2"/>
    <n v="1"/>
    <n v="4"/>
    <n v="91"/>
    <n v="3"/>
    <n v="1"/>
    <n v="3"/>
    <n v="2996"/>
    <n v="20284"/>
    <n v="5"/>
    <n v="14"/>
    <n v="3"/>
    <n v="3"/>
    <n v="80"/>
    <n v="2"/>
    <n v="10"/>
    <n v="3"/>
    <n v="4"/>
    <n v="3"/>
    <n v="1"/>
    <n v="3"/>
  </r>
  <r>
    <x v="1"/>
    <s v="Travel_Frequently"/>
    <x v="2"/>
    <s v="Current Employees"/>
    <x v="1"/>
    <x v="0"/>
    <x v="1123"/>
    <n v="1653"/>
    <x v="1"/>
    <x v="3"/>
    <x v="2"/>
    <s v="No"/>
    <s v="Y"/>
    <n v="6"/>
    <n v="-2"/>
    <n v="0"/>
    <n v="25"/>
    <n v="0"/>
    <m/>
    <n v="0"/>
    <n v="1"/>
    <n v="772"/>
    <n v="2"/>
    <x v="1"/>
    <n v="1"/>
    <n v="4"/>
    <n v="77"/>
    <n v="4"/>
    <n v="2"/>
    <n v="3"/>
    <n v="5206"/>
    <n v="4973"/>
    <n v="1"/>
    <n v="17"/>
    <n v="3"/>
    <n v="3"/>
    <n v="80"/>
    <n v="2"/>
    <n v="7"/>
    <n v="3"/>
    <n v="7"/>
    <n v="7"/>
    <n v="0"/>
    <n v="7"/>
  </r>
  <r>
    <x v="1"/>
    <s v="Travel_Frequently"/>
    <x v="1"/>
    <s v="Current Employees"/>
    <x v="1"/>
    <x v="0"/>
    <x v="1124"/>
    <n v="1941"/>
    <x v="1"/>
    <x v="7"/>
    <x v="1"/>
    <s v="No"/>
    <s v="Y"/>
    <n v="3"/>
    <n v="-2"/>
    <n v="0"/>
    <n v="49"/>
    <n v="0"/>
    <m/>
    <n v="0"/>
    <n v="1"/>
    <n v="1064"/>
    <n v="2"/>
    <x v="1"/>
    <n v="1"/>
    <n v="2"/>
    <n v="42"/>
    <n v="3"/>
    <n v="5"/>
    <n v="4"/>
    <n v="19161"/>
    <n v="13738"/>
    <n v="3"/>
    <n v="15"/>
    <n v="3"/>
    <n v="4"/>
    <n v="80"/>
    <n v="0"/>
    <n v="28"/>
    <n v="3"/>
    <n v="5"/>
    <n v="4"/>
    <n v="4"/>
    <n v="3"/>
  </r>
  <r>
    <x v="1"/>
    <s v="Travel_Frequently"/>
    <x v="2"/>
    <s v="Current Employees"/>
    <x v="1"/>
    <x v="2"/>
    <x v="1125"/>
    <n v="1852"/>
    <x v="1"/>
    <x v="2"/>
    <x v="1"/>
    <s v="No"/>
    <s v="Y"/>
    <n v="3"/>
    <n v="-2"/>
    <n v="0"/>
    <n v="29"/>
    <n v="0"/>
    <m/>
    <n v="0"/>
    <n v="1"/>
    <n v="574"/>
    <n v="20"/>
    <x v="1"/>
    <n v="1"/>
    <n v="4"/>
    <n v="40"/>
    <n v="3"/>
    <n v="1"/>
    <n v="4"/>
    <n v="3812"/>
    <n v="7003"/>
    <n v="1"/>
    <n v="13"/>
    <n v="3"/>
    <n v="2"/>
    <n v="80"/>
    <n v="0"/>
    <n v="11"/>
    <n v="4"/>
    <n v="11"/>
    <n v="8"/>
    <n v="3"/>
    <n v="10"/>
  </r>
  <r>
    <x v="1"/>
    <s v="Travel_Frequently"/>
    <x v="0"/>
    <s v="Current Employees"/>
    <x v="1"/>
    <x v="0"/>
    <x v="1126"/>
    <n v="1997"/>
    <x v="1"/>
    <x v="3"/>
    <x v="1"/>
    <s v="No"/>
    <s v="Y"/>
    <n v="1"/>
    <n v="-2"/>
    <n v="0"/>
    <n v="38"/>
    <n v="0"/>
    <m/>
    <n v="0"/>
    <n v="1"/>
    <n v="508"/>
    <n v="6"/>
    <x v="2"/>
    <n v="1"/>
    <n v="1"/>
    <n v="72"/>
    <n v="2"/>
    <n v="2"/>
    <n v="3"/>
    <n v="5321"/>
    <n v="14284"/>
    <n v="2"/>
    <n v="11"/>
    <n v="3"/>
    <n v="4"/>
    <n v="80"/>
    <n v="1"/>
    <n v="10"/>
    <n v="3"/>
    <n v="8"/>
    <n v="3"/>
    <n v="7"/>
    <n v="7"/>
  </r>
  <r>
    <x v="1"/>
    <s v="Travel_Frequently"/>
    <x v="2"/>
    <s v="Current Employees"/>
    <x v="1"/>
    <x v="0"/>
    <x v="1127"/>
    <n v="1720"/>
    <x v="1"/>
    <x v="1"/>
    <x v="1"/>
    <s v="No"/>
    <s v="Y"/>
    <n v="3"/>
    <n v="-2"/>
    <n v="0"/>
    <n v="32"/>
    <n v="0"/>
    <m/>
    <n v="0"/>
    <n v="1"/>
    <n v="585"/>
    <n v="10"/>
    <x v="3"/>
    <n v="1"/>
    <n v="1"/>
    <n v="56"/>
    <n v="3"/>
    <n v="1"/>
    <n v="3"/>
    <n v="3433"/>
    <n v="17360"/>
    <n v="6"/>
    <n v="13"/>
    <n v="3"/>
    <n v="1"/>
    <n v="80"/>
    <n v="1"/>
    <n v="10"/>
    <n v="2"/>
    <n v="5"/>
    <n v="2"/>
    <n v="1"/>
    <n v="3"/>
  </r>
  <r>
    <x v="1"/>
    <s v="Travel_Frequently"/>
    <x v="2"/>
    <s v="Current Employees"/>
    <x v="1"/>
    <x v="1"/>
    <x v="1128"/>
    <n v="1918"/>
    <x v="1"/>
    <x v="2"/>
    <x v="1"/>
    <s v="No"/>
    <s v="Y"/>
    <n v="3"/>
    <n v="-2"/>
    <n v="0"/>
    <n v="26"/>
    <n v="0"/>
    <m/>
    <n v="0"/>
    <n v="1"/>
    <n v="1096"/>
    <n v="6"/>
    <x v="3"/>
    <n v="1"/>
    <n v="3"/>
    <n v="61"/>
    <n v="4"/>
    <n v="1"/>
    <n v="4"/>
    <n v="2544"/>
    <n v="7102"/>
    <n v="0"/>
    <n v="18"/>
    <n v="3"/>
    <n v="1"/>
    <n v="80"/>
    <n v="1"/>
    <n v="8"/>
    <n v="3"/>
    <n v="7"/>
    <n v="7"/>
    <n v="7"/>
    <n v="7"/>
  </r>
  <r>
    <x v="1"/>
    <s v="Travel_Frequently"/>
    <x v="0"/>
    <s v="Current Employees"/>
    <x v="1"/>
    <x v="2"/>
    <x v="1129"/>
    <n v="2061"/>
    <x v="1"/>
    <x v="2"/>
    <x v="1"/>
    <s v="No"/>
    <s v="Y"/>
    <n v="3"/>
    <n v="-2"/>
    <n v="0"/>
    <n v="36"/>
    <n v="0"/>
    <m/>
    <n v="0"/>
    <n v="1"/>
    <n v="884"/>
    <n v="23"/>
    <x v="0"/>
    <n v="1"/>
    <n v="3"/>
    <n v="41"/>
    <n v="4"/>
    <n v="2"/>
    <n v="4"/>
    <n v="2571"/>
    <n v="12290"/>
    <n v="4"/>
    <n v="17"/>
    <n v="3"/>
    <n v="3"/>
    <n v="80"/>
    <n v="1"/>
    <n v="17"/>
    <n v="3"/>
    <n v="5"/>
    <n v="2"/>
    <n v="0"/>
    <n v="3"/>
  </r>
  <r>
    <x v="1"/>
    <s v="Travel_Frequently"/>
    <x v="2"/>
    <s v="Current Employees"/>
    <x v="1"/>
    <x v="4"/>
    <x v="1130"/>
    <n v="1597"/>
    <x v="1"/>
    <x v="4"/>
    <x v="1"/>
    <s v="No"/>
    <s v="Y"/>
    <n v="3"/>
    <n v="-2"/>
    <n v="0"/>
    <n v="34"/>
    <n v="0"/>
    <m/>
    <n v="0"/>
    <n v="1"/>
    <n v="653"/>
    <n v="10"/>
    <x v="2"/>
    <n v="1"/>
    <n v="4"/>
    <n v="92"/>
    <n v="2"/>
    <n v="2"/>
    <n v="4"/>
    <n v="5063"/>
    <n v="15332"/>
    <n v="1"/>
    <n v="14"/>
    <n v="3"/>
    <n v="2"/>
    <n v="80"/>
    <n v="1"/>
    <n v="8"/>
    <n v="2"/>
    <n v="8"/>
    <n v="2"/>
    <n v="7"/>
    <n v="7"/>
  </r>
  <r>
    <x v="1"/>
    <s v="Travel_Frequently"/>
    <x v="0"/>
    <s v="Current Employees"/>
    <x v="1"/>
    <x v="0"/>
    <x v="1131"/>
    <n v="1668"/>
    <x v="1"/>
    <x v="1"/>
    <x v="1"/>
    <s v="No"/>
    <s v="Y"/>
    <n v="4"/>
    <n v="-2"/>
    <n v="0"/>
    <n v="38"/>
    <n v="0"/>
    <m/>
    <n v="0"/>
    <n v="1"/>
    <n v="1189"/>
    <n v="1"/>
    <x v="3"/>
    <n v="1"/>
    <n v="4"/>
    <n v="90"/>
    <n v="3"/>
    <n v="2"/>
    <n v="4"/>
    <n v="4735"/>
    <n v="9867"/>
    <n v="7"/>
    <n v="15"/>
    <n v="3"/>
    <n v="4"/>
    <n v="80"/>
    <n v="2"/>
    <n v="19"/>
    <n v="4"/>
    <n v="13"/>
    <n v="11"/>
    <n v="2"/>
    <n v="9"/>
  </r>
  <r>
    <x v="1"/>
    <s v="Travel_Frequently"/>
    <x v="1"/>
    <s v="Current Employees"/>
    <x v="1"/>
    <x v="2"/>
    <x v="1132"/>
    <n v="1922"/>
    <x v="1"/>
    <x v="4"/>
    <x v="0"/>
    <s v="No"/>
    <s v="Y"/>
    <n v="3"/>
    <n v="-2"/>
    <n v="0"/>
    <n v="45"/>
    <n v="0"/>
    <m/>
    <n v="0"/>
    <n v="1"/>
    <n v="1297"/>
    <n v="1"/>
    <x v="2"/>
    <n v="1"/>
    <n v="2"/>
    <n v="44"/>
    <n v="3"/>
    <n v="2"/>
    <n v="3"/>
    <n v="5399"/>
    <n v="14511"/>
    <n v="4"/>
    <n v="12"/>
    <n v="3"/>
    <n v="3"/>
    <n v="80"/>
    <n v="0"/>
    <n v="12"/>
    <n v="3"/>
    <n v="4"/>
    <n v="2"/>
    <n v="0"/>
    <n v="3"/>
  </r>
  <r>
    <x v="1"/>
    <s v="Travel_Frequently"/>
    <x v="0"/>
    <s v="Current Employees"/>
    <x v="1"/>
    <x v="0"/>
    <x v="1133"/>
    <n v="1412"/>
    <x v="1"/>
    <x v="3"/>
    <x v="0"/>
    <s v="No"/>
    <s v="Y"/>
    <n v="2"/>
    <n v="-2"/>
    <n v="0"/>
    <n v="35"/>
    <n v="0"/>
    <m/>
    <n v="0"/>
    <n v="1"/>
    <n v="200"/>
    <n v="18"/>
    <x v="0"/>
    <n v="1"/>
    <n v="3"/>
    <n v="60"/>
    <n v="3"/>
    <n v="3"/>
    <n v="4"/>
    <n v="9362"/>
    <n v="19944"/>
    <n v="2"/>
    <n v="11"/>
    <n v="3"/>
    <n v="3"/>
    <n v="80"/>
    <n v="0"/>
    <n v="10"/>
    <n v="3"/>
    <n v="2"/>
    <n v="2"/>
    <n v="2"/>
    <n v="2"/>
  </r>
  <r>
    <x v="1"/>
    <s v="Travel_Frequently"/>
    <x v="2"/>
    <s v="Current Employees"/>
    <x v="1"/>
    <x v="2"/>
    <x v="1134"/>
    <n v="1648"/>
    <x v="1"/>
    <x v="1"/>
    <x v="0"/>
    <s v="No"/>
    <s v="Y"/>
    <n v="0"/>
    <n v="-2"/>
    <n v="0"/>
    <n v="27"/>
    <n v="0"/>
    <m/>
    <n v="0"/>
    <n v="1"/>
    <n v="591"/>
    <n v="2"/>
    <x v="3"/>
    <n v="1"/>
    <n v="4"/>
    <n v="87"/>
    <n v="3"/>
    <n v="1"/>
    <n v="4"/>
    <n v="2580"/>
    <n v="6297"/>
    <n v="2"/>
    <n v="13"/>
    <n v="3"/>
    <n v="3"/>
    <n v="80"/>
    <n v="0"/>
    <n v="6"/>
    <n v="2"/>
    <n v="4"/>
    <n v="2"/>
    <n v="1"/>
    <n v="2"/>
  </r>
  <r>
    <x v="1"/>
    <s v="Travel_Frequently"/>
    <x v="0"/>
    <s v="Current Employees"/>
    <x v="0"/>
    <x v="0"/>
    <x v="1135"/>
    <n v="1812"/>
    <x v="1"/>
    <x v="0"/>
    <x v="2"/>
    <s v="No"/>
    <s v="Y"/>
    <n v="6"/>
    <n v="-2"/>
    <n v="0"/>
    <n v="39"/>
    <n v="0"/>
    <m/>
    <n v="0"/>
    <n v="1"/>
    <n v="766"/>
    <n v="20"/>
    <x v="3"/>
    <n v="1"/>
    <n v="3"/>
    <n v="83"/>
    <n v="3"/>
    <n v="2"/>
    <n v="4"/>
    <n v="4127"/>
    <n v="19188"/>
    <n v="2"/>
    <n v="18"/>
    <n v="3"/>
    <n v="4"/>
    <n v="80"/>
    <n v="1"/>
    <n v="7"/>
    <n v="3"/>
    <n v="2"/>
    <n v="1"/>
    <n v="2"/>
    <n v="2"/>
  </r>
  <r>
    <x v="1"/>
    <s v="Travel_Frequently"/>
    <x v="0"/>
    <s v="Current Employees"/>
    <x v="0"/>
    <x v="2"/>
    <x v="1136"/>
    <n v="1700"/>
    <x v="1"/>
    <x v="0"/>
    <x v="2"/>
    <s v="No"/>
    <s v="Y"/>
    <n v="2"/>
    <n v="-2"/>
    <n v="0"/>
    <n v="37"/>
    <n v="0"/>
    <m/>
    <n v="0"/>
    <n v="1"/>
    <n v="1278"/>
    <n v="1"/>
    <x v="2"/>
    <n v="1"/>
    <n v="3"/>
    <n v="31"/>
    <n v="1"/>
    <n v="2"/>
    <n v="4"/>
    <n v="9525"/>
    <n v="7677"/>
    <n v="1"/>
    <n v="14"/>
    <n v="3"/>
    <n v="3"/>
    <n v="80"/>
    <n v="2"/>
    <n v="6"/>
    <n v="2"/>
    <n v="6"/>
    <n v="3"/>
    <n v="1"/>
    <n v="3"/>
  </r>
  <r>
    <x v="1"/>
    <s v="Travel_Frequently"/>
    <x v="1"/>
    <s v="Current Employees"/>
    <x v="0"/>
    <x v="2"/>
    <x v="1137"/>
    <n v="2065"/>
    <x v="1"/>
    <x v="0"/>
    <x v="1"/>
    <s v="No"/>
    <s v="Y"/>
    <n v="3"/>
    <n v="-2"/>
    <n v="0"/>
    <n v="49"/>
    <n v="0"/>
    <m/>
    <n v="0"/>
    <n v="1"/>
    <n v="1023"/>
    <n v="2"/>
    <x v="3"/>
    <n v="1"/>
    <n v="4"/>
    <n v="63"/>
    <n v="2"/>
    <n v="2"/>
    <n v="2"/>
    <n v="5390"/>
    <n v="13243"/>
    <n v="2"/>
    <n v="14"/>
    <n v="3"/>
    <n v="4"/>
    <n v="80"/>
    <n v="0"/>
    <n v="17"/>
    <n v="2"/>
    <n v="9"/>
    <n v="6"/>
    <n v="0"/>
    <n v="8"/>
  </r>
  <r>
    <x v="1"/>
    <s v="Travel_Frequently"/>
    <x v="2"/>
    <s v="Current Employees"/>
    <x v="0"/>
    <x v="2"/>
    <x v="1138"/>
    <n v="1477"/>
    <x v="1"/>
    <x v="0"/>
    <x v="1"/>
    <s v="No"/>
    <s v="Y"/>
    <n v="2"/>
    <n v="-2"/>
    <n v="0"/>
    <n v="33"/>
    <n v="0"/>
    <m/>
    <n v="0"/>
    <n v="1"/>
    <n v="430"/>
    <n v="7"/>
    <x v="3"/>
    <n v="1"/>
    <n v="4"/>
    <n v="54"/>
    <n v="3"/>
    <n v="2"/>
    <n v="3"/>
    <n v="4373"/>
    <n v="17456"/>
    <n v="0"/>
    <n v="14"/>
    <n v="3"/>
    <n v="1"/>
    <n v="80"/>
    <n v="2"/>
    <n v="5"/>
    <n v="3"/>
    <n v="4"/>
    <n v="3"/>
    <n v="0"/>
    <n v="3"/>
  </r>
  <r>
    <x v="1"/>
    <s v="Travel_Frequently"/>
    <x v="2"/>
    <s v="Current Employees"/>
    <x v="0"/>
    <x v="0"/>
    <x v="1139"/>
    <n v="1507"/>
    <x v="1"/>
    <x v="0"/>
    <x v="0"/>
    <s v="No"/>
    <s v="Y"/>
    <n v="5"/>
    <n v="-2"/>
    <n v="0"/>
    <n v="28"/>
    <n v="0"/>
    <m/>
    <n v="0"/>
    <n v="1"/>
    <n v="467"/>
    <n v="7"/>
    <x v="3"/>
    <n v="1"/>
    <n v="3"/>
    <n v="55"/>
    <n v="3"/>
    <n v="2"/>
    <n v="3"/>
    <n v="4898"/>
    <n v="11827"/>
    <n v="0"/>
    <n v="14"/>
    <n v="3"/>
    <n v="4"/>
    <n v="80"/>
    <n v="0"/>
    <n v="5"/>
    <n v="3"/>
    <n v="4"/>
    <n v="2"/>
    <n v="1"/>
    <n v="3"/>
  </r>
  <r>
    <x v="1"/>
    <s v="Travel_Frequently"/>
    <x v="2"/>
    <s v="Current Employees"/>
    <x v="0"/>
    <x v="1"/>
    <x v="1140"/>
    <n v="1613"/>
    <x v="1"/>
    <x v="0"/>
    <x v="0"/>
    <s v="No"/>
    <s v="Y"/>
    <n v="3"/>
    <n v="-2"/>
    <n v="0"/>
    <n v="31"/>
    <n v="0"/>
    <m/>
    <n v="0"/>
    <n v="1"/>
    <n v="715"/>
    <n v="2"/>
    <x v="2"/>
    <n v="1"/>
    <n v="4"/>
    <n v="54"/>
    <n v="3"/>
    <n v="2"/>
    <n v="3"/>
    <n v="5332"/>
    <n v="21602"/>
    <n v="7"/>
    <n v="13"/>
    <n v="3"/>
    <n v="4"/>
    <n v="80"/>
    <n v="0"/>
    <n v="10"/>
    <n v="3"/>
    <n v="5"/>
    <n v="2"/>
    <n v="0"/>
    <n v="3"/>
  </r>
  <r>
    <x v="1"/>
    <s v="Travel_Frequently"/>
    <x v="2"/>
    <s v="Current Employees"/>
    <x v="0"/>
    <x v="3"/>
    <x v="1141"/>
    <n v="1853"/>
    <x v="1"/>
    <x v="0"/>
    <x v="0"/>
    <s v="No"/>
    <s v="Y"/>
    <n v="2"/>
    <n v="-2"/>
    <n v="0"/>
    <n v="32"/>
    <n v="0"/>
    <m/>
    <n v="0"/>
    <n v="1"/>
    <n v="1318"/>
    <n v="10"/>
    <x v="2"/>
    <n v="1"/>
    <n v="4"/>
    <n v="79"/>
    <n v="3"/>
    <n v="2"/>
    <n v="2"/>
    <n v="4648"/>
    <n v="26075"/>
    <n v="8"/>
    <n v="13"/>
    <n v="3"/>
    <n v="3"/>
    <n v="80"/>
    <n v="0"/>
    <n v="4"/>
    <n v="4"/>
    <n v="0"/>
    <n v="0"/>
    <n v="0"/>
    <n v="0"/>
  </r>
  <r>
    <x v="1"/>
    <s v="Travel_Rarely"/>
    <x v="0"/>
    <s v="Current Employees"/>
    <x v="2"/>
    <x v="1"/>
    <x v="1142"/>
    <n v="1794"/>
    <x v="1"/>
    <x v="8"/>
    <x v="2"/>
    <s v="No"/>
    <s v="Y"/>
    <n v="4"/>
    <n v="-2"/>
    <n v="0"/>
    <n v="37"/>
    <n v="0"/>
    <m/>
    <n v="0"/>
    <n v="1"/>
    <n v="1239"/>
    <n v="8"/>
    <x v="0"/>
    <n v="1"/>
    <n v="3"/>
    <n v="89"/>
    <n v="3"/>
    <n v="2"/>
    <n v="2"/>
    <n v="4071"/>
    <n v="12832"/>
    <n v="2"/>
    <n v="13"/>
    <n v="3"/>
    <n v="3"/>
    <n v="80"/>
    <n v="0"/>
    <n v="19"/>
    <n v="2"/>
    <n v="10"/>
    <n v="0"/>
    <n v="4"/>
    <n v="7"/>
  </r>
  <r>
    <x v="1"/>
    <s v="Travel_Rarely"/>
    <x v="2"/>
    <s v="Current Employees"/>
    <x v="2"/>
    <x v="2"/>
    <x v="1143"/>
    <n v="1865"/>
    <x v="1"/>
    <x v="8"/>
    <x v="1"/>
    <s v="No"/>
    <s v="Y"/>
    <n v="3"/>
    <n v="-2"/>
    <n v="0"/>
    <n v="29"/>
    <n v="0"/>
    <m/>
    <n v="0"/>
    <n v="1"/>
    <n v="352"/>
    <n v="6"/>
    <x v="1"/>
    <n v="1"/>
    <n v="4"/>
    <n v="87"/>
    <n v="2"/>
    <n v="1"/>
    <n v="2"/>
    <n v="2804"/>
    <n v="15434"/>
    <n v="1"/>
    <n v="11"/>
    <n v="3"/>
    <n v="4"/>
    <n v="80"/>
    <n v="0"/>
    <n v="1"/>
    <n v="3"/>
    <n v="1"/>
    <n v="0"/>
    <n v="0"/>
    <n v="0"/>
  </r>
  <r>
    <x v="1"/>
    <s v="Travel_Rarely"/>
    <x v="2"/>
    <s v="Current Employees"/>
    <x v="2"/>
    <x v="1"/>
    <x v="1144"/>
    <n v="1419"/>
    <x v="1"/>
    <x v="8"/>
    <x v="0"/>
    <s v="No"/>
    <s v="Y"/>
    <n v="3"/>
    <n v="-2"/>
    <n v="0"/>
    <n v="29"/>
    <n v="0"/>
    <m/>
    <n v="0"/>
    <n v="1"/>
    <n v="332"/>
    <n v="17"/>
    <x v="3"/>
    <n v="1"/>
    <n v="2"/>
    <n v="51"/>
    <n v="2"/>
    <n v="3"/>
    <n v="3"/>
    <n v="7988"/>
    <n v="9769"/>
    <n v="1"/>
    <n v="13"/>
    <n v="3"/>
    <n v="1"/>
    <n v="80"/>
    <n v="0"/>
    <n v="10"/>
    <n v="2"/>
    <n v="10"/>
    <n v="9"/>
    <n v="0"/>
    <n v="9"/>
  </r>
  <r>
    <x v="1"/>
    <s v="Travel_Rarely"/>
    <x v="0"/>
    <s v="Current Employees"/>
    <x v="2"/>
    <x v="0"/>
    <x v="1145"/>
    <n v="1778"/>
    <x v="1"/>
    <x v="8"/>
    <x v="0"/>
    <s v="No"/>
    <s v="Y"/>
    <n v="5"/>
    <n v="-2"/>
    <n v="0"/>
    <n v="43"/>
    <n v="0"/>
    <m/>
    <n v="0"/>
    <n v="1"/>
    <n v="244"/>
    <n v="2"/>
    <x v="3"/>
    <n v="1"/>
    <n v="2"/>
    <n v="97"/>
    <n v="3"/>
    <n v="1"/>
    <n v="4"/>
    <n v="3539"/>
    <n v="5033"/>
    <n v="0"/>
    <n v="13"/>
    <n v="3"/>
    <n v="2"/>
    <n v="80"/>
    <n v="0"/>
    <n v="10"/>
    <n v="3"/>
    <n v="9"/>
    <n v="7"/>
    <n v="1"/>
    <n v="8"/>
  </r>
  <r>
    <x v="1"/>
    <s v="Travel_Rarely"/>
    <x v="3"/>
    <s v="Current Employees"/>
    <x v="1"/>
    <x v="4"/>
    <x v="1146"/>
    <n v="1694"/>
    <x v="1"/>
    <x v="1"/>
    <x v="2"/>
    <s v="No"/>
    <s v="Y"/>
    <n v="1"/>
    <n v="-2"/>
    <n v="0"/>
    <n v="55"/>
    <n v="0"/>
    <m/>
    <n v="0"/>
    <n v="1"/>
    <n v="1441"/>
    <n v="22"/>
    <x v="3"/>
    <n v="1"/>
    <n v="4"/>
    <n v="94"/>
    <n v="2"/>
    <n v="1"/>
    <n v="4"/>
    <n v="3537"/>
    <n v="23737"/>
    <n v="5"/>
    <n v="12"/>
    <n v="3"/>
    <n v="4"/>
    <n v="80"/>
    <n v="1"/>
    <n v="8"/>
    <n v="3"/>
    <n v="4"/>
    <n v="2"/>
    <n v="1"/>
    <n v="2"/>
  </r>
  <r>
    <x v="1"/>
    <s v="Travel_Rarely"/>
    <x v="2"/>
    <s v="Current Employees"/>
    <x v="1"/>
    <x v="0"/>
    <x v="1147"/>
    <n v="1506"/>
    <x v="1"/>
    <x v="1"/>
    <x v="2"/>
    <s v="No"/>
    <s v="Y"/>
    <n v="2"/>
    <n v="-2"/>
    <n v="0"/>
    <n v="28"/>
    <n v="0"/>
    <m/>
    <n v="0"/>
    <n v="1"/>
    <n v="1423"/>
    <n v="1"/>
    <x v="3"/>
    <n v="1"/>
    <n v="1"/>
    <n v="72"/>
    <n v="2"/>
    <n v="1"/>
    <n v="3"/>
    <n v="1563"/>
    <n v="12530"/>
    <n v="1"/>
    <n v="14"/>
    <n v="3"/>
    <n v="4"/>
    <n v="80"/>
    <n v="1"/>
    <n v="1"/>
    <n v="1"/>
    <n v="1"/>
    <n v="0"/>
    <n v="0"/>
    <n v="0"/>
  </r>
  <r>
    <x v="1"/>
    <s v="Travel_Rarely"/>
    <x v="0"/>
    <s v="Current Employees"/>
    <x v="1"/>
    <x v="0"/>
    <x v="1148"/>
    <n v="1892"/>
    <x v="1"/>
    <x v="5"/>
    <x v="2"/>
    <s v="No"/>
    <s v="Y"/>
    <n v="3"/>
    <n v="-2"/>
    <n v="0"/>
    <n v="40"/>
    <n v="0"/>
    <m/>
    <n v="0"/>
    <n v="1"/>
    <n v="1137"/>
    <n v="1"/>
    <x v="2"/>
    <n v="1"/>
    <n v="1"/>
    <n v="98"/>
    <n v="3"/>
    <n v="4"/>
    <n v="3"/>
    <n v="16823"/>
    <n v="18991"/>
    <n v="2"/>
    <n v="11"/>
    <n v="3"/>
    <n v="1"/>
    <n v="80"/>
    <n v="1"/>
    <n v="22"/>
    <n v="3"/>
    <n v="19"/>
    <n v="7"/>
    <n v="11"/>
    <n v="16"/>
  </r>
  <r>
    <x v="1"/>
    <s v="Travel_Rarely"/>
    <x v="2"/>
    <s v="Current Employees"/>
    <x v="1"/>
    <x v="0"/>
    <x v="1149"/>
    <n v="1881"/>
    <x v="1"/>
    <x v="2"/>
    <x v="2"/>
    <s v="No"/>
    <s v="Y"/>
    <n v="2"/>
    <n v="-2"/>
    <n v="0"/>
    <n v="31"/>
    <n v="0"/>
    <m/>
    <n v="0"/>
    <n v="1"/>
    <n v="311"/>
    <n v="20"/>
    <x v="3"/>
    <n v="1"/>
    <n v="2"/>
    <n v="89"/>
    <n v="3"/>
    <n v="2"/>
    <n v="3"/>
    <n v="4197"/>
    <n v="18624"/>
    <n v="1"/>
    <n v="11"/>
    <n v="3"/>
    <n v="1"/>
    <n v="80"/>
    <n v="1"/>
    <n v="10"/>
    <n v="3"/>
    <n v="10"/>
    <n v="8"/>
    <n v="0"/>
    <n v="2"/>
  </r>
  <r>
    <x v="1"/>
    <s v="Travel_Rarely"/>
    <x v="0"/>
    <s v="Current Employees"/>
    <x v="1"/>
    <x v="2"/>
    <x v="1150"/>
    <n v="1627"/>
    <x v="1"/>
    <x v="2"/>
    <x v="2"/>
    <s v="No"/>
    <s v="Y"/>
    <n v="3"/>
    <n v="-2"/>
    <n v="0"/>
    <n v="39"/>
    <n v="0"/>
    <m/>
    <n v="0"/>
    <n v="1"/>
    <n v="170"/>
    <n v="3"/>
    <x v="0"/>
    <n v="1"/>
    <n v="3"/>
    <n v="76"/>
    <n v="2"/>
    <n v="2"/>
    <n v="3"/>
    <n v="3069"/>
    <n v="10302"/>
    <n v="0"/>
    <n v="15"/>
    <n v="3"/>
    <n v="4"/>
    <n v="80"/>
    <n v="1"/>
    <n v="11"/>
    <n v="3"/>
    <n v="10"/>
    <n v="8"/>
    <n v="0"/>
    <n v="7"/>
  </r>
  <r>
    <x v="1"/>
    <s v="Travel_Rarely"/>
    <x v="0"/>
    <s v="Current Employees"/>
    <x v="1"/>
    <x v="2"/>
    <x v="1151"/>
    <n v="1474"/>
    <x v="1"/>
    <x v="1"/>
    <x v="2"/>
    <s v="No"/>
    <s v="Y"/>
    <n v="3"/>
    <n v="-2"/>
    <n v="0"/>
    <n v="40"/>
    <n v="0"/>
    <m/>
    <n v="0"/>
    <n v="1"/>
    <n v="896"/>
    <n v="2"/>
    <x v="3"/>
    <n v="1"/>
    <n v="3"/>
    <n v="68"/>
    <n v="3"/>
    <n v="1"/>
    <n v="3"/>
    <n v="2345"/>
    <n v="8045"/>
    <n v="2"/>
    <n v="14"/>
    <n v="3"/>
    <n v="3"/>
    <n v="80"/>
    <n v="1"/>
    <n v="8"/>
    <n v="4"/>
    <n v="3"/>
    <n v="1"/>
    <n v="1"/>
    <n v="2"/>
  </r>
  <r>
    <x v="1"/>
    <s v="Travel_Rarely"/>
    <x v="1"/>
    <s v="Current Employees"/>
    <x v="1"/>
    <x v="0"/>
    <x v="1152"/>
    <n v="1857"/>
    <x v="1"/>
    <x v="3"/>
    <x v="2"/>
    <s v="No"/>
    <s v="Y"/>
    <n v="4"/>
    <n v="-2"/>
    <n v="0"/>
    <n v="46"/>
    <n v="0"/>
    <m/>
    <n v="0"/>
    <n v="1"/>
    <n v="706"/>
    <n v="2"/>
    <x v="0"/>
    <n v="1"/>
    <n v="4"/>
    <n v="82"/>
    <n v="3"/>
    <n v="3"/>
    <n v="4"/>
    <n v="8578"/>
    <n v="19989"/>
    <n v="3"/>
    <n v="14"/>
    <n v="3"/>
    <n v="3"/>
    <n v="80"/>
    <n v="1"/>
    <n v="12"/>
    <n v="2"/>
    <n v="9"/>
    <n v="8"/>
    <n v="4"/>
    <n v="7"/>
  </r>
  <r>
    <x v="1"/>
    <s v="Travel_Rarely"/>
    <x v="0"/>
    <s v="Current Employees"/>
    <x v="1"/>
    <x v="4"/>
    <x v="1153"/>
    <n v="1599"/>
    <x v="1"/>
    <x v="2"/>
    <x v="2"/>
    <s v="No"/>
    <s v="Y"/>
    <n v="0"/>
    <n v="-2"/>
    <n v="0"/>
    <n v="43"/>
    <n v="0"/>
    <m/>
    <n v="0"/>
    <n v="1"/>
    <n v="990"/>
    <n v="27"/>
    <x v="3"/>
    <n v="1"/>
    <n v="4"/>
    <n v="87"/>
    <n v="4"/>
    <n v="1"/>
    <n v="4"/>
    <n v="4876"/>
    <n v="5855"/>
    <n v="5"/>
    <n v="12"/>
    <n v="3"/>
    <n v="3"/>
    <n v="80"/>
    <n v="1"/>
    <n v="8"/>
    <n v="3"/>
    <n v="6"/>
    <n v="4"/>
    <n v="0"/>
    <n v="2"/>
  </r>
  <r>
    <x v="1"/>
    <s v="Travel_Rarely"/>
    <x v="0"/>
    <s v="Current Employees"/>
    <x v="1"/>
    <x v="0"/>
    <x v="1154"/>
    <n v="1940"/>
    <x v="1"/>
    <x v="1"/>
    <x v="2"/>
    <s v="No"/>
    <s v="Y"/>
    <n v="0"/>
    <n v="-2"/>
    <n v="0"/>
    <n v="38"/>
    <n v="0"/>
    <m/>
    <n v="0"/>
    <n v="1"/>
    <n v="1206"/>
    <n v="9"/>
    <x v="0"/>
    <n v="1"/>
    <n v="2"/>
    <n v="71"/>
    <n v="3"/>
    <n v="1"/>
    <n v="4"/>
    <n v="4771"/>
    <n v="14293"/>
    <n v="2"/>
    <n v="19"/>
    <n v="3"/>
    <n v="4"/>
    <n v="80"/>
    <n v="2"/>
    <n v="10"/>
    <n v="4"/>
    <n v="5"/>
    <n v="2"/>
    <n v="0"/>
    <n v="3"/>
  </r>
  <r>
    <x v="1"/>
    <s v="Travel_Rarely"/>
    <x v="3"/>
    <s v="Current Employees"/>
    <x v="1"/>
    <x v="2"/>
    <x v="1155"/>
    <n v="1424"/>
    <x v="1"/>
    <x v="7"/>
    <x v="2"/>
    <s v="No"/>
    <s v="Y"/>
    <n v="4"/>
    <n v="-2"/>
    <n v="0"/>
    <n v="55"/>
    <n v="0"/>
    <m/>
    <n v="0"/>
    <n v="1"/>
    <n v="1136"/>
    <n v="1"/>
    <x v="2"/>
    <n v="1"/>
    <n v="2"/>
    <n v="81"/>
    <n v="4"/>
    <n v="4"/>
    <n v="4"/>
    <n v="14732"/>
    <n v="12414"/>
    <n v="2"/>
    <n v="13"/>
    <n v="3"/>
    <n v="4"/>
    <n v="80"/>
    <n v="2"/>
    <n v="31"/>
    <n v="4"/>
    <n v="7"/>
    <n v="7"/>
    <n v="0"/>
    <n v="0"/>
  </r>
  <r>
    <x v="1"/>
    <s v="Travel_Rarely"/>
    <x v="1"/>
    <s v="Current Employees"/>
    <x v="1"/>
    <x v="0"/>
    <x v="1156"/>
    <n v="1484"/>
    <x v="1"/>
    <x v="4"/>
    <x v="2"/>
    <s v="No"/>
    <s v="Y"/>
    <n v="3"/>
    <n v="-2"/>
    <n v="0"/>
    <n v="49"/>
    <n v="0"/>
    <m/>
    <n v="0"/>
    <n v="1"/>
    <n v="1490"/>
    <n v="7"/>
    <x v="2"/>
    <n v="1"/>
    <n v="3"/>
    <n v="35"/>
    <n v="3"/>
    <n v="3"/>
    <n v="2"/>
    <n v="10466"/>
    <n v="20948"/>
    <n v="3"/>
    <n v="14"/>
    <n v="3"/>
    <n v="2"/>
    <n v="80"/>
    <n v="2"/>
    <n v="29"/>
    <n v="3"/>
    <n v="8"/>
    <n v="7"/>
    <n v="0"/>
    <n v="7"/>
  </r>
  <r>
    <x v="1"/>
    <s v="Travel_Rarely"/>
    <x v="2"/>
    <s v="Current Employees"/>
    <x v="1"/>
    <x v="0"/>
    <x v="1157"/>
    <n v="1859"/>
    <x v="1"/>
    <x v="4"/>
    <x v="2"/>
    <s v="No"/>
    <s v="Y"/>
    <n v="3"/>
    <n v="-2"/>
    <n v="0"/>
    <n v="29"/>
    <n v="0"/>
    <m/>
    <n v="0"/>
    <n v="1"/>
    <n v="726"/>
    <n v="29"/>
    <x v="1"/>
    <n v="1"/>
    <n v="4"/>
    <n v="93"/>
    <n v="1"/>
    <n v="2"/>
    <n v="3"/>
    <n v="6384"/>
    <n v="21143"/>
    <n v="8"/>
    <n v="17"/>
    <n v="3"/>
    <n v="4"/>
    <n v="80"/>
    <n v="2"/>
    <n v="11"/>
    <n v="3"/>
    <n v="7"/>
    <n v="0"/>
    <n v="1"/>
    <n v="6"/>
  </r>
  <r>
    <x v="1"/>
    <s v="Travel_Rarely"/>
    <x v="2"/>
    <s v="Current Employees"/>
    <x v="1"/>
    <x v="1"/>
    <x v="1158"/>
    <n v="1619"/>
    <x v="1"/>
    <x v="2"/>
    <x v="2"/>
    <s v="No"/>
    <s v="Y"/>
    <n v="3"/>
    <n v="-2"/>
    <n v="0"/>
    <n v="27"/>
    <n v="0"/>
    <m/>
    <n v="0"/>
    <n v="1"/>
    <n v="1302"/>
    <n v="19"/>
    <x v="3"/>
    <n v="1"/>
    <n v="4"/>
    <n v="67"/>
    <n v="2"/>
    <n v="1"/>
    <n v="3"/>
    <n v="4066"/>
    <n v="16290"/>
    <n v="1"/>
    <n v="11"/>
    <n v="3"/>
    <n v="1"/>
    <n v="80"/>
    <n v="2"/>
    <n v="7"/>
    <n v="3"/>
    <n v="7"/>
    <n v="7"/>
    <n v="0"/>
    <n v="7"/>
  </r>
  <r>
    <x v="1"/>
    <s v="Travel_Rarely"/>
    <x v="2"/>
    <s v="Current Employees"/>
    <x v="1"/>
    <x v="2"/>
    <x v="1159"/>
    <n v="1671"/>
    <x v="1"/>
    <x v="1"/>
    <x v="2"/>
    <s v="No"/>
    <s v="Y"/>
    <n v="4"/>
    <n v="-2"/>
    <n v="0"/>
    <n v="32"/>
    <n v="0"/>
    <m/>
    <n v="0"/>
    <n v="1"/>
    <n v="977"/>
    <n v="2"/>
    <x v="3"/>
    <n v="1"/>
    <n v="4"/>
    <n v="45"/>
    <n v="3"/>
    <n v="2"/>
    <n v="2"/>
    <n v="5470"/>
    <n v="25518"/>
    <n v="0"/>
    <n v="13"/>
    <n v="3"/>
    <n v="3"/>
    <n v="80"/>
    <n v="2"/>
    <n v="10"/>
    <n v="2"/>
    <n v="9"/>
    <n v="5"/>
    <n v="1"/>
    <n v="6"/>
  </r>
  <r>
    <x v="1"/>
    <s v="Travel_Rarely"/>
    <x v="1"/>
    <s v="Current Employees"/>
    <x v="1"/>
    <x v="4"/>
    <x v="1160"/>
    <n v="1553"/>
    <x v="1"/>
    <x v="4"/>
    <x v="2"/>
    <s v="No"/>
    <s v="Y"/>
    <n v="4"/>
    <n v="-2"/>
    <n v="0"/>
    <n v="45"/>
    <n v="0"/>
    <m/>
    <n v="0"/>
    <n v="1"/>
    <n v="538"/>
    <n v="1"/>
    <x v="2"/>
    <n v="1"/>
    <n v="4"/>
    <n v="66"/>
    <n v="3"/>
    <n v="3"/>
    <n v="4"/>
    <n v="7441"/>
    <n v="20933"/>
    <n v="1"/>
    <n v="12"/>
    <n v="3"/>
    <n v="1"/>
    <n v="80"/>
    <n v="3"/>
    <n v="10"/>
    <n v="3"/>
    <n v="10"/>
    <n v="8"/>
    <n v="7"/>
    <n v="7"/>
  </r>
  <r>
    <x v="1"/>
    <s v="Travel_Rarely"/>
    <x v="4"/>
    <s v="Current Employees"/>
    <x v="1"/>
    <x v="2"/>
    <x v="1161"/>
    <n v="1725"/>
    <x v="1"/>
    <x v="2"/>
    <x v="2"/>
    <s v="No"/>
    <s v="Y"/>
    <n v="2"/>
    <n v="-2"/>
    <n v="0"/>
    <n v="24"/>
    <n v="0"/>
    <m/>
    <n v="0"/>
    <n v="1"/>
    <n v="506"/>
    <n v="29"/>
    <x v="1"/>
    <n v="1"/>
    <n v="2"/>
    <n v="91"/>
    <n v="3"/>
    <n v="1"/>
    <n v="3"/>
    <n v="3907"/>
    <n v="3622"/>
    <n v="1"/>
    <n v="13"/>
    <n v="3"/>
    <n v="2"/>
    <n v="80"/>
    <n v="3"/>
    <n v="6"/>
    <n v="4"/>
    <n v="6"/>
    <n v="2"/>
    <n v="1"/>
    <n v="2"/>
  </r>
  <r>
    <x v="1"/>
    <s v="Travel_Rarely"/>
    <x v="4"/>
    <s v="Current Employees"/>
    <x v="1"/>
    <x v="4"/>
    <x v="1162"/>
    <n v="1551"/>
    <x v="1"/>
    <x v="2"/>
    <x v="2"/>
    <s v="No"/>
    <s v="Y"/>
    <n v="3"/>
    <n v="-2"/>
    <n v="0"/>
    <n v="24"/>
    <n v="0"/>
    <m/>
    <n v="0"/>
    <n v="1"/>
    <n v="350"/>
    <n v="21"/>
    <x v="0"/>
    <n v="1"/>
    <n v="4"/>
    <n v="57"/>
    <n v="2"/>
    <n v="1"/>
    <n v="4"/>
    <n v="2296"/>
    <n v="10036"/>
    <n v="0"/>
    <n v="14"/>
    <n v="3"/>
    <n v="2"/>
    <n v="80"/>
    <n v="3"/>
    <n v="2"/>
    <n v="3"/>
    <n v="1"/>
    <n v="1"/>
    <n v="0"/>
    <n v="0"/>
  </r>
  <r>
    <x v="1"/>
    <s v="Travel_Rarely"/>
    <x v="0"/>
    <s v="Current Employees"/>
    <x v="1"/>
    <x v="1"/>
    <x v="1163"/>
    <n v="1871"/>
    <x v="1"/>
    <x v="1"/>
    <x v="2"/>
    <s v="No"/>
    <s v="Y"/>
    <n v="2"/>
    <n v="-2"/>
    <n v="0"/>
    <n v="39"/>
    <n v="0"/>
    <m/>
    <n v="0"/>
    <n v="1"/>
    <n v="835"/>
    <n v="19"/>
    <x v="2"/>
    <n v="1"/>
    <n v="4"/>
    <n v="41"/>
    <n v="3"/>
    <n v="2"/>
    <n v="4"/>
    <n v="3902"/>
    <n v="5141"/>
    <n v="8"/>
    <n v="14"/>
    <n v="3"/>
    <n v="2"/>
    <n v="80"/>
    <n v="3"/>
    <n v="7"/>
    <n v="3"/>
    <n v="2"/>
    <n v="2"/>
    <n v="2"/>
    <n v="2"/>
  </r>
  <r>
    <x v="1"/>
    <s v="Travel_Rarely"/>
    <x v="0"/>
    <s v="Current Employees"/>
    <x v="1"/>
    <x v="0"/>
    <x v="1164"/>
    <n v="2031"/>
    <x v="1"/>
    <x v="5"/>
    <x v="1"/>
    <s v="No"/>
    <s v="Y"/>
    <n v="2"/>
    <n v="-2"/>
    <n v="0"/>
    <n v="42"/>
    <n v="0"/>
    <m/>
    <n v="0"/>
    <n v="1"/>
    <n v="300"/>
    <n v="2"/>
    <x v="3"/>
    <n v="1"/>
    <n v="1"/>
    <n v="56"/>
    <n v="3"/>
    <n v="5"/>
    <n v="3"/>
    <n v="18880"/>
    <n v="17312"/>
    <n v="5"/>
    <n v="11"/>
    <n v="3"/>
    <n v="1"/>
    <n v="80"/>
    <n v="0"/>
    <n v="24"/>
    <n v="2"/>
    <n v="22"/>
    <n v="6"/>
    <n v="4"/>
    <n v="14"/>
  </r>
  <r>
    <x v="1"/>
    <s v="Travel_Rarely"/>
    <x v="0"/>
    <s v="Current Employees"/>
    <x v="1"/>
    <x v="2"/>
    <x v="1165"/>
    <n v="1543"/>
    <x v="1"/>
    <x v="1"/>
    <x v="1"/>
    <s v="No"/>
    <s v="Y"/>
    <n v="2"/>
    <n v="-2"/>
    <n v="0"/>
    <n v="37"/>
    <n v="0"/>
    <m/>
    <n v="0"/>
    <n v="1"/>
    <n v="674"/>
    <n v="13"/>
    <x v="3"/>
    <n v="1"/>
    <n v="1"/>
    <n v="47"/>
    <n v="3"/>
    <n v="2"/>
    <n v="4"/>
    <n v="4285"/>
    <n v="3031"/>
    <n v="1"/>
    <n v="17"/>
    <n v="3"/>
    <n v="1"/>
    <n v="80"/>
    <n v="0"/>
    <n v="10"/>
    <n v="3"/>
    <n v="10"/>
    <n v="8"/>
    <n v="3"/>
    <n v="7"/>
  </r>
  <r>
    <x v="1"/>
    <s v="Travel_Rarely"/>
    <x v="2"/>
    <s v="Current Employees"/>
    <x v="1"/>
    <x v="0"/>
    <x v="1166"/>
    <n v="1434"/>
    <x v="1"/>
    <x v="2"/>
    <x v="1"/>
    <s v="No"/>
    <s v="Y"/>
    <n v="3"/>
    <n v="-2"/>
    <n v="0"/>
    <n v="27"/>
    <n v="0"/>
    <m/>
    <n v="0"/>
    <n v="1"/>
    <n v="1377"/>
    <n v="11"/>
    <x v="1"/>
    <n v="1"/>
    <n v="2"/>
    <n v="91"/>
    <n v="3"/>
    <n v="1"/>
    <n v="3"/>
    <n v="2099"/>
    <n v="7679"/>
    <n v="0"/>
    <n v="14"/>
    <n v="3"/>
    <n v="2"/>
    <n v="80"/>
    <n v="0"/>
    <n v="6"/>
    <n v="4"/>
    <n v="5"/>
    <n v="0"/>
    <n v="1"/>
    <n v="4"/>
  </r>
  <r>
    <x v="1"/>
    <s v="Travel_Rarely"/>
    <x v="0"/>
    <s v="Current Employees"/>
    <x v="1"/>
    <x v="0"/>
    <x v="1167"/>
    <n v="1621"/>
    <x v="1"/>
    <x v="1"/>
    <x v="1"/>
    <s v="No"/>
    <s v="Y"/>
    <n v="2"/>
    <n v="-2"/>
    <n v="0"/>
    <n v="35"/>
    <n v="0"/>
    <m/>
    <n v="0"/>
    <n v="1"/>
    <n v="819"/>
    <n v="18"/>
    <x v="4"/>
    <n v="1"/>
    <n v="2"/>
    <n v="48"/>
    <n v="4"/>
    <n v="2"/>
    <n v="3"/>
    <n v="5208"/>
    <n v="26312"/>
    <n v="1"/>
    <n v="11"/>
    <n v="3"/>
    <n v="4"/>
    <n v="80"/>
    <n v="0"/>
    <n v="16"/>
    <n v="3"/>
    <n v="16"/>
    <n v="15"/>
    <n v="1"/>
    <n v="10"/>
  </r>
  <r>
    <x v="1"/>
    <s v="Travel_Rarely"/>
    <x v="2"/>
    <s v="Current Employees"/>
    <x v="1"/>
    <x v="2"/>
    <x v="1168"/>
    <n v="2068"/>
    <x v="1"/>
    <x v="2"/>
    <x v="1"/>
    <s v="No"/>
    <s v="Y"/>
    <n v="3"/>
    <n v="-2"/>
    <n v="0"/>
    <n v="34"/>
    <n v="0"/>
    <m/>
    <n v="0"/>
    <n v="1"/>
    <n v="628"/>
    <n v="8"/>
    <x v="3"/>
    <n v="1"/>
    <n v="2"/>
    <n v="82"/>
    <n v="4"/>
    <n v="2"/>
    <n v="3"/>
    <n v="4404"/>
    <n v="10228"/>
    <n v="2"/>
    <n v="12"/>
    <n v="3"/>
    <n v="1"/>
    <n v="80"/>
    <n v="0"/>
    <n v="6"/>
    <n v="4"/>
    <n v="4"/>
    <n v="3"/>
    <n v="1"/>
    <n v="2"/>
  </r>
  <r>
    <x v="1"/>
    <s v="Travel_Rarely"/>
    <x v="1"/>
    <s v="Current Employees"/>
    <x v="1"/>
    <x v="2"/>
    <x v="1169"/>
    <n v="1689"/>
    <x v="1"/>
    <x v="4"/>
    <x v="1"/>
    <s v="No"/>
    <s v="Y"/>
    <n v="2"/>
    <n v="-2"/>
    <n v="0"/>
    <n v="53"/>
    <n v="0"/>
    <m/>
    <n v="0"/>
    <n v="1"/>
    <n v="1395"/>
    <n v="24"/>
    <x v="2"/>
    <n v="1"/>
    <n v="2"/>
    <n v="48"/>
    <n v="4"/>
    <n v="3"/>
    <n v="4"/>
    <n v="7005"/>
    <n v="3458"/>
    <n v="3"/>
    <n v="15"/>
    <n v="3"/>
    <n v="3"/>
    <n v="80"/>
    <n v="0"/>
    <n v="11"/>
    <n v="3"/>
    <n v="4"/>
    <n v="3"/>
    <n v="1"/>
    <n v="2"/>
  </r>
  <r>
    <x v="1"/>
    <s v="Travel_Rarely"/>
    <x v="1"/>
    <s v="Current Employees"/>
    <x v="1"/>
    <x v="0"/>
    <x v="1170"/>
    <n v="1867"/>
    <x v="1"/>
    <x v="7"/>
    <x v="1"/>
    <s v="No"/>
    <s v="Y"/>
    <n v="3"/>
    <n v="-2"/>
    <n v="0"/>
    <n v="48"/>
    <n v="0"/>
    <m/>
    <n v="0"/>
    <n v="1"/>
    <n v="1224"/>
    <n v="10"/>
    <x v="3"/>
    <n v="1"/>
    <n v="4"/>
    <n v="91"/>
    <n v="2"/>
    <n v="5"/>
    <n v="2"/>
    <n v="19665"/>
    <n v="13583"/>
    <n v="4"/>
    <n v="12"/>
    <n v="3"/>
    <n v="4"/>
    <n v="80"/>
    <n v="0"/>
    <n v="29"/>
    <n v="3"/>
    <n v="22"/>
    <n v="10"/>
    <n v="12"/>
    <n v="9"/>
  </r>
  <r>
    <x v="1"/>
    <s v="Travel_Rarely"/>
    <x v="2"/>
    <s v="Current Employees"/>
    <x v="1"/>
    <x v="2"/>
    <x v="1171"/>
    <n v="1989"/>
    <x v="1"/>
    <x v="2"/>
    <x v="1"/>
    <s v="No"/>
    <s v="Y"/>
    <n v="6"/>
    <n v="-2"/>
    <n v="0"/>
    <n v="30"/>
    <n v="0"/>
    <m/>
    <n v="0"/>
    <n v="1"/>
    <n v="911"/>
    <n v="1"/>
    <x v="0"/>
    <n v="1"/>
    <n v="4"/>
    <n v="76"/>
    <n v="3"/>
    <n v="1"/>
    <n v="2"/>
    <n v="3748"/>
    <n v="4077"/>
    <n v="1"/>
    <n v="13"/>
    <n v="3"/>
    <n v="3"/>
    <n v="80"/>
    <n v="0"/>
    <n v="12"/>
    <n v="2"/>
    <n v="12"/>
    <n v="8"/>
    <n v="1"/>
    <n v="7"/>
  </r>
  <r>
    <x v="1"/>
    <s v="Travel_Rarely"/>
    <x v="2"/>
    <s v="Current Employees"/>
    <x v="1"/>
    <x v="0"/>
    <x v="1172"/>
    <n v="1954"/>
    <x v="1"/>
    <x v="4"/>
    <x v="1"/>
    <s v="No"/>
    <s v="Y"/>
    <n v="5"/>
    <n v="-2"/>
    <n v="0"/>
    <n v="29"/>
    <n v="0"/>
    <m/>
    <n v="0"/>
    <n v="1"/>
    <n v="136"/>
    <n v="1"/>
    <x v="3"/>
    <n v="1"/>
    <n v="1"/>
    <n v="89"/>
    <n v="3"/>
    <n v="2"/>
    <n v="3"/>
    <n v="5373"/>
    <n v="6225"/>
    <n v="0"/>
    <n v="12"/>
    <n v="3"/>
    <n v="1"/>
    <n v="80"/>
    <n v="1"/>
    <n v="6"/>
    <n v="2"/>
    <n v="5"/>
    <n v="3"/>
    <n v="0"/>
    <n v="2"/>
  </r>
  <r>
    <x v="1"/>
    <s v="Travel_Rarely"/>
    <x v="1"/>
    <s v="Current Employees"/>
    <x v="1"/>
    <x v="4"/>
    <x v="1173"/>
    <n v="1473"/>
    <x v="1"/>
    <x v="4"/>
    <x v="1"/>
    <s v="No"/>
    <s v="Y"/>
    <n v="0"/>
    <n v="-2"/>
    <n v="0"/>
    <n v="49"/>
    <n v="0"/>
    <m/>
    <n v="0"/>
    <n v="1"/>
    <n v="1495"/>
    <n v="5"/>
    <x v="2"/>
    <n v="1"/>
    <n v="4"/>
    <n v="96"/>
    <n v="3"/>
    <n v="2"/>
    <n v="4"/>
    <n v="6651"/>
    <n v="21534"/>
    <n v="2"/>
    <n v="14"/>
    <n v="3"/>
    <n v="2"/>
    <n v="80"/>
    <n v="1"/>
    <n v="20"/>
    <n v="2"/>
    <n v="3"/>
    <n v="2"/>
    <n v="1"/>
    <n v="2"/>
  </r>
  <r>
    <x v="1"/>
    <s v="Travel_Rarely"/>
    <x v="0"/>
    <s v="Current Employees"/>
    <x v="1"/>
    <x v="0"/>
    <x v="1174"/>
    <n v="1971"/>
    <x v="1"/>
    <x v="4"/>
    <x v="1"/>
    <s v="No"/>
    <s v="Y"/>
    <n v="1"/>
    <n v="-2"/>
    <n v="0"/>
    <n v="43"/>
    <n v="0"/>
    <m/>
    <n v="0"/>
    <n v="1"/>
    <n v="574"/>
    <n v="11"/>
    <x v="3"/>
    <n v="1"/>
    <n v="1"/>
    <n v="30"/>
    <n v="3"/>
    <n v="3"/>
    <n v="3"/>
    <n v="7510"/>
    <n v="16873"/>
    <n v="1"/>
    <n v="17"/>
    <n v="3"/>
    <n v="2"/>
    <n v="80"/>
    <n v="1"/>
    <n v="10"/>
    <n v="3"/>
    <n v="10"/>
    <n v="9"/>
    <n v="0"/>
    <n v="9"/>
  </r>
  <r>
    <x v="1"/>
    <s v="Travel_Rarely"/>
    <x v="2"/>
    <s v="Current Employees"/>
    <x v="1"/>
    <x v="4"/>
    <x v="1175"/>
    <n v="1415"/>
    <x v="1"/>
    <x v="2"/>
    <x v="1"/>
    <s v="No"/>
    <s v="Y"/>
    <n v="2"/>
    <n v="-2"/>
    <n v="0"/>
    <n v="25"/>
    <n v="0"/>
    <m/>
    <n v="0"/>
    <n v="1"/>
    <n v="949"/>
    <n v="1"/>
    <x v="3"/>
    <n v="1"/>
    <n v="4"/>
    <n v="81"/>
    <n v="3"/>
    <n v="1"/>
    <n v="4"/>
    <n v="3229"/>
    <n v="4910"/>
    <n v="4"/>
    <n v="11"/>
    <n v="3"/>
    <n v="2"/>
    <n v="80"/>
    <n v="1"/>
    <n v="7"/>
    <n v="2"/>
    <n v="3"/>
    <n v="2"/>
    <n v="0"/>
    <n v="2"/>
  </r>
  <r>
    <x v="1"/>
    <s v="Travel_Rarely"/>
    <x v="1"/>
    <s v="Current Employees"/>
    <x v="1"/>
    <x v="4"/>
    <x v="1176"/>
    <n v="1438"/>
    <x v="1"/>
    <x v="1"/>
    <x v="1"/>
    <s v="No"/>
    <s v="Y"/>
    <n v="2"/>
    <n v="-2"/>
    <n v="0"/>
    <n v="47"/>
    <n v="0"/>
    <m/>
    <n v="0"/>
    <n v="1"/>
    <n v="465"/>
    <n v="1"/>
    <x v="3"/>
    <n v="1"/>
    <n v="4"/>
    <n v="74"/>
    <n v="3"/>
    <n v="1"/>
    <n v="4"/>
    <n v="3420"/>
    <n v="10205"/>
    <n v="7"/>
    <n v="12"/>
    <n v="3"/>
    <n v="3"/>
    <n v="80"/>
    <n v="1"/>
    <n v="17"/>
    <n v="2"/>
    <n v="6"/>
    <n v="5"/>
    <n v="1"/>
    <n v="2"/>
  </r>
  <r>
    <x v="1"/>
    <s v="Travel_Rarely"/>
    <x v="0"/>
    <s v="Current Employees"/>
    <x v="1"/>
    <x v="2"/>
    <x v="1177"/>
    <n v="1826"/>
    <x v="1"/>
    <x v="2"/>
    <x v="1"/>
    <s v="No"/>
    <s v="Y"/>
    <n v="2"/>
    <n v="-2"/>
    <n v="0"/>
    <n v="35"/>
    <n v="0"/>
    <m/>
    <n v="0"/>
    <n v="1"/>
    <n v="185"/>
    <n v="23"/>
    <x v="2"/>
    <n v="1"/>
    <n v="2"/>
    <n v="91"/>
    <n v="1"/>
    <n v="1"/>
    <n v="3"/>
    <n v="2705"/>
    <n v="9696"/>
    <n v="0"/>
    <n v="16"/>
    <n v="3"/>
    <n v="2"/>
    <n v="80"/>
    <n v="1"/>
    <n v="6"/>
    <n v="4"/>
    <n v="5"/>
    <n v="4"/>
    <n v="0"/>
    <n v="3"/>
  </r>
  <r>
    <x v="1"/>
    <s v="Travel_Rarely"/>
    <x v="2"/>
    <s v="Current Employees"/>
    <x v="1"/>
    <x v="2"/>
    <x v="1178"/>
    <n v="1609"/>
    <x v="1"/>
    <x v="1"/>
    <x v="1"/>
    <s v="No"/>
    <s v="Y"/>
    <n v="3"/>
    <n v="-2"/>
    <n v="0"/>
    <n v="30"/>
    <n v="0"/>
    <m/>
    <n v="0"/>
    <n v="1"/>
    <n v="241"/>
    <n v="7"/>
    <x v="3"/>
    <n v="1"/>
    <n v="2"/>
    <n v="48"/>
    <n v="2"/>
    <n v="1"/>
    <n v="2"/>
    <n v="2141"/>
    <n v="5348"/>
    <n v="1"/>
    <n v="12"/>
    <n v="3"/>
    <n v="2"/>
    <n v="80"/>
    <n v="1"/>
    <n v="6"/>
    <n v="2"/>
    <n v="6"/>
    <n v="4"/>
    <n v="1"/>
    <n v="1"/>
  </r>
  <r>
    <x v="1"/>
    <s v="Travel_Rarely"/>
    <x v="2"/>
    <s v="Current Employees"/>
    <x v="1"/>
    <x v="2"/>
    <x v="1179"/>
    <n v="1696"/>
    <x v="1"/>
    <x v="2"/>
    <x v="1"/>
    <s v="No"/>
    <s v="Y"/>
    <n v="3"/>
    <n v="-2"/>
    <n v="0"/>
    <n v="34"/>
    <n v="0"/>
    <m/>
    <n v="0"/>
    <n v="1"/>
    <n v="1157"/>
    <n v="5"/>
    <x v="0"/>
    <n v="1"/>
    <n v="2"/>
    <n v="57"/>
    <n v="2"/>
    <n v="2"/>
    <n v="4"/>
    <n v="3986"/>
    <n v="11912"/>
    <n v="1"/>
    <n v="14"/>
    <n v="3"/>
    <n v="3"/>
    <n v="80"/>
    <n v="1"/>
    <n v="15"/>
    <n v="4"/>
    <n v="15"/>
    <n v="10"/>
    <n v="4"/>
    <n v="13"/>
  </r>
  <r>
    <x v="1"/>
    <s v="Travel_Rarely"/>
    <x v="2"/>
    <s v="Current Employees"/>
    <x v="1"/>
    <x v="4"/>
    <x v="1180"/>
    <n v="1931"/>
    <x v="1"/>
    <x v="1"/>
    <x v="1"/>
    <s v="No"/>
    <s v="Y"/>
    <n v="3"/>
    <n v="-2"/>
    <n v="0"/>
    <n v="27"/>
    <n v="0"/>
    <m/>
    <n v="0"/>
    <n v="1"/>
    <n v="1354"/>
    <n v="2"/>
    <x v="2"/>
    <n v="1"/>
    <n v="4"/>
    <n v="41"/>
    <n v="3"/>
    <n v="1"/>
    <n v="4"/>
    <n v="2226"/>
    <n v="6073"/>
    <n v="1"/>
    <n v="11"/>
    <n v="3"/>
    <n v="3"/>
    <n v="80"/>
    <n v="1"/>
    <n v="6"/>
    <n v="2"/>
    <n v="5"/>
    <n v="3"/>
    <n v="1"/>
    <n v="2"/>
  </r>
  <r>
    <x v="1"/>
    <s v="Travel_Rarely"/>
    <x v="2"/>
    <s v="Current Employees"/>
    <x v="1"/>
    <x v="0"/>
    <x v="1181"/>
    <n v="1721"/>
    <x v="1"/>
    <x v="2"/>
    <x v="1"/>
    <s v="No"/>
    <s v="Y"/>
    <n v="2"/>
    <n v="-2"/>
    <n v="0"/>
    <n v="31"/>
    <n v="0"/>
    <m/>
    <n v="0"/>
    <n v="1"/>
    <n v="741"/>
    <n v="2"/>
    <x v="2"/>
    <n v="1"/>
    <n v="2"/>
    <n v="69"/>
    <n v="3"/>
    <n v="1"/>
    <n v="3"/>
    <n v="3477"/>
    <n v="18103"/>
    <n v="1"/>
    <n v="14"/>
    <n v="3"/>
    <n v="4"/>
    <n v="80"/>
    <n v="1"/>
    <n v="6"/>
    <n v="4"/>
    <n v="5"/>
    <n v="2"/>
    <n v="0"/>
    <n v="3"/>
  </r>
  <r>
    <x v="1"/>
    <s v="Travel_Rarely"/>
    <x v="2"/>
    <s v="Current Employees"/>
    <x v="1"/>
    <x v="0"/>
    <x v="1182"/>
    <n v="1729"/>
    <x v="1"/>
    <x v="1"/>
    <x v="1"/>
    <s v="No"/>
    <s v="Y"/>
    <n v="2"/>
    <n v="-2"/>
    <n v="0"/>
    <n v="30"/>
    <n v="0"/>
    <m/>
    <n v="0"/>
    <n v="1"/>
    <n v="793"/>
    <n v="16"/>
    <x v="1"/>
    <n v="1"/>
    <n v="2"/>
    <n v="33"/>
    <n v="3"/>
    <n v="1"/>
    <n v="4"/>
    <n v="2862"/>
    <n v="3811"/>
    <n v="1"/>
    <n v="12"/>
    <n v="3"/>
    <n v="2"/>
    <n v="80"/>
    <n v="1"/>
    <n v="10"/>
    <n v="2"/>
    <n v="10"/>
    <n v="0"/>
    <n v="0"/>
    <n v="8"/>
  </r>
  <r>
    <x v="1"/>
    <s v="Travel_Rarely"/>
    <x v="2"/>
    <s v="Current Employees"/>
    <x v="1"/>
    <x v="0"/>
    <x v="1183"/>
    <n v="1580"/>
    <x v="1"/>
    <x v="1"/>
    <x v="1"/>
    <s v="No"/>
    <s v="Y"/>
    <n v="3"/>
    <n v="-2"/>
    <n v="0"/>
    <n v="34"/>
    <n v="0"/>
    <m/>
    <n v="0"/>
    <n v="1"/>
    <n v="1351"/>
    <n v="1"/>
    <x v="2"/>
    <n v="1"/>
    <n v="2"/>
    <n v="45"/>
    <n v="3"/>
    <n v="2"/>
    <n v="4"/>
    <n v="5484"/>
    <n v="13008"/>
    <n v="9"/>
    <n v="17"/>
    <n v="3"/>
    <n v="2"/>
    <n v="80"/>
    <n v="1"/>
    <n v="9"/>
    <n v="2"/>
    <n v="2"/>
    <n v="2"/>
    <n v="2"/>
    <n v="1"/>
  </r>
  <r>
    <x v="1"/>
    <s v="Travel_Rarely"/>
    <x v="0"/>
    <s v="Current Employees"/>
    <x v="1"/>
    <x v="0"/>
    <x v="1184"/>
    <n v="1903"/>
    <x v="1"/>
    <x v="4"/>
    <x v="1"/>
    <s v="No"/>
    <s v="Y"/>
    <n v="5"/>
    <n v="-2"/>
    <n v="0"/>
    <n v="44"/>
    <n v="0"/>
    <m/>
    <n v="0"/>
    <n v="1"/>
    <n v="170"/>
    <n v="1"/>
    <x v="2"/>
    <n v="1"/>
    <n v="2"/>
    <n v="78"/>
    <n v="4"/>
    <n v="2"/>
    <n v="3"/>
    <n v="5033"/>
    <n v="9364"/>
    <n v="2"/>
    <n v="15"/>
    <n v="3"/>
    <n v="4"/>
    <n v="80"/>
    <n v="1"/>
    <n v="10"/>
    <n v="3"/>
    <n v="2"/>
    <n v="0"/>
    <n v="2"/>
    <n v="2"/>
  </r>
  <r>
    <x v="1"/>
    <s v="Travel_Rarely"/>
    <x v="0"/>
    <s v="Current Employees"/>
    <x v="1"/>
    <x v="2"/>
    <x v="1185"/>
    <n v="1542"/>
    <x v="1"/>
    <x v="2"/>
    <x v="1"/>
    <s v="No"/>
    <s v="Y"/>
    <n v="3"/>
    <n v="-2"/>
    <n v="0"/>
    <n v="42"/>
    <n v="0"/>
    <m/>
    <n v="0"/>
    <n v="1"/>
    <n v="1210"/>
    <n v="2"/>
    <x v="3"/>
    <n v="1"/>
    <n v="3"/>
    <n v="68"/>
    <n v="2"/>
    <n v="1"/>
    <n v="2"/>
    <n v="4841"/>
    <n v="24052"/>
    <n v="4"/>
    <n v="14"/>
    <n v="3"/>
    <n v="2"/>
    <n v="80"/>
    <n v="1"/>
    <n v="4"/>
    <n v="3"/>
    <n v="1"/>
    <n v="0"/>
    <n v="0"/>
    <n v="0"/>
  </r>
  <r>
    <x v="1"/>
    <s v="Travel_Rarely"/>
    <x v="0"/>
    <s v="Current Employees"/>
    <x v="1"/>
    <x v="0"/>
    <x v="1186"/>
    <n v="1601"/>
    <x v="1"/>
    <x v="2"/>
    <x v="1"/>
    <s v="No"/>
    <s v="Y"/>
    <n v="5"/>
    <n v="-2"/>
    <n v="0"/>
    <n v="35"/>
    <n v="0"/>
    <m/>
    <n v="0"/>
    <n v="1"/>
    <n v="1349"/>
    <n v="7"/>
    <x v="0"/>
    <n v="1"/>
    <n v="3"/>
    <n v="63"/>
    <n v="2"/>
    <n v="1"/>
    <n v="4"/>
    <n v="2690"/>
    <n v="7713"/>
    <n v="1"/>
    <n v="18"/>
    <n v="3"/>
    <n v="4"/>
    <n v="80"/>
    <n v="1"/>
    <n v="1"/>
    <n v="2"/>
    <n v="1"/>
    <n v="0"/>
    <n v="0"/>
    <n v="1"/>
  </r>
  <r>
    <x v="1"/>
    <s v="Travel_Rarely"/>
    <x v="0"/>
    <s v="Current Employees"/>
    <x v="1"/>
    <x v="2"/>
    <x v="1187"/>
    <n v="1911"/>
    <x v="1"/>
    <x v="7"/>
    <x v="1"/>
    <s v="No"/>
    <s v="Y"/>
    <n v="3"/>
    <n v="-2"/>
    <n v="0"/>
    <n v="42"/>
    <n v="0"/>
    <m/>
    <n v="0"/>
    <n v="1"/>
    <n v="1396"/>
    <n v="6"/>
    <x v="3"/>
    <n v="1"/>
    <n v="3"/>
    <n v="83"/>
    <n v="3"/>
    <n v="3"/>
    <n v="3"/>
    <n v="13348"/>
    <n v="14842"/>
    <n v="9"/>
    <n v="13"/>
    <n v="3"/>
    <n v="2"/>
    <n v="80"/>
    <n v="1"/>
    <n v="18"/>
    <n v="4"/>
    <n v="13"/>
    <n v="7"/>
    <n v="5"/>
    <n v="7"/>
  </r>
  <r>
    <x v="1"/>
    <s v="Travel_Rarely"/>
    <x v="2"/>
    <s v="Current Employees"/>
    <x v="1"/>
    <x v="0"/>
    <x v="1188"/>
    <n v="1799"/>
    <x v="1"/>
    <x v="1"/>
    <x v="1"/>
    <s v="No"/>
    <s v="Y"/>
    <n v="6"/>
    <n v="-2"/>
    <n v="0"/>
    <n v="28"/>
    <n v="0"/>
    <m/>
    <n v="0"/>
    <n v="1"/>
    <n v="1181"/>
    <n v="1"/>
    <x v="3"/>
    <n v="1"/>
    <n v="3"/>
    <n v="82"/>
    <n v="3"/>
    <n v="1"/>
    <n v="4"/>
    <n v="2044"/>
    <n v="5531"/>
    <n v="1"/>
    <n v="11"/>
    <n v="3"/>
    <n v="3"/>
    <n v="80"/>
    <n v="1"/>
    <n v="5"/>
    <n v="4"/>
    <n v="5"/>
    <n v="3"/>
    <n v="0"/>
    <n v="3"/>
  </r>
  <r>
    <x v="1"/>
    <s v="Travel_Rarely"/>
    <x v="2"/>
    <s v="Current Employees"/>
    <x v="1"/>
    <x v="0"/>
    <x v="1189"/>
    <n v="1763"/>
    <x v="1"/>
    <x v="4"/>
    <x v="1"/>
    <s v="No"/>
    <s v="Y"/>
    <n v="3"/>
    <n v="-2"/>
    <n v="0"/>
    <n v="30"/>
    <n v="0"/>
    <m/>
    <n v="0"/>
    <n v="1"/>
    <n v="305"/>
    <n v="16"/>
    <x v="3"/>
    <n v="1"/>
    <n v="3"/>
    <n v="58"/>
    <n v="4"/>
    <n v="2"/>
    <n v="3"/>
    <n v="5294"/>
    <n v="9128"/>
    <n v="3"/>
    <n v="16"/>
    <n v="3"/>
    <n v="3"/>
    <n v="80"/>
    <n v="1"/>
    <n v="10"/>
    <n v="3"/>
    <n v="7"/>
    <n v="0"/>
    <n v="1"/>
    <n v="7"/>
  </r>
  <r>
    <x v="1"/>
    <s v="Travel_Rarely"/>
    <x v="4"/>
    <s v="Current Employees"/>
    <x v="1"/>
    <x v="2"/>
    <x v="1190"/>
    <n v="1707"/>
    <x v="1"/>
    <x v="1"/>
    <x v="1"/>
    <s v="No"/>
    <s v="Y"/>
    <n v="1"/>
    <n v="-2"/>
    <n v="0"/>
    <n v="24"/>
    <n v="0"/>
    <m/>
    <n v="0"/>
    <n v="1"/>
    <n v="581"/>
    <n v="9"/>
    <x v="3"/>
    <n v="1"/>
    <n v="3"/>
    <n v="62"/>
    <n v="4"/>
    <n v="1"/>
    <n v="3"/>
    <n v="4401"/>
    <n v="17616"/>
    <n v="1"/>
    <n v="16"/>
    <n v="3"/>
    <n v="4"/>
    <n v="80"/>
    <n v="1"/>
    <n v="5"/>
    <n v="3"/>
    <n v="5"/>
    <n v="3"/>
    <n v="0"/>
    <n v="4"/>
  </r>
  <r>
    <x v="1"/>
    <s v="Travel_Rarely"/>
    <x v="0"/>
    <s v="Current Employees"/>
    <x v="1"/>
    <x v="2"/>
    <x v="1191"/>
    <n v="2062"/>
    <x v="1"/>
    <x v="4"/>
    <x v="1"/>
    <s v="No"/>
    <s v="Y"/>
    <n v="5"/>
    <n v="-2"/>
    <n v="0"/>
    <n v="39"/>
    <n v="0"/>
    <m/>
    <n v="0"/>
    <n v="1"/>
    <n v="613"/>
    <n v="6"/>
    <x v="1"/>
    <n v="1"/>
    <n v="4"/>
    <n v="42"/>
    <n v="2"/>
    <n v="3"/>
    <n v="3"/>
    <n v="9991"/>
    <n v="21457"/>
    <n v="4"/>
    <n v="15"/>
    <n v="3"/>
    <n v="1"/>
    <n v="80"/>
    <n v="1"/>
    <n v="9"/>
    <n v="3"/>
    <n v="7"/>
    <n v="7"/>
    <n v="1"/>
    <n v="7"/>
  </r>
  <r>
    <x v="1"/>
    <s v="Travel_Rarely"/>
    <x v="0"/>
    <s v="Current Employees"/>
    <x v="1"/>
    <x v="0"/>
    <x v="1192"/>
    <n v="1523"/>
    <x v="1"/>
    <x v="7"/>
    <x v="1"/>
    <s v="No"/>
    <s v="Y"/>
    <n v="1"/>
    <n v="-2"/>
    <n v="0"/>
    <n v="44"/>
    <n v="0"/>
    <m/>
    <n v="0"/>
    <n v="1"/>
    <n v="136"/>
    <n v="28"/>
    <x v="3"/>
    <n v="1"/>
    <n v="4"/>
    <n v="32"/>
    <n v="3"/>
    <n v="4"/>
    <n v="3"/>
    <n v="16328"/>
    <n v="22074"/>
    <n v="3"/>
    <n v="13"/>
    <n v="3"/>
    <n v="3"/>
    <n v="80"/>
    <n v="1"/>
    <n v="24"/>
    <n v="4"/>
    <n v="20"/>
    <n v="6"/>
    <n v="14"/>
    <n v="17"/>
  </r>
  <r>
    <x v="1"/>
    <s v="Travel_Rarely"/>
    <x v="0"/>
    <s v="Current Employees"/>
    <x v="1"/>
    <x v="0"/>
    <x v="1193"/>
    <n v="1728"/>
    <x v="1"/>
    <x v="3"/>
    <x v="1"/>
    <s v="No"/>
    <s v="Y"/>
    <n v="3"/>
    <n v="-2"/>
    <n v="0"/>
    <n v="35"/>
    <n v="0"/>
    <m/>
    <n v="0"/>
    <n v="1"/>
    <n v="1370"/>
    <n v="27"/>
    <x v="2"/>
    <n v="1"/>
    <n v="4"/>
    <n v="49"/>
    <n v="3"/>
    <n v="2"/>
    <n v="3"/>
    <n v="6883"/>
    <n v="5151"/>
    <n v="2"/>
    <n v="16"/>
    <n v="3"/>
    <n v="2"/>
    <n v="80"/>
    <n v="1"/>
    <n v="17"/>
    <n v="3"/>
    <n v="7"/>
    <n v="7"/>
    <n v="0"/>
    <n v="7"/>
  </r>
  <r>
    <x v="1"/>
    <s v="Travel_Rarely"/>
    <x v="2"/>
    <s v="Current Employees"/>
    <x v="1"/>
    <x v="0"/>
    <x v="1194"/>
    <n v="1798"/>
    <x v="1"/>
    <x v="1"/>
    <x v="1"/>
    <s v="No"/>
    <s v="Y"/>
    <n v="1"/>
    <n v="-2"/>
    <n v="0"/>
    <n v="33"/>
    <n v="0"/>
    <m/>
    <n v="0"/>
    <n v="1"/>
    <n v="867"/>
    <n v="8"/>
    <x v="2"/>
    <n v="1"/>
    <n v="4"/>
    <n v="90"/>
    <n v="4"/>
    <n v="1"/>
    <n v="3"/>
    <n v="3143"/>
    <n v="6076"/>
    <n v="6"/>
    <n v="19"/>
    <n v="3"/>
    <n v="2"/>
    <n v="80"/>
    <n v="1"/>
    <n v="14"/>
    <n v="3"/>
    <n v="10"/>
    <n v="8"/>
    <n v="7"/>
    <n v="6"/>
  </r>
  <r>
    <x v="1"/>
    <s v="Travel_Rarely"/>
    <x v="4"/>
    <s v="Current Employees"/>
    <x v="1"/>
    <x v="4"/>
    <x v="1195"/>
    <n v="1592"/>
    <x v="1"/>
    <x v="1"/>
    <x v="1"/>
    <s v="No"/>
    <s v="Y"/>
    <n v="2"/>
    <n v="-2"/>
    <n v="0"/>
    <n v="23"/>
    <n v="0"/>
    <m/>
    <n v="0"/>
    <n v="1"/>
    <n v="977"/>
    <n v="10"/>
    <x v="3"/>
    <n v="1"/>
    <n v="4"/>
    <n v="45"/>
    <n v="4"/>
    <n v="1"/>
    <n v="4"/>
    <n v="2073"/>
    <n v="12826"/>
    <n v="2"/>
    <n v="16"/>
    <n v="3"/>
    <n v="4"/>
    <n v="80"/>
    <n v="1"/>
    <n v="4"/>
    <n v="3"/>
    <n v="2"/>
    <n v="2"/>
    <n v="2"/>
    <n v="2"/>
  </r>
  <r>
    <x v="1"/>
    <s v="Travel_Rarely"/>
    <x v="0"/>
    <s v="Current Employees"/>
    <x v="1"/>
    <x v="0"/>
    <x v="1196"/>
    <n v="1682"/>
    <x v="1"/>
    <x v="4"/>
    <x v="1"/>
    <s v="No"/>
    <s v="Y"/>
    <n v="2"/>
    <n v="-2"/>
    <n v="0"/>
    <n v="36"/>
    <n v="0"/>
    <m/>
    <n v="0"/>
    <n v="1"/>
    <n v="1351"/>
    <n v="26"/>
    <x v="2"/>
    <n v="1"/>
    <n v="1"/>
    <n v="80"/>
    <n v="3"/>
    <n v="2"/>
    <n v="3"/>
    <n v="5347"/>
    <n v="7419"/>
    <n v="6"/>
    <n v="14"/>
    <n v="3"/>
    <n v="2"/>
    <n v="80"/>
    <n v="2"/>
    <n v="10"/>
    <n v="2"/>
    <n v="3"/>
    <n v="2"/>
    <n v="0"/>
    <n v="2"/>
  </r>
  <r>
    <x v="1"/>
    <s v="Travel_Rarely"/>
    <x v="0"/>
    <s v="Current Employees"/>
    <x v="1"/>
    <x v="0"/>
    <x v="1197"/>
    <n v="2012"/>
    <x v="1"/>
    <x v="2"/>
    <x v="1"/>
    <s v="No"/>
    <s v="Y"/>
    <n v="3"/>
    <n v="-2"/>
    <n v="0"/>
    <n v="40"/>
    <n v="0"/>
    <m/>
    <n v="0"/>
    <n v="1"/>
    <n v="543"/>
    <n v="1"/>
    <x v="2"/>
    <n v="1"/>
    <n v="1"/>
    <n v="83"/>
    <n v="3"/>
    <n v="1"/>
    <n v="4"/>
    <n v="2406"/>
    <n v="4060"/>
    <n v="8"/>
    <n v="19"/>
    <n v="3"/>
    <n v="3"/>
    <n v="80"/>
    <n v="2"/>
    <n v="8"/>
    <n v="2"/>
    <n v="1"/>
    <n v="0"/>
    <n v="0"/>
    <n v="0"/>
  </r>
  <r>
    <x v="1"/>
    <s v="Travel_Rarely"/>
    <x v="0"/>
    <s v="Current Employees"/>
    <x v="1"/>
    <x v="2"/>
    <x v="1198"/>
    <n v="1803"/>
    <x v="1"/>
    <x v="4"/>
    <x v="1"/>
    <s v="No"/>
    <s v="Y"/>
    <n v="2"/>
    <n v="-2"/>
    <n v="0"/>
    <n v="42"/>
    <n v="0"/>
    <m/>
    <n v="0"/>
    <n v="1"/>
    <n v="1128"/>
    <n v="13"/>
    <x v="3"/>
    <n v="1"/>
    <n v="2"/>
    <n v="95"/>
    <n v="4"/>
    <n v="2"/>
    <n v="3"/>
    <n v="5538"/>
    <n v="5696"/>
    <n v="5"/>
    <n v="18"/>
    <n v="3"/>
    <n v="3"/>
    <n v="80"/>
    <n v="2"/>
    <n v="10"/>
    <n v="2"/>
    <n v="0"/>
    <n v="0"/>
    <n v="0"/>
    <n v="0"/>
  </r>
  <r>
    <x v="1"/>
    <s v="Travel_Rarely"/>
    <x v="0"/>
    <s v="Current Employees"/>
    <x v="1"/>
    <x v="0"/>
    <x v="1199"/>
    <n v="1596"/>
    <x v="1"/>
    <x v="2"/>
    <x v="1"/>
    <s v="No"/>
    <s v="Y"/>
    <n v="3"/>
    <n v="-2"/>
    <n v="0"/>
    <n v="35"/>
    <n v="0"/>
    <m/>
    <n v="0"/>
    <n v="1"/>
    <n v="750"/>
    <n v="28"/>
    <x v="3"/>
    <n v="1"/>
    <n v="2"/>
    <n v="46"/>
    <n v="4"/>
    <n v="2"/>
    <n v="3"/>
    <n v="3407"/>
    <n v="25348"/>
    <n v="1"/>
    <n v="17"/>
    <n v="3"/>
    <n v="4"/>
    <n v="80"/>
    <n v="2"/>
    <n v="10"/>
    <n v="2"/>
    <n v="10"/>
    <n v="9"/>
    <n v="6"/>
    <n v="8"/>
  </r>
  <r>
    <x v="1"/>
    <s v="Travel_Rarely"/>
    <x v="2"/>
    <s v="Current Employees"/>
    <x v="1"/>
    <x v="0"/>
    <x v="1200"/>
    <n v="1514"/>
    <x v="1"/>
    <x v="3"/>
    <x v="1"/>
    <s v="No"/>
    <s v="Y"/>
    <n v="2"/>
    <n v="-2"/>
    <n v="0"/>
    <n v="28"/>
    <n v="0"/>
    <m/>
    <n v="0"/>
    <n v="1"/>
    <n v="1083"/>
    <n v="29"/>
    <x v="1"/>
    <n v="1"/>
    <n v="3"/>
    <n v="96"/>
    <n v="1"/>
    <n v="2"/>
    <n v="2"/>
    <n v="6549"/>
    <n v="3173"/>
    <n v="1"/>
    <n v="14"/>
    <n v="3"/>
    <n v="2"/>
    <n v="80"/>
    <n v="2"/>
    <n v="8"/>
    <n v="2"/>
    <n v="8"/>
    <n v="6"/>
    <n v="1"/>
    <n v="7"/>
  </r>
  <r>
    <x v="1"/>
    <s v="Travel_Rarely"/>
    <x v="2"/>
    <s v="Current Employees"/>
    <x v="1"/>
    <x v="0"/>
    <x v="1201"/>
    <n v="1558"/>
    <x v="1"/>
    <x v="1"/>
    <x v="1"/>
    <s v="No"/>
    <s v="Y"/>
    <n v="2"/>
    <n v="-2"/>
    <n v="0"/>
    <n v="29"/>
    <n v="0"/>
    <m/>
    <n v="0"/>
    <n v="1"/>
    <n v="598"/>
    <n v="9"/>
    <x v="3"/>
    <n v="1"/>
    <n v="3"/>
    <n v="91"/>
    <n v="4"/>
    <n v="1"/>
    <n v="3"/>
    <n v="2451"/>
    <n v="22376"/>
    <n v="6"/>
    <n v="18"/>
    <n v="3"/>
    <n v="1"/>
    <n v="80"/>
    <n v="2"/>
    <n v="5"/>
    <n v="2"/>
    <n v="1"/>
    <n v="0"/>
    <n v="0"/>
    <n v="0"/>
  </r>
  <r>
    <x v="1"/>
    <s v="Travel_Rarely"/>
    <x v="0"/>
    <s v="Current Employees"/>
    <x v="1"/>
    <x v="2"/>
    <x v="1202"/>
    <n v="1618"/>
    <x v="1"/>
    <x v="3"/>
    <x v="1"/>
    <s v="No"/>
    <s v="Y"/>
    <n v="3"/>
    <n v="-2"/>
    <n v="0"/>
    <n v="39"/>
    <n v="0"/>
    <m/>
    <n v="0"/>
    <n v="1"/>
    <n v="1387"/>
    <n v="10"/>
    <x v="4"/>
    <n v="1"/>
    <n v="2"/>
    <n v="76"/>
    <n v="3"/>
    <n v="2"/>
    <n v="1"/>
    <n v="5377"/>
    <n v="3835"/>
    <n v="2"/>
    <n v="13"/>
    <n v="3"/>
    <n v="4"/>
    <n v="80"/>
    <n v="3"/>
    <n v="10"/>
    <n v="3"/>
    <n v="7"/>
    <n v="7"/>
    <n v="7"/>
    <n v="7"/>
  </r>
  <r>
    <x v="1"/>
    <s v="Travel_Rarely"/>
    <x v="2"/>
    <s v="Current Employees"/>
    <x v="1"/>
    <x v="2"/>
    <x v="1203"/>
    <n v="1698"/>
    <x v="1"/>
    <x v="2"/>
    <x v="1"/>
    <s v="No"/>
    <s v="Y"/>
    <n v="6"/>
    <n v="-2"/>
    <n v="0"/>
    <n v="33"/>
    <n v="0"/>
    <m/>
    <n v="0"/>
    <n v="1"/>
    <n v="267"/>
    <n v="21"/>
    <x v="3"/>
    <n v="1"/>
    <n v="2"/>
    <n v="79"/>
    <n v="4"/>
    <n v="1"/>
    <n v="2"/>
    <n v="2028"/>
    <n v="13637"/>
    <n v="1"/>
    <n v="18"/>
    <n v="3"/>
    <n v="4"/>
    <n v="80"/>
    <n v="3"/>
    <n v="14"/>
    <n v="3"/>
    <n v="14"/>
    <n v="11"/>
    <n v="2"/>
    <n v="13"/>
  </r>
  <r>
    <x v="1"/>
    <s v="Travel_Rarely"/>
    <x v="3"/>
    <s v="Current Employees"/>
    <x v="1"/>
    <x v="2"/>
    <x v="1204"/>
    <n v="1770"/>
    <x v="1"/>
    <x v="7"/>
    <x v="1"/>
    <s v="No"/>
    <s v="Y"/>
    <n v="2"/>
    <n v="-2"/>
    <n v="0"/>
    <n v="55"/>
    <n v="0"/>
    <m/>
    <n v="0"/>
    <n v="1"/>
    <n v="478"/>
    <n v="2"/>
    <x v="3"/>
    <n v="1"/>
    <n v="3"/>
    <n v="60"/>
    <n v="2"/>
    <n v="5"/>
    <n v="1"/>
    <n v="19038"/>
    <n v="19805"/>
    <n v="8"/>
    <n v="12"/>
    <n v="3"/>
    <n v="2"/>
    <n v="80"/>
    <n v="3"/>
    <n v="34"/>
    <n v="3"/>
    <n v="1"/>
    <n v="0"/>
    <n v="0"/>
    <n v="0"/>
  </r>
  <r>
    <x v="1"/>
    <s v="Travel_Rarely"/>
    <x v="0"/>
    <s v="Current Employees"/>
    <x v="1"/>
    <x v="0"/>
    <x v="1205"/>
    <n v="1631"/>
    <x v="1"/>
    <x v="3"/>
    <x v="1"/>
    <s v="No"/>
    <s v="Y"/>
    <n v="2"/>
    <n v="-2"/>
    <n v="0"/>
    <n v="37"/>
    <n v="0"/>
    <m/>
    <n v="0"/>
    <n v="1"/>
    <n v="671"/>
    <n v="19"/>
    <x v="3"/>
    <n v="1"/>
    <n v="3"/>
    <n v="85"/>
    <n v="3"/>
    <n v="2"/>
    <n v="3"/>
    <n v="5768"/>
    <n v="26493"/>
    <n v="3"/>
    <n v="17"/>
    <n v="3"/>
    <n v="1"/>
    <n v="80"/>
    <n v="3"/>
    <n v="9"/>
    <n v="2"/>
    <n v="4"/>
    <n v="3"/>
    <n v="0"/>
    <n v="2"/>
  </r>
  <r>
    <x v="1"/>
    <s v="Travel_Rarely"/>
    <x v="2"/>
    <s v="Current Employees"/>
    <x v="1"/>
    <x v="2"/>
    <x v="1206"/>
    <n v="1718"/>
    <x v="1"/>
    <x v="2"/>
    <x v="1"/>
    <s v="No"/>
    <s v="Y"/>
    <n v="3"/>
    <n v="-2"/>
    <n v="0"/>
    <n v="26"/>
    <n v="0"/>
    <m/>
    <n v="0"/>
    <n v="1"/>
    <n v="390"/>
    <n v="17"/>
    <x v="2"/>
    <n v="1"/>
    <n v="4"/>
    <n v="62"/>
    <n v="1"/>
    <n v="1"/>
    <n v="3"/>
    <n v="2305"/>
    <n v="6217"/>
    <n v="1"/>
    <n v="15"/>
    <n v="3"/>
    <n v="3"/>
    <n v="80"/>
    <n v="3"/>
    <n v="3"/>
    <n v="4"/>
    <n v="3"/>
    <n v="2"/>
    <n v="0"/>
    <n v="2"/>
  </r>
  <r>
    <x v="1"/>
    <s v="Travel_Rarely"/>
    <x v="0"/>
    <s v="Current Employees"/>
    <x v="1"/>
    <x v="0"/>
    <x v="1207"/>
    <n v="1435"/>
    <x v="1"/>
    <x v="2"/>
    <x v="0"/>
    <s v="No"/>
    <s v="Y"/>
    <n v="2"/>
    <n v="-2"/>
    <n v="0"/>
    <n v="36"/>
    <n v="0"/>
    <m/>
    <n v="0"/>
    <n v="1"/>
    <n v="172"/>
    <n v="4"/>
    <x v="2"/>
    <n v="1"/>
    <n v="1"/>
    <n v="37"/>
    <n v="2"/>
    <n v="2"/>
    <n v="4"/>
    <n v="5810"/>
    <n v="22604"/>
    <n v="1"/>
    <n v="16"/>
    <n v="3"/>
    <n v="3"/>
    <n v="80"/>
    <n v="0"/>
    <n v="10"/>
    <n v="2"/>
    <n v="10"/>
    <n v="4"/>
    <n v="1"/>
    <n v="8"/>
  </r>
  <r>
    <x v="1"/>
    <s v="Travel_Rarely"/>
    <x v="0"/>
    <s v="Current Employees"/>
    <x v="1"/>
    <x v="0"/>
    <x v="1208"/>
    <n v="1659"/>
    <x v="1"/>
    <x v="2"/>
    <x v="0"/>
    <s v="No"/>
    <s v="Y"/>
    <n v="4"/>
    <n v="-2"/>
    <n v="0"/>
    <n v="36"/>
    <n v="0"/>
    <m/>
    <n v="0"/>
    <n v="1"/>
    <n v="311"/>
    <n v="7"/>
    <x v="3"/>
    <n v="1"/>
    <n v="1"/>
    <n v="77"/>
    <n v="3"/>
    <n v="1"/>
    <n v="2"/>
    <n v="2013"/>
    <n v="10950"/>
    <n v="2"/>
    <n v="11"/>
    <n v="3"/>
    <n v="3"/>
    <n v="80"/>
    <n v="0"/>
    <n v="15"/>
    <n v="3"/>
    <n v="4"/>
    <n v="3"/>
    <n v="1"/>
    <n v="3"/>
  </r>
  <r>
    <x v="1"/>
    <s v="Travel_Rarely"/>
    <x v="4"/>
    <s v="Current Employees"/>
    <x v="1"/>
    <x v="0"/>
    <x v="1209"/>
    <n v="1533"/>
    <x v="1"/>
    <x v="2"/>
    <x v="0"/>
    <s v="No"/>
    <s v="Y"/>
    <n v="2"/>
    <n v="-2"/>
    <n v="0"/>
    <n v="23"/>
    <n v="0"/>
    <m/>
    <n v="0"/>
    <n v="1"/>
    <n v="507"/>
    <n v="20"/>
    <x v="1"/>
    <n v="1"/>
    <n v="1"/>
    <n v="97"/>
    <n v="3"/>
    <n v="2"/>
    <n v="3"/>
    <n v="2272"/>
    <n v="24812"/>
    <n v="0"/>
    <n v="14"/>
    <n v="3"/>
    <n v="2"/>
    <n v="80"/>
    <n v="0"/>
    <n v="5"/>
    <n v="3"/>
    <n v="4"/>
    <n v="3"/>
    <n v="1"/>
    <n v="2"/>
  </r>
  <r>
    <x v="1"/>
    <s v="Travel_Rarely"/>
    <x v="2"/>
    <s v="Current Employees"/>
    <x v="1"/>
    <x v="2"/>
    <x v="1210"/>
    <n v="1577"/>
    <x v="1"/>
    <x v="1"/>
    <x v="0"/>
    <s v="No"/>
    <s v="Y"/>
    <n v="4"/>
    <n v="-2"/>
    <n v="0"/>
    <n v="34"/>
    <n v="0"/>
    <m/>
    <n v="0"/>
    <n v="1"/>
    <n v="479"/>
    <n v="7"/>
    <x v="2"/>
    <n v="1"/>
    <n v="1"/>
    <n v="35"/>
    <n v="3"/>
    <n v="1"/>
    <n v="4"/>
    <n v="2972"/>
    <n v="22061"/>
    <n v="1"/>
    <n v="13"/>
    <n v="3"/>
    <n v="3"/>
    <n v="80"/>
    <n v="0"/>
    <n v="1"/>
    <n v="1"/>
    <n v="1"/>
    <n v="0"/>
    <n v="0"/>
    <n v="0"/>
  </r>
  <r>
    <x v="1"/>
    <s v="Travel_Rarely"/>
    <x v="0"/>
    <s v="Current Employees"/>
    <x v="1"/>
    <x v="0"/>
    <x v="1211"/>
    <n v="2014"/>
    <x v="1"/>
    <x v="1"/>
    <x v="0"/>
    <s v="No"/>
    <s v="Y"/>
    <n v="2"/>
    <n v="-2"/>
    <n v="0"/>
    <n v="39"/>
    <n v="0"/>
    <m/>
    <n v="0"/>
    <n v="1"/>
    <n v="116"/>
    <n v="24"/>
    <x v="1"/>
    <n v="1"/>
    <n v="1"/>
    <n v="52"/>
    <n v="3"/>
    <n v="2"/>
    <n v="4"/>
    <n v="4108"/>
    <n v="5340"/>
    <n v="7"/>
    <n v="13"/>
    <n v="3"/>
    <n v="1"/>
    <n v="80"/>
    <n v="0"/>
    <n v="18"/>
    <n v="3"/>
    <n v="7"/>
    <n v="7"/>
    <n v="1"/>
    <n v="7"/>
  </r>
  <r>
    <x v="1"/>
    <s v="Travel_Rarely"/>
    <x v="4"/>
    <s v="Current Employees"/>
    <x v="1"/>
    <x v="0"/>
    <x v="1212"/>
    <n v="1981"/>
    <x v="1"/>
    <x v="4"/>
    <x v="0"/>
    <s v="No"/>
    <s v="Y"/>
    <n v="2"/>
    <n v="-2"/>
    <n v="0"/>
    <n v="24"/>
    <n v="0"/>
    <m/>
    <n v="0"/>
    <n v="1"/>
    <n v="771"/>
    <n v="1"/>
    <x v="0"/>
    <n v="1"/>
    <n v="2"/>
    <n v="45"/>
    <n v="2"/>
    <n v="2"/>
    <n v="3"/>
    <n v="4617"/>
    <n v="14120"/>
    <n v="1"/>
    <n v="12"/>
    <n v="3"/>
    <n v="2"/>
    <n v="80"/>
    <n v="0"/>
    <n v="4"/>
    <n v="2"/>
    <n v="4"/>
    <n v="3"/>
    <n v="1"/>
    <n v="2"/>
  </r>
  <r>
    <x v="1"/>
    <s v="Travel_Rarely"/>
    <x v="0"/>
    <s v="Current Employees"/>
    <x v="1"/>
    <x v="2"/>
    <x v="1213"/>
    <n v="2008"/>
    <x v="1"/>
    <x v="1"/>
    <x v="0"/>
    <s v="No"/>
    <s v="Y"/>
    <n v="5"/>
    <n v="-2"/>
    <n v="0"/>
    <n v="35"/>
    <n v="0"/>
    <m/>
    <n v="0"/>
    <n v="1"/>
    <n v="1395"/>
    <n v="9"/>
    <x v="2"/>
    <n v="1"/>
    <n v="2"/>
    <n v="48"/>
    <n v="3"/>
    <n v="2"/>
    <n v="3"/>
    <n v="5098"/>
    <n v="18698"/>
    <n v="1"/>
    <n v="19"/>
    <n v="3"/>
    <n v="2"/>
    <n v="80"/>
    <n v="0"/>
    <n v="10"/>
    <n v="3"/>
    <n v="10"/>
    <n v="7"/>
    <n v="0"/>
    <n v="8"/>
  </r>
  <r>
    <x v="1"/>
    <s v="Travel_Rarely"/>
    <x v="0"/>
    <s v="Current Employees"/>
    <x v="1"/>
    <x v="0"/>
    <x v="1214"/>
    <n v="1814"/>
    <x v="1"/>
    <x v="4"/>
    <x v="0"/>
    <s v="No"/>
    <s v="Y"/>
    <n v="3"/>
    <n v="-2"/>
    <n v="0"/>
    <n v="41"/>
    <n v="0"/>
    <m/>
    <n v="0"/>
    <n v="1"/>
    <n v="447"/>
    <n v="5"/>
    <x v="3"/>
    <n v="1"/>
    <n v="2"/>
    <n v="85"/>
    <n v="4"/>
    <n v="2"/>
    <n v="2"/>
    <n v="6870"/>
    <n v="15530"/>
    <n v="3"/>
    <n v="12"/>
    <n v="3"/>
    <n v="1"/>
    <n v="80"/>
    <n v="0"/>
    <n v="11"/>
    <n v="1"/>
    <n v="3"/>
    <n v="2"/>
    <n v="1"/>
    <n v="2"/>
  </r>
  <r>
    <x v="1"/>
    <s v="Travel_Rarely"/>
    <x v="0"/>
    <s v="Current Employees"/>
    <x v="1"/>
    <x v="0"/>
    <x v="1215"/>
    <n v="2048"/>
    <x v="1"/>
    <x v="1"/>
    <x v="0"/>
    <s v="No"/>
    <s v="Y"/>
    <n v="2"/>
    <n v="-2"/>
    <n v="0"/>
    <n v="40"/>
    <n v="0"/>
    <m/>
    <n v="0"/>
    <n v="1"/>
    <n v="1322"/>
    <n v="2"/>
    <x v="2"/>
    <n v="1"/>
    <n v="3"/>
    <n v="52"/>
    <n v="2"/>
    <n v="1"/>
    <n v="3"/>
    <n v="2809"/>
    <n v="2725"/>
    <n v="2"/>
    <n v="14"/>
    <n v="3"/>
    <n v="4"/>
    <n v="80"/>
    <n v="0"/>
    <n v="8"/>
    <n v="3"/>
    <n v="2"/>
    <n v="2"/>
    <n v="2"/>
    <n v="2"/>
  </r>
  <r>
    <x v="1"/>
    <s v="Travel_Rarely"/>
    <x v="2"/>
    <s v="Current Employees"/>
    <x v="1"/>
    <x v="2"/>
    <x v="1216"/>
    <n v="1952"/>
    <x v="1"/>
    <x v="2"/>
    <x v="0"/>
    <s v="No"/>
    <s v="Y"/>
    <n v="6"/>
    <n v="-2"/>
    <n v="0"/>
    <n v="26"/>
    <n v="0"/>
    <m/>
    <n v="0"/>
    <n v="1"/>
    <n v="157"/>
    <n v="1"/>
    <x v="3"/>
    <n v="1"/>
    <n v="3"/>
    <n v="95"/>
    <n v="3"/>
    <n v="1"/>
    <n v="1"/>
    <n v="2867"/>
    <n v="20006"/>
    <n v="0"/>
    <n v="13"/>
    <n v="3"/>
    <n v="4"/>
    <n v="80"/>
    <n v="0"/>
    <n v="8"/>
    <n v="2"/>
    <n v="7"/>
    <n v="7"/>
    <n v="7"/>
    <n v="6"/>
  </r>
  <r>
    <x v="1"/>
    <s v="Travel_Rarely"/>
    <x v="1"/>
    <s v="Current Employees"/>
    <x v="1"/>
    <x v="0"/>
    <x v="1217"/>
    <n v="1727"/>
    <x v="1"/>
    <x v="4"/>
    <x v="0"/>
    <s v="No"/>
    <s v="Y"/>
    <n v="3"/>
    <n v="-2"/>
    <n v="0"/>
    <n v="46"/>
    <n v="0"/>
    <m/>
    <n v="0"/>
    <n v="1"/>
    <n v="717"/>
    <n v="13"/>
    <x v="2"/>
    <n v="1"/>
    <n v="3"/>
    <n v="34"/>
    <n v="3"/>
    <n v="2"/>
    <n v="2"/>
    <n v="5562"/>
    <n v="9697"/>
    <n v="6"/>
    <n v="14"/>
    <n v="3"/>
    <n v="4"/>
    <n v="80"/>
    <n v="0"/>
    <n v="19"/>
    <n v="3"/>
    <n v="10"/>
    <n v="7"/>
    <n v="0"/>
    <n v="9"/>
  </r>
  <r>
    <x v="1"/>
    <s v="Travel_Rarely"/>
    <x v="1"/>
    <s v="Current Employees"/>
    <x v="1"/>
    <x v="0"/>
    <x v="1218"/>
    <n v="1677"/>
    <x v="1"/>
    <x v="5"/>
    <x v="0"/>
    <s v="No"/>
    <s v="Y"/>
    <n v="2"/>
    <n v="-2"/>
    <n v="0"/>
    <n v="49"/>
    <n v="0"/>
    <m/>
    <n v="0"/>
    <n v="1"/>
    <n v="809"/>
    <n v="1"/>
    <x v="3"/>
    <n v="1"/>
    <n v="3"/>
    <n v="36"/>
    <n v="3"/>
    <n v="4"/>
    <n v="3"/>
    <n v="15379"/>
    <n v="22384"/>
    <n v="4"/>
    <n v="14"/>
    <n v="3"/>
    <n v="1"/>
    <n v="80"/>
    <n v="0"/>
    <n v="23"/>
    <n v="3"/>
    <n v="8"/>
    <n v="7"/>
    <n v="0"/>
    <n v="0"/>
  </r>
  <r>
    <x v="1"/>
    <s v="Travel_Rarely"/>
    <x v="4"/>
    <s v="Current Employees"/>
    <x v="1"/>
    <x v="2"/>
    <x v="1219"/>
    <n v="1623"/>
    <x v="1"/>
    <x v="1"/>
    <x v="0"/>
    <s v="No"/>
    <s v="Y"/>
    <n v="2"/>
    <n v="-2"/>
    <n v="0"/>
    <n v="21"/>
    <n v="0"/>
    <m/>
    <n v="0"/>
    <n v="1"/>
    <n v="546"/>
    <n v="5"/>
    <x v="1"/>
    <n v="1"/>
    <n v="3"/>
    <n v="97"/>
    <n v="3"/>
    <n v="1"/>
    <n v="4"/>
    <n v="3117"/>
    <n v="26009"/>
    <n v="1"/>
    <n v="18"/>
    <n v="3"/>
    <n v="3"/>
    <n v="80"/>
    <n v="0"/>
    <n v="3"/>
    <n v="3"/>
    <n v="2"/>
    <n v="2"/>
    <n v="2"/>
    <n v="2"/>
  </r>
  <r>
    <x v="1"/>
    <s v="Travel_Rarely"/>
    <x v="2"/>
    <s v="Current Employees"/>
    <x v="1"/>
    <x v="1"/>
    <x v="1220"/>
    <n v="1417"/>
    <x v="1"/>
    <x v="2"/>
    <x v="0"/>
    <s v="No"/>
    <s v="Y"/>
    <n v="2"/>
    <n v="-2"/>
    <n v="0"/>
    <n v="26"/>
    <n v="0"/>
    <m/>
    <n v="0"/>
    <n v="1"/>
    <n v="652"/>
    <n v="7"/>
    <x v="3"/>
    <n v="1"/>
    <n v="3"/>
    <n v="100"/>
    <n v="4"/>
    <n v="1"/>
    <n v="1"/>
    <n v="3578"/>
    <n v="23577"/>
    <n v="0"/>
    <n v="12"/>
    <n v="3"/>
    <n v="4"/>
    <n v="80"/>
    <n v="0"/>
    <n v="8"/>
    <n v="3"/>
    <n v="7"/>
    <n v="7"/>
    <n v="0"/>
    <n v="7"/>
  </r>
  <r>
    <x v="1"/>
    <s v="Travel_Rarely"/>
    <x v="0"/>
    <s v="Current Employees"/>
    <x v="1"/>
    <x v="2"/>
    <x v="1221"/>
    <n v="1564"/>
    <x v="1"/>
    <x v="2"/>
    <x v="0"/>
    <s v="No"/>
    <s v="Y"/>
    <n v="3"/>
    <n v="-2"/>
    <n v="0"/>
    <n v="35"/>
    <n v="0"/>
    <m/>
    <n v="0"/>
    <n v="1"/>
    <n v="992"/>
    <n v="1"/>
    <x v="3"/>
    <n v="1"/>
    <n v="4"/>
    <n v="68"/>
    <n v="2"/>
    <n v="1"/>
    <n v="1"/>
    <n v="2450"/>
    <n v="21731"/>
    <n v="1"/>
    <n v="19"/>
    <n v="3"/>
    <n v="2"/>
    <n v="80"/>
    <n v="0"/>
    <n v="3"/>
    <n v="3"/>
    <n v="3"/>
    <n v="0"/>
    <n v="1"/>
    <n v="2"/>
  </r>
  <r>
    <x v="1"/>
    <s v="Travel_Rarely"/>
    <x v="2"/>
    <s v="Current Employees"/>
    <x v="1"/>
    <x v="0"/>
    <x v="1222"/>
    <n v="1545"/>
    <x v="1"/>
    <x v="3"/>
    <x v="0"/>
    <s v="No"/>
    <s v="Y"/>
    <n v="2"/>
    <n v="-2"/>
    <n v="0"/>
    <n v="33"/>
    <n v="0"/>
    <m/>
    <n v="0"/>
    <n v="1"/>
    <n v="575"/>
    <n v="25"/>
    <x v="3"/>
    <n v="1"/>
    <n v="4"/>
    <n v="44"/>
    <n v="2"/>
    <n v="2"/>
    <n v="2"/>
    <n v="4320"/>
    <n v="24152"/>
    <n v="1"/>
    <n v="13"/>
    <n v="3"/>
    <n v="4"/>
    <n v="80"/>
    <n v="0"/>
    <n v="5"/>
    <n v="3"/>
    <n v="5"/>
    <n v="3"/>
    <n v="0"/>
    <n v="2"/>
  </r>
  <r>
    <x v="1"/>
    <s v="Travel_Rarely"/>
    <x v="2"/>
    <s v="Current Employees"/>
    <x v="1"/>
    <x v="0"/>
    <x v="1223"/>
    <n v="1883"/>
    <x v="1"/>
    <x v="2"/>
    <x v="0"/>
    <s v="No"/>
    <s v="Y"/>
    <n v="2"/>
    <n v="-2"/>
    <n v="0"/>
    <n v="29"/>
    <n v="0"/>
    <m/>
    <n v="0"/>
    <n v="1"/>
    <n v="592"/>
    <n v="7"/>
    <x v="3"/>
    <n v="1"/>
    <n v="4"/>
    <n v="59"/>
    <n v="3"/>
    <n v="1"/>
    <n v="1"/>
    <n v="2062"/>
    <n v="19384"/>
    <n v="3"/>
    <n v="14"/>
    <n v="3"/>
    <n v="2"/>
    <n v="80"/>
    <n v="0"/>
    <n v="11"/>
    <n v="3"/>
    <n v="3"/>
    <n v="2"/>
    <n v="1"/>
    <n v="2"/>
  </r>
  <r>
    <x v="1"/>
    <s v="Travel_Rarely"/>
    <x v="2"/>
    <s v="Current Employees"/>
    <x v="1"/>
    <x v="4"/>
    <x v="1224"/>
    <n v="2038"/>
    <x v="1"/>
    <x v="1"/>
    <x v="0"/>
    <s v="No"/>
    <s v="Y"/>
    <n v="4"/>
    <n v="-2"/>
    <n v="0"/>
    <n v="32"/>
    <n v="0"/>
    <m/>
    <n v="0"/>
    <n v="1"/>
    <n v="529"/>
    <n v="2"/>
    <x v="3"/>
    <n v="1"/>
    <n v="4"/>
    <n v="78"/>
    <n v="3"/>
    <n v="1"/>
    <n v="4"/>
    <n v="2439"/>
    <n v="11288"/>
    <n v="1"/>
    <n v="14"/>
    <n v="3"/>
    <n v="4"/>
    <n v="80"/>
    <n v="0"/>
    <n v="4"/>
    <n v="3"/>
    <n v="4"/>
    <n v="2"/>
    <n v="1"/>
    <n v="2"/>
  </r>
  <r>
    <x v="1"/>
    <s v="Travel_Rarely"/>
    <x v="0"/>
    <s v="Current Employees"/>
    <x v="1"/>
    <x v="0"/>
    <x v="1225"/>
    <n v="1475"/>
    <x v="1"/>
    <x v="1"/>
    <x v="0"/>
    <s v="No"/>
    <s v="Y"/>
    <n v="3"/>
    <n v="-2"/>
    <n v="0"/>
    <n v="44"/>
    <n v="0"/>
    <m/>
    <n v="0"/>
    <n v="1"/>
    <n v="1467"/>
    <n v="20"/>
    <x v="3"/>
    <n v="1"/>
    <n v="4"/>
    <n v="49"/>
    <n v="3"/>
    <n v="1"/>
    <n v="2"/>
    <n v="3420"/>
    <n v="21158"/>
    <n v="1"/>
    <n v="13"/>
    <n v="3"/>
    <n v="3"/>
    <n v="80"/>
    <n v="0"/>
    <n v="6"/>
    <n v="2"/>
    <n v="5"/>
    <n v="2"/>
    <n v="1"/>
    <n v="3"/>
  </r>
  <r>
    <x v="1"/>
    <s v="Travel_Rarely"/>
    <x v="0"/>
    <s v="Current Employees"/>
    <x v="1"/>
    <x v="0"/>
    <x v="1226"/>
    <n v="1860"/>
    <x v="1"/>
    <x v="2"/>
    <x v="0"/>
    <s v="No"/>
    <s v="Y"/>
    <n v="3"/>
    <n v="-2"/>
    <n v="0"/>
    <n v="42"/>
    <n v="0"/>
    <m/>
    <n v="0"/>
    <n v="1"/>
    <n v="1142"/>
    <n v="8"/>
    <x v="3"/>
    <n v="1"/>
    <n v="4"/>
    <n v="81"/>
    <n v="3"/>
    <n v="1"/>
    <n v="3"/>
    <n v="3968"/>
    <n v="13624"/>
    <n v="4"/>
    <n v="13"/>
    <n v="3"/>
    <n v="4"/>
    <n v="80"/>
    <n v="0"/>
    <n v="8"/>
    <n v="3"/>
    <n v="0"/>
    <n v="0"/>
    <n v="0"/>
    <n v="0"/>
  </r>
  <r>
    <x v="1"/>
    <s v="Travel_Rarely"/>
    <x v="4"/>
    <s v="Current Employees"/>
    <x v="1"/>
    <x v="0"/>
    <x v="1227"/>
    <n v="2007"/>
    <x v="1"/>
    <x v="1"/>
    <x v="0"/>
    <s v="No"/>
    <s v="Y"/>
    <n v="2"/>
    <n v="-2"/>
    <n v="0"/>
    <n v="22"/>
    <n v="0"/>
    <m/>
    <n v="0"/>
    <n v="1"/>
    <n v="581"/>
    <n v="1"/>
    <x v="0"/>
    <n v="1"/>
    <n v="4"/>
    <n v="63"/>
    <n v="3"/>
    <n v="1"/>
    <n v="3"/>
    <n v="3375"/>
    <n v="17624"/>
    <n v="0"/>
    <n v="12"/>
    <n v="3"/>
    <n v="4"/>
    <n v="80"/>
    <n v="0"/>
    <n v="4"/>
    <n v="4"/>
    <n v="3"/>
    <n v="2"/>
    <n v="1"/>
    <n v="2"/>
  </r>
  <r>
    <x v="1"/>
    <s v="Travel_Rarely"/>
    <x v="4"/>
    <s v="Current Employees"/>
    <x v="1"/>
    <x v="1"/>
    <x v="1228"/>
    <n v="1982"/>
    <x v="1"/>
    <x v="2"/>
    <x v="0"/>
    <s v="No"/>
    <s v="Y"/>
    <n v="6"/>
    <n v="-2"/>
    <n v="0"/>
    <n v="23"/>
    <n v="0"/>
    <m/>
    <n v="0"/>
    <n v="1"/>
    <n v="571"/>
    <n v="12"/>
    <x v="0"/>
    <n v="1"/>
    <n v="4"/>
    <n v="78"/>
    <n v="3"/>
    <n v="1"/>
    <n v="4"/>
    <n v="2647"/>
    <n v="13672"/>
    <n v="1"/>
    <n v="13"/>
    <n v="3"/>
    <n v="3"/>
    <n v="80"/>
    <n v="0"/>
    <n v="5"/>
    <n v="4"/>
    <n v="5"/>
    <n v="2"/>
    <n v="1"/>
    <n v="4"/>
  </r>
  <r>
    <x v="1"/>
    <s v="Travel_Rarely"/>
    <x v="1"/>
    <s v="Current Employees"/>
    <x v="1"/>
    <x v="2"/>
    <x v="1229"/>
    <n v="1472"/>
    <x v="1"/>
    <x v="7"/>
    <x v="0"/>
    <s v="No"/>
    <s v="Y"/>
    <n v="2"/>
    <n v="-2"/>
    <n v="0"/>
    <n v="53"/>
    <n v="0"/>
    <m/>
    <n v="0"/>
    <n v="1"/>
    <n v="447"/>
    <n v="2"/>
    <x v="3"/>
    <n v="1"/>
    <n v="4"/>
    <n v="39"/>
    <n v="4"/>
    <n v="4"/>
    <n v="2"/>
    <n v="16598"/>
    <n v="19764"/>
    <n v="4"/>
    <n v="12"/>
    <n v="3"/>
    <n v="2"/>
    <n v="80"/>
    <n v="0"/>
    <n v="35"/>
    <n v="2"/>
    <n v="9"/>
    <n v="8"/>
    <n v="8"/>
    <n v="8"/>
  </r>
  <r>
    <x v="1"/>
    <s v="Travel_Rarely"/>
    <x v="2"/>
    <s v="Current Employees"/>
    <x v="0"/>
    <x v="0"/>
    <x v="1230"/>
    <n v="1453"/>
    <x v="1"/>
    <x v="0"/>
    <x v="2"/>
    <s v="No"/>
    <s v="Y"/>
    <n v="5"/>
    <n v="-2"/>
    <n v="0"/>
    <n v="31"/>
    <n v="0"/>
    <m/>
    <n v="0"/>
    <n v="1"/>
    <n v="326"/>
    <n v="8"/>
    <x v="0"/>
    <n v="1"/>
    <n v="1"/>
    <n v="31"/>
    <n v="3"/>
    <n v="3"/>
    <n v="4"/>
    <n v="10793"/>
    <n v="8386"/>
    <n v="1"/>
    <n v="18"/>
    <n v="3"/>
    <n v="1"/>
    <n v="80"/>
    <n v="1"/>
    <n v="13"/>
    <n v="3"/>
    <n v="13"/>
    <n v="7"/>
    <n v="9"/>
    <n v="9"/>
  </r>
  <r>
    <x v="1"/>
    <s v="Travel_Rarely"/>
    <x v="2"/>
    <s v="Current Employees"/>
    <x v="0"/>
    <x v="3"/>
    <x v="1231"/>
    <n v="1754"/>
    <x v="1"/>
    <x v="0"/>
    <x v="2"/>
    <s v="No"/>
    <s v="Y"/>
    <n v="2"/>
    <n v="-2"/>
    <n v="0"/>
    <n v="30"/>
    <n v="0"/>
    <m/>
    <n v="0"/>
    <n v="1"/>
    <n v="979"/>
    <n v="15"/>
    <x v="0"/>
    <n v="1"/>
    <n v="3"/>
    <n v="94"/>
    <n v="2"/>
    <n v="3"/>
    <n v="2"/>
    <n v="7140"/>
    <n v="3088"/>
    <n v="2"/>
    <n v="11"/>
    <n v="3"/>
    <n v="1"/>
    <n v="80"/>
    <n v="1"/>
    <n v="12"/>
    <n v="3"/>
    <n v="7"/>
    <n v="7"/>
    <n v="1"/>
    <n v="7"/>
  </r>
  <r>
    <x v="1"/>
    <s v="Travel_Rarely"/>
    <x v="0"/>
    <s v="Current Employees"/>
    <x v="0"/>
    <x v="0"/>
    <x v="1232"/>
    <n v="2037"/>
    <x v="1"/>
    <x v="0"/>
    <x v="2"/>
    <s v="No"/>
    <s v="Y"/>
    <n v="5"/>
    <n v="-2"/>
    <n v="0"/>
    <n v="41"/>
    <n v="0"/>
    <m/>
    <n v="0"/>
    <n v="1"/>
    <n v="930"/>
    <n v="3"/>
    <x v="3"/>
    <n v="1"/>
    <n v="3"/>
    <n v="57"/>
    <n v="2"/>
    <n v="2"/>
    <n v="2"/>
    <n v="8938"/>
    <n v="12227"/>
    <n v="2"/>
    <n v="11"/>
    <n v="3"/>
    <n v="3"/>
    <n v="80"/>
    <n v="1"/>
    <n v="14"/>
    <n v="3"/>
    <n v="5"/>
    <n v="4"/>
    <n v="0"/>
    <n v="4"/>
  </r>
  <r>
    <x v="1"/>
    <s v="Travel_Rarely"/>
    <x v="2"/>
    <s v="Current Employees"/>
    <x v="0"/>
    <x v="2"/>
    <x v="1233"/>
    <n v="1951"/>
    <x v="1"/>
    <x v="0"/>
    <x v="2"/>
    <s v="No"/>
    <s v="Y"/>
    <n v="2"/>
    <n v="-2"/>
    <n v="0"/>
    <n v="34"/>
    <n v="0"/>
    <m/>
    <n v="0"/>
    <n v="1"/>
    <n v="1239"/>
    <n v="13"/>
    <x v="2"/>
    <n v="1"/>
    <n v="4"/>
    <n v="39"/>
    <n v="3"/>
    <n v="3"/>
    <n v="3"/>
    <n v="8628"/>
    <n v="22914"/>
    <n v="1"/>
    <n v="18"/>
    <n v="3"/>
    <n v="3"/>
    <n v="80"/>
    <n v="1"/>
    <n v="9"/>
    <n v="2"/>
    <n v="8"/>
    <n v="7"/>
    <n v="1"/>
    <n v="1"/>
  </r>
  <r>
    <x v="1"/>
    <s v="Travel_Rarely"/>
    <x v="2"/>
    <s v="Current Employees"/>
    <x v="0"/>
    <x v="0"/>
    <x v="1234"/>
    <n v="1497"/>
    <x v="1"/>
    <x v="0"/>
    <x v="2"/>
    <s v="No"/>
    <s v="Y"/>
    <n v="3"/>
    <n v="-2"/>
    <n v="0"/>
    <n v="29"/>
    <n v="0"/>
    <m/>
    <n v="0"/>
    <n v="1"/>
    <n v="1246"/>
    <n v="19"/>
    <x v="3"/>
    <n v="1"/>
    <n v="3"/>
    <n v="77"/>
    <n v="2"/>
    <n v="2"/>
    <n v="3"/>
    <n v="8620"/>
    <n v="23757"/>
    <n v="1"/>
    <n v="14"/>
    <n v="3"/>
    <n v="3"/>
    <n v="80"/>
    <n v="2"/>
    <n v="10"/>
    <n v="3"/>
    <n v="10"/>
    <n v="7"/>
    <n v="0"/>
    <n v="4"/>
  </r>
  <r>
    <x v="1"/>
    <s v="Travel_Rarely"/>
    <x v="2"/>
    <s v="Current Employees"/>
    <x v="0"/>
    <x v="2"/>
    <x v="1235"/>
    <n v="1670"/>
    <x v="1"/>
    <x v="0"/>
    <x v="2"/>
    <s v="No"/>
    <s v="Y"/>
    <n v="5"/>
    <n v="-2"/>
    <n v="0"/>
    <n v="33"/>
    <n v="0"/>
    <m/>
    <n v="0"/>
    <n v="1"/>
    <n v="392"/>
    <n v="2"/>
    <x v="2"/>
    <n v="1"/>
    <n v="4"/>
    <n v="93"/>
    <n v="3"/>
    <n v="2"/>
    <n v="4"/>
    <n v="5505"/>
    <n v="3921"/>
    <n v="1"/>
    <n v="14"/>
    <n v="3"/>
    <n v="3"/>
    <n v="80"/>
    <n v="2"/>
    <n v="6"/>
    <n v="3"/>
    <n v="6"/>
    <n v="2"/>
    <n v="0"/>
    <n v="4"/>
  </r>
  <r>
    <x v="1"/>
    <s v="Travel_Rarely"/>
    <x v="1"/>
    <s v="Current Employees"/>
    <x v="0"/>
    <x v="3"/>
    <x v="1236"/>
    <n v="1466"/>
    <x v="1"/>
    <x v="0"/>
    <x v="2"/>
    <s v="No"/>
    <s v="Y"/>
    <n v="3"/>
    <n v="-2"/>
    <n v="0"/>
    <n v="48"/>
    <n v="0"/>
    <m/>
    <n v="0"/>
    <n v="1"/>
    <n v="1221"/>
    <n v="7"/>
    <x v="3"/>
    <n v="1"/>
    <n v="3"/>
    <n v="96"/>
    <n v="3"/>
    <n v="2"/>
    <n v="2"/>
    <n v="5486"/>
    <n v="24795"/>
    <n v="4"/>
    <n v="11"/>
    <n v="3"/>
    <n v="1"/>
    <n v="80"/>
    <n v="3"/>
    <n v="15"/>
    <n v="3"/>
    <n v="2"/>
    <n v="2"/>
    <n v="2"/>
    <n v="2"/>
  </r>
  <r>
    <x v="1"/>
    <s v="Travel_Rarely"/>
    <x v="0"/>
    <s v="Current Employees"/>
    <x v="0"/>
    <x v="2"/>
    <x v="1237"/>
    <n v="1548"/>
    <x v="1"/>
    <x v="0"/>
    <x v="1"/>
    <s v="No"/>
    <s v="Y"/>
    <n v="5"/>
    <n v="-2"/>
    <n v="0"/>
    <n v="40"/>
    <n v="0"/>
    <m/>
    <n v="0"/>
    <n v="1"/>
    <n v="1342"/>
    <n v="9"/>
    <x v="0"/>
    <n v="1"/>
    <n v="1"/>
    <n v="47"/>
    <n v="3"/>
    <n v="2"/>
    <n v="1"/>
    <n v="5473"/>
    <n v="19345"/>
    <n v="0"/>
    <n v="12"/>
    <n v="3"/>
    <n v="4"/>
    <n v="80"/>
    <n v="0"/>
    <n v="9"/>
    <n v="4"/>
    <n v="8"/>
    <n v="4"/>
    <n v="7"/>
    <n v="1"/>
  </r>
  <r>
    <x v="1"/>
    <s v="Travel_Rarely"/>
    <x v="2"/>
    <s v="Current Employees"/>
    <x v="0"/>
    <x v="0"/>
    <x v="1238"/>
    <n v="1560"/>
    <x v="1"/>
    <x v="0"/>
    <x v="1"/>
    <s v="No"/>
    <s v="Y"/>
    <n v="6"/>
    <n v="-2"/>
    <n v="0"/>
    <n v="33"/>
    <n v="0"/>
    <m/>
    <n v="0"/>
    <n v="1"/>
    <n v="1242"/>
    <n v="8"/>
    <x v="2"/>
    <n v="1"/>
    <n v="1"/>
    <n v="46"/>
    <n v="3"/>
    <n v="2"/>
    <n v="1"/>
    <n v="6392"/>
    <n v="10589"/>
    <n v="2"/>
    <n v="13"/>
    <n v="3"/>
    <n v="4"/>
    <n v="80"/>
    <n v="1"/>
    <n v="8"/>
    <n v="1"/>
    <n v="2"/>
    <n v="2"/>
    <n v="2"/>
    <n v="2"/>
  </r>
  <r>
    <x v="1"/>
    <s v="Travel_Rarely"/>
    <x v="2"/>
    <s v="Current Employees"/>
    <x v="0"/>
    <x v="0"/>
    <x v="1239"/>
    <n v="1996"/>
    <x v="1"/>
    <x v="6"/>
    <x v="1"/>
    <s v="No"/>
    <s v="Y"/>
    <n v="1"/>
    <n v="-2"/>
    <n v="0"/>
    <n v="31"/>
    <n v="0"/>
    <m/>
    <n v="0"/>
    <n v="1"/>
    <n v="1154"/>
    <n v="2"/>
    <x v="0"/>
    <n v="1"/>
    <n v="1"/>
    <n v="54"/>
    <n v="3"/>
    <n v="1"/>
    <n v="3"/>
    <n v="3067"/>
    <n v="6393"/>
    <n v="0"/>
    <n v="19"/>
    <n v="3"/>
    <n v="3"/>
    <n v="80"/>
    <n v="1"/>
    <n v="3"/>
    <n v="3"/>
    <n v="2"/>
    <n v="2"/>
    <n v="1"/>
    <n v="2"/>
  </r>
  <r>
    <x v="1"/>
    <s v="Travel_Rarely"/>
    <x v="2"/>
    <s v="Current Employees"/>
    <x v="0"/>
    <x v="4"/>
    <x v="1240"/>
    <n v="1749"/>
    <x v="1"/>
    <x v="0"/>
    <x v="1"/>
    <s v="No"/>
    <s v="Y"/>
    <n v="3"/>
    <n v="-2"/>
    <n v="0"/>
    <n v="31"/>
    <n v="0"/>
    <m/>
    <n v="0"/>
    <n v="1"/>
    <n v="1003"/>
    <n v="5"/>
    <x v="3"/>
    <n v="1"/>
    <n v="4"/>
    <n v="51"/>
    <n v="3"/>
    <n v="2"/>
    <n v="4"/>
    <n v="8346"/>
    <n v="20943"/>
    <n v="1"/>
    <n v="19"/>
    <n v="3"/>
    <n v="3"/>
    <n v="80"/>
    <n v="1"/>
    <n v="6"/>
    <n v="3"/>
    <n v="5"/>
    <n v="2"/>
    <n v="0"/>
    <n v="2"/>
  </r>
  <r>
    <x v="1"/>
    <s v="Travel_Rarely"/>
    <x v="2"/>
    <s v="Current Employees"/>
    <x v="0"/>
    <x v="2"/>
    <x v="1241"/>
    <n v="2013"/>
    <x v="1"/>
    <x v="6"/>
    <x v="1"/>
    <s v="No"/>
    <s v="Y"/>
    <n v="2"/>
    <n v="-2"/>
    <n v="0"/>
    <n v="32"/>
    <n v="0"/>
    <m/>
    <n v="0"/>
    <n v="1"/>
    <n v="234"/>
    <n v="1"/>
    <x v="2"/>
    <n v="1"/>
    <n v="2"/>
    <n v="68"/>
    <n v="2"/>
    <n v="1"/>
    <n v="2"/>
    <n v="2269"/>
    <n v="18024"/>
    <n v="0"/>
    <n v="14"/>
    <n v="3"/>
    <n v="2"/>
    <n v="80"/>
    <n v="1"/>
    <n v="3"/>
    <n v="3"/>
    <n v="2"/>
    <n v="2"/>
    <n v="2"/>
    <n v="2"/>
  </r>
  <r>
    <x v="1"/>
    <s v="Travel_Rarely"/>
    <x v="0"/>
    <s v="Current Employees"/>
    <x v="0"/>
    <x v="2"/>
    <x v="1242"/>
    <n v="1945"/>
    <x v="1"/>
    <x v="0"/>
    <x v="1"/>
    <s v="No"/>
    <s v="Y"/>
    <n v="2"/>
    <n v="-2"/>
    <n v="0"/>
    <n v="35"/>
    <n v="0"/>
    <m/>
    <n v="0"/>
    <n v="1"/>
    <n v="682"/>
    <n v="18"/>
    <x v="2"/>
    <n v="1"/>
    <n v="2"/>
    <n v="71"/>
    <n v="3"/>
    <n v="2"/>
    <n v="1"/>
    <n v="5561"/>
    <n v="15975"/>
    <n v="0"/>
    <n v="16"/>
    <n v="3"/>
    <n v="4"/>
    <n v="80"/>
    <n v="1"/>
    <n v="6"/>
    <n v="1"/>
    <n v="5"/>
    <n v="3"/>
    <n v="0"/>
    <n v="4"/>
  </r>
  <r>
    <x v="1"/>
    <s v="Travel_Rarely"/>
    <x v="2"/>
    <s v="Current Employees"/>
    <x v="0"/>
    <x v="4"/>
    <x v="1243"/>
    <n v="1568"/>
    <x v="1"/>
    <x v="0"/>
    <x v="1"/>
    <s v="No"/>
    <s v="Y"/>
    <n v="3"/>
    <n v="-2"/>
    <n v="0"/>
    <n v="30"/>
    <n v="0"/>
    <m/>
    <n v="0"/>
    <n v="1"/>
    <n v="1288"/>
    <n v="29"/>
    <x v="2"/>
    <n v="1"/>
    <n v="4"/>
    <n v="33"/>
    <n v="3"/>
    <n v="3"/>
    <n v="4"/>
    <n v="9250"/>
    <n v="17799"/>
    <n v="3"/>
    <n v="12"/>
    <n v="3"/>
    <n v="2"/>
    <n v="80"/>
    <n v="1"/>
    <n v="9"/>
    <n v="3"/>
    <n v="4"/>
    <n v="2"/>
    <n v="1"/>
    <n v="3"/>
  </r>
  <r>
    <x v="1"/>
    <s v="Travel_Rarely"/>
    <x v="0"/>
    <s v="Current Employees"/>
    <x v="0"/>
    <x v="0"/>
    <x v="1244"/>
    <n v="1582"/>
    <x v="1"/>
    <x v="0"/>
    <x v="1"/>
    <s v="No"/>
    <s v="Y"/>
    <n v="3"/>
    <n v="-2"/>
    <n v="0"/>
    <n v="38"/>
    <n v="0"/>
    <m/>
    <n v="0"/>
    <n v="1"/>
    <n v="1245"/>
    <n v="14"/>
    <x v="3"/>
    <n v="1"/>
    <n v="3"/>
    <n v="80"/>
    <n v="3"/>
    <n v="2"/>
    <n v="2"/>
    <n v="9924"/>
    <n v="12355"/>
    <n v="0"/>
    <n v="11"/>
    <n v="3"/>
    <n v="4"/>
    <n v="80"/>
    <n v="1"/>
    <n v="10"/>
    <n v="3"/>
    <n v="9"/>
    <n v="8"/>
    <n v="7"/>
    <n v="7"/>
  </r>
  <r>
    <x v="1"/>
    <s v="Travel_Rarely"/>
    <x v="2"/>
    <s v="Current Employees"/>
    <x v="0"/>
    <x v="0"/>
    <x v="1245"/>
    <n v="1739"/>
    <x v="1"/>
    <x v="0"/>
    <x v="1"/>
    <s v="No"/>
    <s v="Y"/>
    <n v="2"/>
    <n v="-2"/>
    <n v="0"/>
    <n v="32"/>
    <n v="0"/>
    <m/>
    <n v="0"/>
    <n v="1"/>
    <n v="371"/>
    <n v="19"/>
    <x v="3"/>
    <n v="1"/>
    <n v="4"/>
    <n v="80"/>
    <n v="1"/>
    <n v="3"/>
    <n v="3"/>
    <n v="9610"/>
    <n v="3840"/>
    <n v="3"/>
    <n v="13"/>
    <n v="3"/>
    <n v="3"/>
    <n v="80"/>
    <n v="1"/>
    <n v="10"/>
    <n v="1"/>
    <n v="4"/>
    <n v="3"/>
    <n v="0"/>
    <n v="2"/>
  </r>
  <r>
    <x v="1"/>
    <s v="Travel_Rarely"/>
    <x v="0"/>
    <s v="Current Employees"/>
    <x v="0"/>
    <x v="0"/>
    <x v="1246"/>
    <n v="1492"/>
    <x v="1"/>
    <x v="6"/>
    <x v="1"/>
    <s v="No"/>
    <s v="Y"/>
    <n v="3"/>
    <n v="-2"/>
    <n v="0"/>
    <n v="35"/>
    <n v="0"/>
    <m/>
    <n v="0"/>
    <n v="1"/>
    <n v="660"/>
    <n v="7"/>
    <x v="1"/>
    <n v="1"/>
    <n v="4"/>
    <n v="76"/>
    <n v="3"/>
    <n v="1"/>
    <n v="3"/>
    <n v="2404"/>
    <n v="16192"/>
    <n v="1"/>
    <n v="13"/>
    <n v="3"/>
    <n v="1"/>
    <n v="80"/>
    <n v="1"/>
    <n v="1"/>
    <n v="3"/>
    <n v="1"/>
    <n v="0"/>
    <n v="0"/>
    <n v="0"/>
  </r>
  <r>
    <x v="1"/>
    <s v="Travel_Rarely"/>
    <x v="2"/>
    <s v="Current Employees"/>
    <x v="0"/>
    <x v="3"/>
    <x v="1247"/>
    <n v="1446"/>
    <x v="1"/>
    <x v="0"/>
    <x v="1"/>
    <s v="No"/>
    <s v="Y"/>
    <n v="3"/>
    <n v="-2"/>
    <n v="0"/>
    <n v="32"/>
    <n v="0"/>
    <m/>
    <n v="0"/>
    <n v="1"/>
    <n v="601"/>
    <n v="7"/>
    <x v="4"/>
    <n v="1"/>
    <n v="4"/>
    <n v="97"/>
    <n v="3"/>
    <n v="2"/>
    <n v="2"/>
    <n v="9204"/>
    <n v="23343"/>
    <n v="4"/>
    <n v="12"/>
    <n v="3"/>
    <n v="3"/>
    <n v="80"/>
    <n v="1"/>
    <n v="7"/>
    <n v="2"/>
    <n v="4"/>
    <n v="3"/>
    <n v="0"/>
    <n v="3"/>
  </r>
  <r>
    <x v="1"/>
    <s v="Travel_Rarely"/>
    <x v="0"/>
    <s v="Current Employees"/>
    <x v="0"/>
    <x v="2"/>
    <x v="1248"/>
    <n v="1588"/>
    <x v="1"/>
    <x v="0"/>
    <x v="1"/>
    <s v="No"/>
    <s v="Y"/>
    <n v="3"/>
    <n v="-2"/>
    <n v="0"/>
    <n v="39"/>
    <n v="0"/>
    <m/>
    <n v="0"/>
    <n v="1"/>
    <n v="1462"/>
    <n v="6"/>
    <x v="3"/>
    <n v="1"/>
    <n v="4"/>
    <n v="38"/>
    <n v="4"/>
    <n v="3"/>
    <n v="3"/>
    <n v="8237"/>
    <n v="4658"/>
    <n v="2"/>
    <n v="11"/>
    <n v="3"/>
    <n v="1"/>
    <n v="80"/>
    <n v="1"/>
    <n v="11"/>
    <n v="3"/>
    <n v="7"/>
    <n v="6"/>
    <n v="7"/>
    <n v="6"/>
  </r>
  <r>
    <x v="1"/>
    <s v="Travel_Rarely"/>
    <x v="0"/>
    <s v="Current Employees"/>
    <x v="0"/>
    <x v="3"/>
    <x v="1249"/>
    <n v="1787"/>
    <x v="1"/>
    <x v="0"/>
    <x v="1"/>
    <s v="No"/>
    <s v="Y"/>
    <n v="2"/>
    <n v="-2"/>
    <n v="0"/>
    <n v="37"/>
    <n v="0"/>
    <m/>
    <n v="0"/>
    <n v="1"/>
    <n v="589"/>
    <n v="9"/>
    <x v="0"/>
    <n v="1"/>
    <n v="2"/>
    <n v="46"/>
    <n v="2"/>
    <n v="2"/>
    <n v="2"/>
    <n v="4189"/>
    <n v="8800"/>
    <n v="1"/>
    <n v="14"/>
    <n v="3"/>
    <n v="1"/>
    <n v="80"/>
    <n v="2"/>
    <n v="5"/>
    <n v="3"/>
    <n v="5"/>
    <n v="2"/>
    <n v="0"/>
    <n v="3"/>
  </r>
  <r>
    <x v="1"/>
    <s v="Travel_Rarely"/>
    <x v="0"/>
    <s v="Current Employees"/>
    <x v="0"/>
    <x v="3"/>
    <x v="1250"/>
    <n v="1908"/>
    <x v="1"/>
    <x v="0"/>
    <x v="1"/>
    <s v="No"/>
    <s v="Y"/>
    <n v="1"/>
    <n v="-2"/>
    <n v="0"/>
    <n v="36"/>
    <n v="0"/>
    <m/>
    <n v="0"/>
    <n v="1"/>
    <n v="335"/>
    <n v="17"/>
    <x v="0"/>
    <n v="1"/>
    <n v="3"/>
    <n v="33"/>
    <n v="2"/>
    <n v="2"/>
    <n v="2"/>
    <n v="5507"/>
    <n v="16822"/>
    <n v="2"/>
    <n v="16"/>
    <n v="3"/>
    <n v="3"/>
    <n v="80"/>
    <n v="2"/>
    <n v="12"/>
    <n v="1"/>
    <n v="4"/>
    <n v="2"/>
    <n v="1"/>
    <n v="3"/>
  </r>
  <r>
    <x v="1"/>
    <s v="Travel_Rarely"/>
    <x v="0"/>
    <s v="Current Employees"/>
    <x v="0"/>
    <x v="0"/>
    <x v="1251"/>
    <n v="1995"/>
    <x v="1"/>
    <x v="0"/>
    <x v="1"/>
    <s v="No"/>
    <s v="Y"/>
    <n v="3"/>
    <n v="-2"/>
    <n v="0"/>
    <n v="38"/>
    <n v="0"/>
    <m/>
    <n v="0"/>
    <n v="1"/>
    <n v="1321"/>
    <n v="1"/>
    <x v="2"/>
    <n v="1"/>
    <n v="4"/>
    <n v="86"/>
    <n v="3"/>
    <n v="2"/>
    <n v="2"/>
    <n v="4440"/>
    <n v="7636"/>
    <n v="0"/>
    <n v="15"/>
    <n v="3"/>
    <n v="1"/>
    <n v="80"/>
    <n v="2"/>
    <n v="16"/>
    <n v="3"/>
    <n v="15"/>
    <n v="13"/>
    <n v="5"/>
    <n v="8"/>
  </r>
  <r>
    <x v="1"/>
    <s v="Travel_Rarely"/>
    <x v="2"/>
    <s v="Current Employees"/>
    <x v="0"/>
    <x v="0"/>
    <x v="1252"/>
    <n v="1479"/>
    <x v="1"/>
    <x v="0"/>
    <x v="1"/>
    <s v="No"/>
    <s v="Y"/>
    <n v="2"/>
    <n v="-2"/>
    <n v="0"/>
    <n v="30"/>
    <n v="0"/>
    <m/>
    <n v="0"/>
    <n v="1"/>
    <n v="1358"/>
    <n v="16"/>
    <x v="1"/>
    <n v="1"/>
    <n v="4"/>
    <n v="96"/>
    <n v="3"/>
    <n v="2"/>
    <n v="3"/>
    <n v="5301"/>
    <n v="2939"/>
    <n v="8"/>
    <n v="15"/>
    <n v="3"/>
    <n v="3"/>
    <n v="80"/>
    <n v="2"/>
    <n v="4"/>
    <n v="2"/>
    <n v="2"/>
    <n v="1"/>
    <n v="2"/>
    <n v="2"/>
  </r>
  <r>
    <x v="1"/>
    <s v="Travel_Rarely"/>
    <x v="0"/>
    <s v="Current Employees"/>
    <x v="0"/>
    <x v="0"/>
    <x v="1253"/>
    <n v="1961"/>
    <x v="1"/>
    <x v="6"/>
    <x v="0"/>
    <s v="No"/>
    <s v="Y"/>
    <n v="3"/>
    <n v="-2"/>
    <n v="0"/>
    <n v="38"/>
    <n v="0"/>
    <m/>
    <n v="0"/>
    <n v="1"/>
    <n v="1404"/>
    <n v="1"/>
    <x v="3"/>
    <n v="1"/>
    <n v="1"/>
    <n v="59"/>
    <n v="2"/>
    <n v="1"/>
    <n v="1"/>
    <n v="2858"/>
    <n v="11473"/>
    <n v="4"/>
    <n v="14"/>
    <n v="3"/>
    <n v="1"/>
    <n v="80"/>
    <n v="0"/>
    <n v="20"/>
    <n v="2"/>
    <n v="1"/>
    <n v="0"/>
    <n v="0"/>
    <n v="0"/>
  </r>
  <r>
    <x v="1"/>
    <s v="Travel_Rarely"/>
    <x v="0"/>
    <s v="Current Employees"/>
    <x v="0"/>
    <x v="3"/>
    <x v="1254"/>
    <n v="1975"/>
    <x v="1"/>
    <x v="0"/>
    <x v="0"/>
    <s v="No"/>
    <s v="Y"/>
    <n v="3"/>
    <n v="-2"/>
    <n v="0"/>
    <n v="39"/>
    <n v="0"/>
    <m/>
    <n v="0"/>
    <n v="1"/>
    <n v="119"/>
    <n v="15"/>
    <x v="2"/>
    <n v="1"/>
    <n v="2"/>
    <n v="77"/>
    <n v="3"/>
    <n v="4"/>
    <n v="1"/>
    <n v="13341"/>
    <n v="25098"/>
    <n v="0"/>
    <n v="12"/>
    <n v="3"/>
    <n v="1"/>
    <n v="80"/>
    <n v="0"/>
    <n v="21"/>
    <n v="3"/>
    <n v="20"/>
    <n v="8"/>
    <n v="11"/>
    <n v="10"/>
  </r>
  <r>
    <x v="1"/>
    <s v="Travel_Rarely"/>
    <x v="0"/>
    <s v="Current Employees"/>
    <x v="0"/>
    <x v="2"/>
    <x v="1255"/>
    <n v="1740"/>
    <x v="1"/>
    <x v="5"/>
    <x v="0"/>
    <s v="No"/>
    <s v="Y"/>
    <n v="3"/>
    <n v="-2"/>
    <n v="0"/>
    <n v="40"/>
    <n v="0"/>
    <m/>
    <n v="0"/>
    <n v="1"/>
    <n v="611"/>
    <n v="7"/>
    <x v="2"/>
    <n v="1"/>
    <n v="2"/>
    <n v="88"/>
    <n v="3"/>
    <n v="5"/>
    <n v="2"/>
    <n v="19833"/>
    <n v="4349"/>
    <n v="1"/>
    <n v="14"/>
    <n v="3"/>
    <n v="2"/>
    <n v="80"/>
    <n v="0"/>
    <n v="21"/>
    <n v="2"/>
    <n v="21"/>
    <n v="8"/>
    <n v="12"/>
    <n v="8"/>
  </r>
  <r>
    <x v="1"/>
    <s v="Travel_Rarely"/>
    <x v="2"/>
    <s v="Current Employees"/>
    <x v="0"/>
    <x v="3"/>
    <x v="1256"/>
    <n v="1924"/>
    <x v="1"/>
    <x v="0"/>
    <x v="0"/>
    <s v="No"/>
    <s v="Y"/>
    <n v="2"/>
    <n v="-2"/>
    <n v="0"/>
    <n v="33"/>
    <n v="0"/>
    <m/>
    <n v="0"/>
    <n v="1"/>
    <n v="217"/>
    <n v="10"/>
    <x v="2"/>
    <n v="1"/>
    <n v="2"/>
    <n v="43"/>
    <n v="3"/>
    <n v="2"/>
    <n v="1"/>
    <n v="5487"/>
    <n v="10410"/>
    <n v="1"/>
    <n v="14"/>
    <n v="3"/>
    <n v="2"/>
    <n v="80"/>
    <n v="0"/>
    <n v="10"/>
    <n v="2"/>
    <n v="10"/>
    <n v="4"/>
    <n v="0"/>
    <n v="9"/>
  </r>
  <r>
    <x v="1"/>
    <s v="Travel_Rarely"/>
    <x v="2"/>
    <s v="Current Employees"/>
    <x v="0"/>
    <x v="2"/>
    <x v="1257"/>
    <n v="1650"/>
    <x v="1"/>
    <x v="0"/>
    <x v="0"/>
    <s v="No"/>
    <s v="Y"/>
    <n v="2"/>
    <n v="-2"/>
    <n v="0"/>
    <n v="29"/>
    <n v="0"/>
    <m/>
    <n v="0"/>
    <n v="1"/>
    <n v="469"/>
    <n v="10"/>
    <x v="3"/>
    <n v="1"/>
    <n v="3"/>
    <n v="42"/>
    <n v="2"/>
    <n v="2"/>
    <n v="3"/>
    <n v="5869"/>
    <n v="23413"/>
    <n v="9"/>
    <n v="11"/>
    <n v="3"/>
    <n v="3"/>
    <n v="80"/>
    <n v="0"/>
    <n v="8"/>
    <n v="3"/>
    <n v="5"/>
    <n v="2"/>
    <n v="1"/>
    <n v="4"/>
  </r>
  <r>
    <x v="1"/>
    <s v="Travel_Rarely"/>
    <x v="2"/>
    <s v="Current Employees"/>
    <x v="0"/>
    <x v="2"/>
    <x v="1258"/>
    <n v="1836"/>
    <x v="1"/>
    <x v="0"/>
    <x v="0"/>
    <s v="No"/>
    <s v="Y"/>
    <n v="4"/>
    <n v="-2"/>
    <n v="0"/>
    <n v="26"/>
    <n v="0"/>
    <m/>
    <n v="0"/>
    <n v="1"/>
    <n v="572"/>
    <n v="10"/>
    <x v="3"/>
    <n v="1"/>
    <n v="3"/>
    <n v="46"/>
    <n v="3"/>
    <n v="2"/>
    <n v="4"/>
    <n v="4684"/>
    <n v="9125"/>
    <n v="1"/>
    <n v="13"/>
    <n v="3"/>
    <n v="1"/>
    <n v="80"/>
    <n v="0"/>
    <n v="5"/>
    <n v="3"/>
    <n v="5"/>
    <n v="3"/>
    <n v="1"/>
    <n v="2"/>
  </r>
  <r>
    <x v="1"/>
    <s v="Travel_Rarely"/>
    <x v="2"/>
    <s v="Current Employees"/>
    <x v="0"/>
    <x v="1"/>
    <x v="1259"/>
    <n v="1478"/>
    <x v="1"/>
    <x v="0"/>
    <x v="0"/>
    <s v="No"/>
    <s v="Y"/>
    <n v="2"/>
    <n v="-2"/>
    <n v="0"/>
    <n v="34"/>
    <n v="0"/>
    <m/>
    <n v="0"/>
    <n v="1"/>
    <n v="1326"/>
    <n v="3"/>
    <x v="3"/>
    <n v="1"/>
    <n v="4"/>
    <n v="81"/>
    <n v="1"/>
    <n v="2"/>
    <n v="1"/>
    <n v="4759"/>
    <n v="15891"/>
    <n v="3"/>
    <n v="18"/>
    <n v="3"/>
    <n v="4"/>
    <n v="80"/>
    <n v="0"/>
    <n v="15"/>
    <n v="3"/>
    <n v="13"/>
    <n v="9"/>
    <n v="3"/>
    <n v="12"/>
  </r>
  <r>
    <x v="1"/>
    <s v="Travel_Rarely"/>
    <x v="4"/>
    <s v="Current Employees"/>
    <x v="0"/>
    <x v="0"/>
    <x v="1260"/>
    <n v="1680"/>
    <x v="1"/>
    <x v="6"/>
    <x v="0"/>
    <s v="No"/>
    <s v="Y"/>
    <n v="3"/>
    <n v="-2"/>
    <n v="0"/>
    <n v="20"/>
    <n v="0"/>
    <m/>
    <n v="0"/>
    <n v="1"/>
    <n v="727"/>
    <n v="9"/>
    <x v="1"/>
    <n v="1"/>
    <n v="4"/>
    <n v="54"/>
    <n v="3"/>
    <n v="1"/>
    <n v="1"/>
    <n v="2728"/>
    <n v="21082"/>
    <n v="1"/>
    <n v="11"/>
    <n v="3"/>
    <n v="1"/>
    <n v="80"/>
    <n v="0"/>
    <n v="2"/>
    <n v="3"/>
    <n v="2"/>
    <n v="2"/>
    <n v="0"/>
    <n v="2"/>
  </r>
  <r>
    <x v="1"/>
    <s v="Travel_Rarely"/>
    <x v="2"/>
    <s v="Current Employees"/>
    <x v="0"/>
    <x v="2"/>
    <x v="1261"/>
    <n v="1469"/>
    <x v="1"/>
    <x v="0"/>
    <x v="0"/>
    <s v="No"/>
    <s v="Y"/>
    <n v="4"/>
    <n v="-2"/>
    <n v="0"/>
    <n v="28"/>
    <n v="0"/>
    <m/>
    <n v="0"/>
    <n v="1"/>
    <n v="866"/>
    <n v="5"/>
    <x v="3"/>
    <n v="1"/>
    <n v="4"/>
    <n v="84"/>
    <n v="3"/>
    <n v="2"/>
    <n v="1"/>
    <n v="8463"/>
    <n v="23490"/>
    <n v="0"/>
    <n v="18"/>
    <n v="3"/>
    <n v="4"/>
    <n v="80"/>
    <n v="0"/>
    <n v="6"/>
    <n v="3"/>
    <n v="5"/>
    <n v="4"/>
    <n v="1"/>
    <n v="3"/>
  </r>
  <r>
    <x v="1"/>
    <s v="Travel_Rarely"/>
    <x v="0"/>
    <s v="Current Employees"/>
    <x v="0"/>
    <x v="3"/>
    <x v="1262"/>
    <n v="1708"/>
    <x v="1"/>
    <x v="0"/>
    <x v="0"/>
    <s v="No"/>
    <s v="Y"/>
    <n v="3"/>
    <n v="-2"/>
    <n v="0"/>
    <n v="41"/>
    <n v="0"/>
    <m/>
    <n v="0"/>
    <n v="1"/>
    <n v="918"/>
    <n v="6"/>
    <x v="3"/>
    <n v="1"/>
    <n v="4"/>
    <n v="35"/>
    <n v="3"/>
    <n v="3"/>
    <n v="1"/>
    <n v="9241"/>
    <n v="15869"/>
    <n v="1"/>
    <n v="12"/>
    <n v="3"/>
    <n v="2"/>
    <n v="80"/>
    <n v="0"/>
    <n v="10"/>
    <n v="3"/>
    <n v="10"/>
    <n v="8"/>
    <n v="8"/>
    <n v="7"/>
  </r>
  <r>
    <x v="1"/>
    <s v="Travel_Rarely"/>
    <x v="2"/>
    <s v="Current Employees"/>
    <x v="0"/>
    <x v="3"/>
    <x v="1263"/>
    <n v="1965"/>
    <x v="1"/>
    <x v="0"/>
    <x v="0"/>
    <s v="No"/>
    <s v="Y"/>
    <n v="5"/>
    <n v="-2"/>
    <n v="0"/>
    <n v="27"/>
    <n v="0"/>
    <m/>
    <n v="0"/>
    <n v="1"/>
    <n v="954"/>
    <n v="9"/>
    <x v="3"/>
    <n v="1"/>
    <n v="4"/>
    <n v="44"/>
    <n v="3"/>
    <n v="2"/>
    <n v="1"/>
    <n v="4105"/>
    <n v="5099"/>
    <n v="1"/>
    <n v="14"/>
    <n v="3"/>
    <n v="1"/>
    <n v="80"/>
    <n v="0"/>
    <n v="7"/>
    <n v="3"/>
    <n v="7"/>
    <n v="7"/>
    <n v="0"/>
    <n v="7"/>
  </r>
  <r>
    <x v="1"/>
    <s v="Travel_Rarely"/>
    <x v="1"/>
    <s v="Current Employees"/>
    <x v="0"/>
    <x v="0"/>
    <x v="1264"/>
    <n v="1602"/>
    <x v="1"/>
    <x v="5"/>
    <x v="0"/>
    <s v="No"/>
    <s v="Y"/>
    <n v="5"/>
    <n v="-2"/>
    <n v="0"/>
    <n v="46"/>
    <n v="0"/>
    <m/>
    <n v="0"/>
    <n v="1"/>
    <n v="563"/>
    <n v="1"/>
    <x v="2"/>
    <n v="1"/>
    <n v="4"/>
    <n v="56"/>
    <n v="4"/>
    <n v="4"/>
    <n v="1"/>
    <n v="17567"/>
    <n v="3156"/>
    <n v="1"/>
    <n v="15"/>
    <n v="3"/>
    <n v="2"/>
    <n v="80"/>
    <n v="0"/>
    <n v="27"/>
    <n v="1"/>
    <n v="26"/>
    <n v="0"/>
    <n v="0"/>
    <n v="12"/>
  </r>
  <r>
    <x v="1"/>
    <s v="Non-Travel"/>
    <x v="4"/>
    <s v="Current Employees"/>
    <x v="1"/>
    <x v="1"/>
    <x v="1265"/>
    <n v="1605"/>
    <x v="0"/>
    <x v="1"/>
    <x v="1"/>
    <s v="Yes"/>
    <s v="Y"/>
    <n v="2"/>
    <n v="-2"/>
    <n v="0"/>
    <n v="22"/>
    <n v="0"/>
    <m/>
    <n v="0"/>
    <n v="1"/>
    <n v="457"/>
    <n v="26"/>
    <x v="0"/>
    <n v="1"/>
    <n v="2"/>
    <n v="85"/>
    <n v="2"/>
    <n v="1"/>
    <n v="3"/>
    <n v="2814"/>
    <n v="10293"/>
    <n v="1"/>
    <n v="14"/>
    <n v="3"/>
    <n v="2"/>
    <n v="80"/>
    <n v="0"/>
    <n v="4"/>
    <n v="2"/>
    <n v="4"/>
    <n v="2"/>
    <n v="1"/>
    <n v="3"/>
  </r>
  <r>
    <x v="1"/>
    <s v="Travel_Frequently"/>
    <x v="0"/>
    <s v="Current Employees"/>
    <x v="1"/>
    <x v="2"/>
    <x v="1266"/>
    <n v="1937"/>
    <x v="0"/>
    <x v="1"/>
    <x v="2"/>
    <s v="Yes"/>
    <s v="Y"/>
    <n v="3"/>
    <n v="-2"/>
    <n v="0"/>
    <n v="38"/>
    <n v="0"/>
    <m/>
    <n v="0"/>
    <n v="1"/>
    <n v="1394"/>
    <n v="8"/>
    <x v="3"/>
    <n v="1"/>
    <n v="4"/>
    <n v="58"/>
    <n v="2"/>
    <n v="2"/>
    <n v="2"/>
    <n v="2133"/>
    <n v="18115"/>
    <n v="1"/>
    <n v="16"/>
    <n v="3"/>
    <n v="3"/>
    <n v="80"/>
    <n v="1"/>
    <n v="20"/>
    <n v="3"/>
    <n v="20"/>
    <n v="11"/>
    <n v="0"/>
    <n v="7"/>
  </r>
  <r>
    <x v="1"/>
    <s v="Travel_Frequently"/>
    <x v="4"/>
    <s v="Current Employees"/>
    <x v="1"/>
    <x v="4"/>
    <x v="1267"/>
    <n v="1646"/>
    <x v="0"/>
    <x v="1"/>
    <x v="0"/>
    <s v="Yes"/>
    <s v="Y"/>
    <n v="2"/>
    <n v="-2"/>
    <n v="0"/>
    <n v="24"/>
    <n v="0"/>
    <m/>
    <n v="0"/>
    <n v="1"/>
    <n v="567"/>
    <n v="2"/>
    <x v="1"/>
    <n v="1"/>
    <n v="4"/>
    <n v="32"/>
    <n v="3"/>
    <n v="1"/>
    <n v="4"/>
    <n v="3760"/>
    <n v="17218"/>
    <n v="1"/>
    <n v="13"/>
    <n v="3"/>
    <n v="3"/>
    <n v="80"/>
    <n v="0"/>
    <n v="6"/>
    <n v="3"/>
    <n v="6"/>
    <n v="3"/>
    <n v="1"/>
    <n v="3"/>
  </r>
  <r>
    <x v="1"/>
    <s v="Travel_Frequently"/>
    <x v="2"/>
    <s v="Current Employees"/>
    <x v="1"/>
    <x v="0"/>
    <x v="1268"/>
    <n v="1850"/>
    <x v="0"/>
    <x v="2"/>
    <x v="0"/>
    <s v="Yes"/>
    <s v="Y"/>
    <n v="3"/>
    <n v="-2"/>
    <n v="0"/>
    <n v="27"/>
    <n v="0"/>
    <m/>
    <n v="0"/>
    <n v="1"/>
    <n v="1297"/>
    <n v="5"/>
    <x v="0"/>
    <n v="1"/>
    <n v="4"/>
    <n v="53"/>
    <n v="3"/>
    <n v="1"/>
    <n v="4"/>
    <n v="2379"/>
    <n v="19826"/>
    <n v="0"/>
    <n v="14"/>
    <n v="3"/>
    <n v="3"/>
    <n v="80"/>
    <n v="0"/>
    <n v="6"/>
    <n v="2"/>
    <n v="5"/>
    <n v="4"/>
    <n v="0"/>
    <n v="2"/>
  </r>
  <r>
    <x v="1"/>
    <s v="Travel_Rarely"/>
    <x v="0"/>
    <s v="Current Employees"/>
    <x v="2"/>
    <x v="0"/>
    <x v="1269"/>
    <n v="1683"/>
    <x v="0"/>
    <x v="8"/>
    <x v="2"/>
    <s v="Yes"/>
    <s v="Y"/>
    <n v="2"/>
    <n v="-2"/>
    <n v="0"/>
    <n v="44"/>
    <n v="0"/>
    <m/>
    <n v="0"/>
    <n v="1"/>
    <n v="528"/>
    <n v="1"/>
    <x v="3"/>
    <n v="1"/>
    <n v="3"/>
    <n v="44"/>
    <n v="3"/>
    <n v="1"/>
    <n v="4"/>
    <n v="3195"/>
    <n v="4167"/>
    <n v="4"/>
    <n v="18"/>
    <n v="3"/>
    <n v="1"/>
    <n v="80"/>
    <n v="3"/>
    <n v="8"/>
    <n v="3"/>
    <n v="2"/>
    <n v="2"/>
    <n v="2"/>
    <n v="2"/>
  </r>
  <r>
    <x v="1"/>
    <s v="Travel_Rarely"/>
    <x v="0"/>
    <s v="Current Employees"/>
    <x v="2"/>
    <x v="0"/>
    <x v="1270"/>
    <n v="2040"/>
    <x v="0"/>
    <x v="8"/>
    <x v="0"/>
    <s v="Yes"/>
    <s v="Y"/>
    <n v="2"/>
    <n v="-2"/>
    <n v="0"/>
    <n v="35"/>
    <n v="0"/>
    <m/>
    <n v="0"/>
    <n v="1"/>
    <n v="1146"/>
    <n v="26"/>
    <x v="2"/>
    <n v="1"/>
    <n v="3"/>
    <n v="31"/>
    <n v="3"/>
    <n v="3"/>
    <n v="4"/>
    <n v="8837"/>
    <n v="16642"/>
    <n v="1"/>
    <n v="16"/>
    <n v="3"/>
    <n v="3"/>
    <n v="80"/>
    <n v="0"/>
    <n v="9"/>
    <n v="3"/>
    <n v="9"/>
    <n v="0"/>
    <n v="1"/>
    <n v="7"/>
  </r>
  <r>
    <x v="1"/>
    <s v="Travel_Rarely"/>
    <x v="0"/>
    <s v="Current Employees"/>
    <x v="1"/>
    <x v="2"/>
    <x v="1271"/>
    <n v="1608"/>
    <x v="0"/>
    <x v="7"/>
    <x v="2"/>
    <s v="Yes"/>
    <s v="Y"/>
    <n v="4"/>
    <n v="-2"/>
    <n v="0"/>
    <n v="44"/>
    <n v="0"/>
    <m/>
    <n v="0"/>
    <n v="1"/>
    <n v="1313"/>
    <n v="7"/>
    <x v="3"/>
    <n v="1"/>
    <n v="2"/>
    <n v="31"/>
    <n v="3"/>
    <n v="5"/>
    <n v="4"/>
    <n v="19049"/>
    <n v="3549"/>
    <n v="0"/>
    <n v="14"/>
    <n v="3"/>
    <n v="4"/>
    <n v="80"/>
    <n v="1"/>
    <n v="23"/>
    <n v="2"/>
    <n v="22"/>
    <n v="7"/>
    <n v="1"/>
    <n v="10"/>
  </r>
  <r>
    <x v="1"/>
    <s v="Travel_Rarely"/>
    <x v="1"/>
    <s v="Current Employees"/>
    <x v="1"/>
    <x v="0"/>
    <x v="1272"/>
    <n v="1827"/>
    <x v="0"/>
    <x v="3"/>
    <x v="2"/>
    <s v="Yes"/>
    <s v="Y"/>
    <n v="4"/>
    <n v="-2"/>
    <n v="0"/>
    <n v="47"/>
    <n v="0"/>
    <m/>
    <n v="0"/>
    <n v="1"/>
    <n v="1001"/>
    <n v="4"/>
    <x v="3"/>
    <n v="1"/>
    <n v="3"/>
    <n v="92"/>
    <n v="2"/>
    <n v="3"/>
    <n v="2"/>
    <n v="10333"/>
    <n v="19271"/>
    <n v="8"/>
    <n v="12"/>
    <n v="3"/>
    <n v="3"/>
    <n v="80"/>
    <n v="1"/>
    <n v="28"/>
    <n v="3"/>
    <n v="22"/>
    <n v="11"/>
    <n v="14"/>
    <n v="10"/>
  </r>
  <r>
    <x v="1"/>
    <s v="Travel_Rarely"/>
    <x v="1"/>
    <s v="Current Employees"/>
    <x v="1"/>
    <x v="2"/>
    <x v="1273"/>
    <n v="1674"/>
    <x v="0"/>
    <x v="2"/>
    <x v="2"/>
    <s v="Yes"/>
    <s v="Y"/>
    <n v="2"/>
    <n v="-2"/>
    <n v="0"/>
    <n v="49"/>
    <n v="0"/>
    <m/>
    <n v="0"/>
    <n v="1"/>
    <n v="464"/>
    <n v="16"/>
    <x v="3"/>
    <n v="1"/>
    <n v="4"/>
    <n v="74"/>
    <n v="3"/>
    <n v="1"/>
    <n v="1"/>
    <n v="2587"/>
    <n v="24941"/>
    <n v="4"/>
    <n v="16"/>
    <n v="3"/>
    <n v="2"/>
    <n v="80"/>
    <n v="1"/>
    <n v="17"/>
    <n v="2"/>
    <n v="2"/>
    <n v="2"/>
    <n v="2"/>
    <n v="2"/>
  </r>
  <r>
    <x v="1"/>
    <s v="Travel_Rarely"/>
    <x v="2"/>
    <s v="Current Employees"/>
    <x v="1"/>
    <x v="2"/>
    <x v="1274"/>
    <n v="1974"/>
    <x v="0"/>
    <x v="2"/>
    <x v="2"/>
    <s v="Yes"/>
    <s v="Y"/>
    <n v="4"/>
    <n v="-2"/>
    <n v="0"/>
    <n v="31"/>
    <n v="0"/>
    <m/>
    <n v="0"/>
    <n v="1"/>
    <n v="1276"/>
    <n v="2"/>
    <x v="1"/>
    <n v="1"/>
    <n v="4"/>
    <n v="59"/>
    <n v="1"/>
    <n v="1"/>
    <n v="4"/>
    <n v="1129"/>
    <n v="17536"/>
    <n v="1"/>
    <n v="11"/>
    <n v="3"/>
    <n v="3"/>
    <n v="80"/>
    <n v="3"/>
    <n v="1"/>
    <n v="3"/>
    <n v="1"/>
    <n v="0"/>
    <n v="0"/>
    <n v="0"/>
  </r>
  <r>
    <x v="1"/>
    <s v="Travel_Rarely"/>
    <x v="0"/>
    <s v="Current Employees"/>
    <x v="1"/>
    <x v="1"/>
    <x v="1275"/>
    <n v="1886"/>
    <x v="0"/>
    <x v="3"/>
    <x v="1"/>
    <s v="Yes"/>
    <s v="Y"/>
    <n v="2"/>
    <n v="-2"/>
    <n v="0"/>
    <n v="35"/>
    <n v="0"/>
    <m/>
    <n v="0"/>
    <n v="1"/>
    <n v="219"/>
    <n v="16"/>
    <x v="0"/>
    <n v="1"/>
    <n v="4"/>
    <n v="44"/>
    <n v="2"/>
    <n v="2"/>
    <n v="2"/>
    <n v="4788"/>
    <n v="25388"/>
    <n v="0"/>
    <n v="11"/>
    <n v="3"/>
    <n v="4"/>
    <n v="80"/>
    <n v="0"/>
    <n v="4"/>
    <n v="3"/>
    <n v="3"/>
    <n v="2"/>
    <n v="0"/>
    <n v="2"/>
  </r>
  <r>
    <x v="1"/>
    <s v="Travel_Rarely"/>
    <x v="2"/>
    <s v="Current Employees"/>
    <x v="1"/>
    <x v="0"/>
    <x v="1276"/>
    <n v="1893"/>
    <x v="0"/>
    <x v="1"/>
    <x v="1"/>
    <s v="Yes"/>
    <s v="Y"/>
    <n v="3"/>
    <n v="-2"/>
    <n v="0"/>
    <n v="26"/>
    <n v="0"/>
    <m/>
    <n v="0"/>
    <n v="1"/>
    <n v="482"/>
    <n v="1"/>
    <x v="0"/>
    <n v="1"/>
    <n v="2"/>
    <n v="90"/>
    <n v="2"/>
    <n v="1"/>
    <n v="3"/>
    <n v="2933"/>
    <n v="14908"/>
    <n v="1"/>
    <n v="13"/>
    <n v="3"/>
    <n v="3"/>
    <n v="80"/>
    <n v="1"/>
    <n v="1"/>
    <n v="2"/>
    <n v="1"/>
    <n v="0"/>
    <n v="1"/>
    <n v="0"/>
  </r>
  <r>
    <x v="1"/>
    <s v="Travel_Rarely"/>
    <x v="0"/>
    <s v="Current Employees"/>
    <x v="1"/>
    <x v="0"/>
    <x v="1277"/>
    <n v="1724"/>
    <x v="0"/>
    <x v="3"/>
    <x v="1"/>
    <s v="Yes"/>
    <s v="Y"/>
    <n v="3"/>
    <n v="-2"/>
    <n v="0"/>
    <n v="40"/>
    <n v="0"/>
    <m/>
    <n v="0"/>
    <n v="1"/>
    <n v="369"/>
    <n v="8"/>
    <x v="0"/>
    <n v="1"/>
    <n v="2"/>
    <n v="92"/>
    <n v="3"/>
    <n v="2"/>
    <n v="1"/>
    <n v="6516"/>
    <n v="5041"/>
    <n v="2"/>
    <n v="16"/>
    <n v="3"/>
    <n v="2"/>
    <n v="80"/>
    <n v="1"/>
    <n v="18"/>
    <n v="3"/>
    <n v="1"/>
    <n v="0"/>
    <n v="0"/>
    <n v="0"/>
  </r>
  <r>
    <x v="1"/>
    <s v="Travel_Rarely"/>
    <x v="2"/>
    <s v="Current Employees"/>
    <x v="1"/>
    <x v="2"/>
    <x v="1278"/>
    <n v="2009"/>
    <x v="0"/>
    <x v="4"/>
    <x v="1"/>
    <s v="Yes"/>
    <s v="Y"/>
    <n v="6"/>
    <n v="-2"/>
    <n v="0"/>
    <n v="33"/>
    <n v="0"/>
    <m/>
    <n v="0"/>
    <n v="1"/>
    <n v="501"/>
    <n v="15"/>
    <x v="0"/>
    <n v="1"/>
    <n v="2"/>
    <n v="95"/>
    <n v="3"/>
    <n v="2"/>
    <n v="4"/>
    <n v="4878"/>
    <n v="21653"/>
    <n v="0"/>
    <n v="13"/>
    <n v="3"/>
    <n v="1"/>
    <n v="80"/>
    <n v="1"/>
    <n v="10"/>
    <n v="3"/>
    <n v="9"/>
    <n v="7"/>
    <n v="8"/>
    <n v="1"/>
  </r>
  <r>
    <x v="1"/>
    <s v="Travel_Rarely"/>
    <x v="1"/>
    <s v="Current Employees"/>
    <x v="1"/>
    <x v="0"/>
    <x v="1279"/>
    <n v="1661"/>
    <x v="0"/>
    <x v="4"/>
    <x v="1"/>
    <s v="Yes"/>
    <s v="Y"/>
    <n v="3"/>
    <n v="-2"/>
    <n v="0"/>
    <n v="49"/>
    <n v="0"/>
    <m/>
    <n v="0"/>
    <n v="1"/>
    <n v="465"/>
    <n v="6"/>
    <x v="1"/>
    <n v="1"/>
    <n v="3"/>
    <n v="41"/>
    <n v="2"/>
    <n v="4"/>
    <n v="3"/>
    <n v="13966"/>
    <n v="11652"/>
    <n v="2"/>
    <n v="19"/>
    <n v="3"/>
    <n v="2"/>
    <n v="80"/>
    <n v="1"/>
    <n v="30"/>
    <n v="3"/>
    <n v="15"/>
    <n v="11"/>
    <n v="2"/>
    <n v="12"/>
  </r>
  <r>
    <x v="1"/>
    <s v="Travel_Rarely"/>
    <x v="0"/>
    <s v="Current Employees"/>
    <x v="1"/>
    <x v="0"/>
    <x v="1280"/>
    <n v="1703"/>
    <x v="0"/>
    <x v="4"/>
    <x v="1"/>
    <s v="Yes"/>
    <s v="Y"/>
    <n v="2"/>
    <n v="-2"/>
    <n v="0"/>
    <n v="44"/>
    <n v="0"/>
    <m/>
    <n v="0"/>
    <n v="1"/>
    <n v="921"/>
    <n v="2"/>
    <x v="3"/>
    <n v="1"/>
    <n v="3"/>
    <n v="96"/>
    <n v="4"/>
    <n v="3"/>
    <n v="4"/>
    <n v="7879"/>
    <n v="14810"/>
    <n v="1"/>
    <n v="19"/>
    <n v="3"/>
    <n v="2"/>
    <n v="80"/>
    <n v="1"/>
    <n v="9"/>
    <n v="3"/>
    <n v="8"/>
    <n v="7"/>
    <n v="6"/>
    <n v="7"/>
  </r>
  <r>
    <x v="1"/>
    <s v="Travel_Rarely"/>
    <x v="0"/>
    <s v="Current Employees"/>
    <x v="1"/>
    <x v="2"/>
    <x v="1281"/>
    <n v="1638"/>
    <x v="0"/>
    <x v="3"/>
    <x v="1"/>
    <s v="Yes"/>
    <s v="Y"/>
    <n v="6"/>
    <n v="-2"/>
    <n v="0"/>
    <n v="38"/>
    <n v="0"/>
    <m/>
    <n v="0"/>
    <n v="1"/>
    <n v="397"/>
    <n v="2"/>
    <x v="0"/>
    <n v="1"/>
    <n v="4"/>
    <n v="54"/>
    <n v="2"/>
    <n v="3"/>
    <n v="3"/>
    <n v="7756"/>
    <n v="14199"/>
    <n v="3"/>
    <n v="19"/>
    <n v="3"/>
    <n v="4"/>
    <n v="80"/>
    <n v="1"/>
    <n v="10"/>
    <n v="4"/>
    <n v="5"/>
    <n v="4"/>
    <n v="0"/>
    <n v="2"/>
  </r>
  <r>
    <x v="1"/>
    <s v="Travel_Rarely"/>
    <x v="0"/>
    <s v="Current Employees"/>
    <x v="1"/>
    <x v="0"/>
    <x v="1282"/>
    <n v="1614"/>
    <x v="0"/>
    <x v="3"/>
    <x v="1"/>
    <s v="Yes"/>
    <s v="Y"/>
    <n v="2"/>
    <n v="-2"/>
    <n v="0"/>
    <n v="36"/>
    <n v="0"/>
    <m/>
    <n v="0"/>
    <n v="1"/>
    <n v="559"/>
    <n v="12"/>
    <x v="2"/>
    <n v="1"/>
    <n v="3"/>
    <n v="76"/>
    <n v="3"/>
    <n v="2"/>
    <n v="3"/>
    <n v="4663"/>
    <n v="12421"/>
    <n v="9"/>
    <n v="12"/>
    <n v="3"/>
    <n v="2"/>
    <n v="80"/>
    <n v="2"/>
    <n v="7"/>
    <n v="3"/>
    <n v="3"/>
    <n v="2"/>
    <n v="1"/>
    <n v="1"/>
  </r>
  <r>
    <x v="1"/>
    <s v="Travel_Rarely"/>
    <x v="0"/>
    <s v="Current Employees"/>
    <x v="1"/>
    <x v="2"/>
    <x v="1283"/>
    <n v="1587"/>
    <x v="0"/>
    <x v="4"/>
    <x v="0"/>
    <s v="Yes"/>
    <s v="Y"/>
    <n v="4"/>
    <n v="-2"/>
    <n v="0"/>
    <n v="35"/>
    <n v="0"/>
    <m/>
    <n v="0"/>
    <n v="1"/>
    <n v="670"/>
    <n v="10"/>
    <x v="2"/>
    <n v="1"/>
    <n v="1"/>
    <n v="51"/>
    <n v="3"/>
    <n v="2"/>
    <n v="3"/>
    <n v="6142"/>
    <n v="4223"/>
    <n v="3"/>
    <n v="16"/>
    <n v="3"/>
    <n v="3"/>
    <n v="80"/>
    <n v="0"/>
    <n v="10"/>
    <n v="3"/>
    <n v="5"/>
    <n v="2"/>
    <n v="0"/>
    <n v="4"/>
  </r>
  <r>
    <x v="1"/>
    <s v="Travel_Rarely"/>
    <x v="1"/>
    <s v="Current Employees"/>
    <x v="1"/>
    <x v="2"/>
    <x v="1284"/>
    <n v="1611"/>
    <x v="0"/>
    <x v="2"/>
    <x v="0"/>
    <s v="Yes"/>
    <s v="Y"/>
    <n v="3"/>
    <n v="-2"/>
    <n v="0"/>
    <n v="45"/>
    <n v="0"/>
    <m/>
    <n v="0"/>
    <n v="1"/>
    <n v="1015"/>
    <n v="5"/>
    <x v="4"/>
    <n v="1"/>
    <n v="3"/>
    <n v="50"/>
    <n v="1"/>
    <n v="2"/>
    <n v="1"/>
    <n v="5769"/>
    <n v="23447"/>
    <n v="1"/>
    <n v="14"/>
    <n v="3"/>
    <n v="1"/>
    <n v="80"/>
    <n v="0"/>
    <n v="10"/>
    <n v="3"/>
    <n v="10"/>
    <n v="7"/>
    <n v="1"/>
    <n v="4"/>
  </r>
  <r>
    <x v="1"/>
    <s v="Travel_Rarely"/>
    <x v="1"/>
    <s v="Current Employees"/>
    <x v="1"/>
    <x v="2"/>
    <x v="1285"/>
    <n v="1980"/>
    <x v="0"/>
    <x v="3"/>
    <x v="0"/>
    <s v="Yes"/>
    <s v="Y"/>
    <n v="3"/>
    <n v="-2"/>
    <n v="0"/>
    <n v="54"/>
    <n v="0"/>
    <m/>
    <n v="0"/>
    <n v="1"/>
    <n v="157"/>
    <n v="10"/>
    <x v="3"/>
    <n v="1"/>
    <n v="3"/>
    <n v="77"/>
    <n v="3"/>
    <n v="2"/>
    <n v="1"/>
    <n v="4440"/>
    <n v="25198"/>
    <n v="6"/>
    <n v="19"/>
    <n v="3"/>
    <n v="4"/>
    <n v="80"/>
    <n v="0"/>
    <n v="9"/>
    <n v="3"/>
    <n v="5"/>
    <n v="2"/>
    <n v="1"/>
    <n v="4"/>
  </r>
  <r>
    <x v="1"/>
    <s v="Travel_Rarely"/>
    <x v="0"/>
    <s v="Current Employees"/>
    <x v="1"/>
    <x v="0"/>
    <x v="1286"/>
    <n v="1641"/>
    <x v="0"/>
    <x v="3"/>
    <x v="0"/>
    <s v="Yes"/>
    <s v="Y"/>
    <n v="2"/>
    <n v="-2"/>
    <n v="0"/>
    <n v="40"/>
    <n v="0"/>
    <m/>
    <n v="0"/>
    <n v="1"/>
    <n v="448"/>
    <n v="16"/>
    <x v="3"/>
    <n v="1"/>
    <n v="3"/>
    <n v="84"/>
    <n v="3"/>
    <n v="3"/>
    <n v="4"/>
    <n v="7945"/>
    <n v="19948"/>
    <n v="6"/>
    <n v="15"/>
    <n v="3"/>
    <n v="4"/>
    <n v="80"/>
    <n v="0"/>
    <n v="18"/>
    <n v="2"/>
    <n v="4"/>
    <n v="2"/>
    <n v="3"/>
    <n v="3"/>
  </r>
  <r>
    <x v="1"/>
    <s v="Travel_Rarely"/>
    <x v="0"/>
    <s v="Current Employees"/>
    <x v="0"/>
    <x v="3"/>
    <x v="1287"/>
    <n v="1815"/>
    <x v="0"/>
    <x v="0"/>
    <x v="2"/>
    <s v="Yes"/>
    <s v="Y"/>
    <n v="3"/>
    <n v="-2"/>
    <n v="0"/>
    <n v="41"/>
    <n v="0"/>
    <m/>
    <n v="0"/>
    <n v="1"/>
    <n v="796"/>
    <n v="4"/>
    <x v="1"/>
    <n v="1"/>
    <n v="3"/>
    <n v="81"/>
    <n v="3"/>
    <n v="3"/>
    <n v="1"/>
    <n v="10447"/>
    <n v="26458"/>
    <n v="0"/>
    <n v="13"/>
    <n v="3"/>
    <n v="4"/>
    <n v="80"/>
    <n v="1"/>
    <n v="23"/>
    <n v="4"/>
    <n v="22"/>
    <n v="14"/>
    <n v="13"/>
    <n v="5"/>
  </r>
  <r>
    <x v="1"/>
    <s v="Travel_Rarely"/>
    <x v="2"/>
    <s v="Current Employees"/>
    <x v="0"/>
    <x v="2"/>
    <x v="1288"/>
    <n v="1912"/>
    <x v="0"/>
    <x v="0"/>
    <x v="2"/>
    <s v="Yes"/>
    <s v="Y"/>
    <n v="2"/>
    <n v="-2"/>
    <n v="0"/>
    <n v="31"/>
    <n v="0"/>
    <m/>
    <n v="0"/>
    <n v="1"/>
    <n v="1079"/>
    <n v="10"/>
    <x v="0"/>
    <n v="1"/>
    <n v="3"/>
    <n v="86"/>
    <n v="3"/>
    <n v="2"/>
    <n v="4"/>
    <n v="6583"/>
    <n v="20115"/>
    <n v="2"/>
    <n v="11"/>
    <n v="3"/>
    <n v="4"/>
    <n v="80"/>
    <n v="1"/>
    <n v="8"/>
    <n v="3"/>
    <n v="5"/>
    <n v="2"/>
    <n v="1"/>
    <n v="4"/>
  </r>
  <r>
    <x v="1"/>
    <s v="Travel_Rarely"/>
    <x v="0"/>
    <s v="Current Employees"/>
    <x v="0"/>
    <x v="0"/>
    <x v="1289"/>
    <n v="1962"/>
    <x v="0"/>
    <x v="0"/>
    <x v="1"/>
    <s v="Yes"/>
    <s v="Y"/>
    <n v="2"/>
    <n v="-2"/>
    <n v="0"/>
    <n v="35"/>
    <n v="0"/>
    <m/>
    <n v="0"/>
    <n v="1"/>
    <n v="1224"/>
    <n v="7"/>
    <x v="2"/>
    <n v="1"/>
    <n v="3"/>
    <n v="55"/>
    <n v="3"/>
    <n v="2"/>
    <n v="4"/>
    <n v="5204"/>
    <n v="13586"/>
    <n v="1"/>
    <n v="11"/>
    <n v="3"/>
    <n v="4"/>
    <n v="80"/>
    <n v="0"/>
    <n v="10"/>
    <n v="3"/>
    <n v="10"/>
    <n v="8"/>
    <n v="0"/>
    <n v="9"/>
  </r>
  <r>
    <x v="1"/>
    <s v="Travel_Rarely"/>
    <x v="2"/>
    <s v="Current Employees"/>
    <x v="0"/>
    <x v="2"/>
    <x v="1290"/>
    <n v="1915"/>
    <x v="0"/>
    <x v="0"/>
    <x v="1"/>
    <s v="Yes"/>
    <s v="Y"/>
    <n v="3"/>
    <n v="-2"/>
    <n v="0"/>
    <n v="34"/>
    <n v="0"/>
    <m/>
    <n v="0"/>
    <n v="1"/>
    <n v="735"/>
    <n v="3"/>
    <x v="1"/>
    <n v="1"/>
    <n v="4"/>
    <n v="75"/>
    <n v="2"/>
    <n v="2"/>
    <n v="4"/>
    <n v="8103"/>
    <n v="16495"/>
    <n v="3"/>
    <n v="12"/>
    <n v="3"/>
    <n v="3"/>
    <n v="80"/>
    <n v="0"/>
    <n v="9"/>
    <n v="2"/>
    <n v="4"/>
    <n v="2"/>
    <n v="0"/>
    <n v="1"/>
  </r>
  <r>
    <x v="1"/>
    <s v="Travel_Rarely"/>
    <x v="0"/>
    <s v="Current Employees"/>
    <x v="0"/>
    <x v="4"/>
    <x v="1291"/>
    <n v="1880"/>
    <x v="0"/>
    <x v="0"/>
    <x v="1"/>
    <s v="Yes"/>
    <s v="Y"/>
    <n v="4"/>
    <n v="-2"/>
    <n v="0"/>
    <n v="36"/>
    <n v="0"/>
    <m/>
    <n v="0"/>
    <n v="1"/>
    <n v="1266"/>
    <n v="10"/>
    <x v="2"/>
    <n v="1"/>
    <n v="4"/>
    <n v="63"/>
    <n v="2"/>
    <n v="2"/>
    <n v="4"/>
    <n v="5673"/>
    <n v="6060"/>
    <n v="1"/>
    <n v="13"/>
    <n v="3"/>
    <n v="1"/>
    <n v="80"/>
    <n v="1"/>
    <n v="10"/>
    <n v="3"/>
    <n v="10"/>
    <n v="9"/>
    <n v="1"/>
    <n v="7"/>
  </r>
  <r>
    <x v="1"/>
    <s v="Travel_Rarely"/>
    <x v="1"/>
    <s v="Current Employees"/>
    <x v="0"/>
    <x v="2"/>
    <x v="1292"/>
    <n v="1503"/>
    <x v="0"/>
    <x v="0"/>
    <x v="1"/>
    <s v="Yes"/>
    <s v="Y"/>
    <n v="4"/>
    <n v="-2"/>
    <n v="0"/>
    <n v="47"/>
    <n v="0"/>
    <m/>
    <n v="0"/>
    <n v="1"/>
    <n v="571"/>
    <n v="14"/>
    <x v="3"/>
    <n v="1"/>
    <n v="3"/>
    <n v="78"/>
    <n v="3"/>
    <n v="2"/>
    <n v="3"/>
    <n v="4591"/>
    <n v="24200"/>
    <n v="3"/>
    <n v="17"/>
    <n v="3"/>
    <n v="3"/>
    <n v="80"/>
    <n v="1"/>
    <n v="11"/>
    <n v="2"/>
    <n v="5"/>
    <n v="4"/>
    <n v="1"/>
    <n v="2"/>
  </r>
  <r>
    <x v="1"/>
    <s v="Travel_Rarely"/>
    <x v="3"/>
    <s v="Current Employees"/>
    <x v="0"/>
    <x v="0"/>
    <x v="1293"/>
    <n v="1938"/>
    <x v="0"/>
    <x v="5"/>
    <x v="1"/>
    <s v="Yes"/>
    <s v="Y"/>
    <n v="2"/>
    <n v="-2"/>
    <n v="0"/>
    <n v="58"/>
    <n v="0"/>
    <m/>
    <n v="0"/>
    <n v="1"/>
    <n v="605"/>
    <n v="21"/>
    <x v="3"/>
    <n v="1"/>
    <n v="4"/>
    <n v="72"/>
    <n v="3"/>
    <n v="4"/>
    <n v="4"/>
    <n v="17875"/>
    <n v="11761"/>
    <n v="4"/>
    <n v="13"/>
    <n v="3"/>
    <n v="3"/>
    <n v="80"/>
    <n v="1"/>
    <n v="29"/>
    <n v="2"/>
    <n v="1"/>
    <n v="0"/>
    <n v="0"/>
    <n v="0"/>
  </r>
  <r>
    <x v="1"/>
    <s v="Travel_Rarely"/>
    <x v="4"/>
    <s v="Current Employees"/>
    <x v="0"/>
    <x v="2"/>
    <x v="1294"/>
    <n v="1445"/>
    <x v="0"/>
    <x v="0"/>
    <x v="1"/>
    <s v="Yes"/>
    <s v="Y"/>
    <n v="3"/>
    <n v="-2"/>
    <n v="0"/>
    <n v="24"/>
    <n v="0"/>
    <m/>
    <n v="0"/>
    <n v="1"/>
    <n v="1476"/>
    <n v="4"/>
    <x v="1"/>
    <n v="1"/>
    <n v="4"/>
    <n v="42"/>
    <n v="3"/>
    <n v="2"/>
    <n v="3"/>
    <n v="4162"/>
    <n v="15211"/>
    <n v="1"/>
    <n v="12"/>
    <n v="3"/>
    <n v="3"/>
    <n v="80"/>
    <n v="2"/>
    <n v="5"/>
    <n v="3"/>
    <n v="5"/>
    <n v="4"/>
    <n v="0"/>
    <n v="3"/>
  </r>
  <r>
    <x v="1"/>
    <s v="Travel_Rarely"/>
    <x v="0"/>
    <s v="Current Employees"/>
    <x v="0"/>
    <x v="3"/>
    <x v="1295"/>
    <n v="1425"/>
    <x v="0"/>
    <x v="0"/>
    <x v="0"/>
    <s v="Yes"/>
    <s v="Y"/>
    <n v="3"/>
    <n v="-2"/>
    <n v="0"/>
    <n v="36"/>
    <n v="0"/>
    <m/>
    <n v="0"/>
    <n v="1"/>
    <n v="1174"/>
    <n v="3"/>
    <x v="2"/>
    <n v="1"/>
    <n v="1"/>
    <n v="99"/>
    <n v="3"/>
    <n v="2"/>
    <n v="1"/>
    <n v="9278"/>
    <n v="20763"/>
    <n v="3"/>
    <n v="16"/>
    <n v="3"/>
    <n v="4"/>
    <n v="80"/>
    <n v="0"/>
    <n v="15"/>
    <n v="3"/>
    <n v="5"/>
    <n v="4"/>
    <n v="0"/>
    <n v="1"/>
  </r>
  <r>
    <x v="1"/>
    <s v="Non-Travel"/>
    <x v="0"/>
    <s v="Current Employees"/>
    <x v="1"/>
    <x v="0"/>
    <x v="1296"/>
    <n v="1552"/>
    <x v="1"/>
    <x v="4"/>
    <x v="2"/>
    <s v="Yes"/>
    <s v="Y"/>
    <n v="2"/>
    <n v="-2"/>
    <n v="0"/>
    <n v="40"/>
    <n v="0"/>
    <m/>
    <n v="0"/>
    <n v="1"/>
    <n v="1142"/>
    <n v="8"/>
    <x v="0"/>
    <n v="1"/>
    <n v="4"/>
    <n v="72"/>
    <n v="3"/>
    <n v="2"/>
    <n v="4"/>
    <n v="4069"/>
    <n v="8841"/>
    <n v="3"/>
    <n v="18"/>
    <n v="3"/>
    <n v="3"/>
    <n v="80"/>
    <n v="0"/>
    <n v="8"/>
    <n v="3"/>
    <n v="2"/>
    <n v="2"/>
    <n v="2"/>
    <n v="2"/>
  </r>
  <r>
    <x v="1"/>
    <s v="Non-Travel"/>
    <x v="2"/>
    <s v="Current Employees"/>
    <x v="1"/>
    <x v="2"/>
    <x v="1297"/>
    <n v="1948"/>
    <x v="1"/>
    <x v="1"/>
    <x v="2"/>
    <s v="Yes"/>
    <s v="Y"/>
    <n v="3"/>
    <n v="-2"/>
    <n v="0"/>
    <n v="31"/>
    <n v="0"/>
    <m/>
    <n v="0"/>
    <n v="1"/>
    <n v="976"/>
    <n v="3"/>
    <x v="0"/>
    <n v="1"/>
    <n v="3"/>
    <n v="48"/>
    <n v="3"/>
    <n v="1"/>
    <n v="1"/>
    <n v="3065"/>
    <n v="3995"/>
    <n v="1"/>
    <n v="13"/>
    <n v="3"/>
    <n v="4"/>
    <n v="80"/>
    <n v="1"/>
    <n v="4"/>
    <n v="4"/>
    <n v="4"/>
    <n v="2"/>
    <n v="2"/>
    <n v="3"/>
  </r>
  <r>
    <x v="1"/>
    <s v="Non-Travel"/>
    <x v="0"/>
    <s v="Current Employees"/>
    <x v="1"/>
    <x v="0"/>
    <x v="1298"/>
    <n v="1737"/>
    <x v="1"/>
    <x v="2"/>
    <x v="1"/>
    <s v="Yes"/>
    <s v="Y"/>
    <n v="2"/>
    <n v="-2"/>
    <n v="0"/>
    <n v="39"/>
    <n v="0"/>
    <m/>
    <n v="0"/>
    <n v="1"/>
    <n v="792"/>
    <n v="1"/>
    <x v="3"/>
    <n v="1"/>
    <n v="4"/>
    <n v="77"/>
    <n v="3"/>
    <n v="2"/>
    <n v="4"/>
    <n v="6472"/>
    <n v="8989"/>
    <n v="1"/>
    <n v="15"/>
    <n v="3"/>
    <n v="4"/>
    <n v="80"/>
    <n v="1"/>
    <n v="9"/>
    <n v="3"/>
    <n v="9"/>
    <n v="8"/>
    <n v="5"/>
    <n v="8"/>
  </r>
  <r>
    <x v="1"/>
    <s v="Non-Travel"/>
    <x v="2"/>
    <s v="Current Employees"/>
    <x v="0"/>
    <x v="0"/>
    <x v="1299"/>
    <n v="1774"/>
    <x v="1"/>
    <x v="0"/>
    <x v="2"/>
    <s v="Yes"/>
    <s v="Y"/>
    <n v="3"/>
    <n v="-2"/>
    <n v="0"/>
    <n v="34"/>
    <n v="0"/>
    <m/>
    <n v="0"/>
    <n v="1"/>
    <n v="1375"/>
    <n v="10"/>
    <x v="3"/>
    <n v="1"/>
    <n v="4"/>
    <n v="87"/>
    <n v="3"/>
    <n v="2"/>
    <n v="3"/>
    <n v="4001"/>
    <n v="12313"/>
    <n v="1"/>
    <n v="14"/>
    <n v="3"/>
    <n v="3"/>
    <n v="80"/>
    <n v="1"/>
    <n v="15"/>
    <n v="3"/>
    <n v="15"/>
    <n v="14"/>
    <n v="0"/>
    <n v="7"/>
  </r>
  <r>
    <x v="1"/>
    <s v="Travel_Frequently"/>
    <x v="0"/>
    <s v="Current Employees"/>
    <x v="2"/>
    <x v="5"/>
    <x v="1300"/>
    <n v="1642"/>
    <x v="1"/>
    <x v="8"/>
    <x v="1"/>
    <s v="Yes"/>
    <s v="Y"/>
    <n v="3"/>
    <n v="-2"/>
    <n v="0"/>
    <n v="44"/>
    <n v="0"/>
    <m/>
    <n v="0"/>
    <n v="1"/>
    <n v="602"/>
    <n v="1"/>
    <x v="4"/>
    <n v="1"/>
    <n v="1"/>
    <n v="37"/>
    <n v="3"/>
    <n v="2"/>
    <n v="4"/>
    <n v="5743"/>
    <n v="10503"/>
    <n v="4"/>
    <n v="11"/>
    <n v="3"/>
    <n v="3"/>
    <n v="80"/>
    <n v="0"/>
    <n v="14"/>
    <n v="3"/>
    <n v="10"/>
    <n v="7"/>
    <n v="0"/>
    <n v="2"/>
  </r>
  <r>
    <x v="1"/>
    <s v="Travel_Frequently"/>
    <x v="0"/>
    <s v="Current Employees"/>
    <x v="2"/>
    <x v="1"/>
    <x v="1301"/>
    <n v="1972"/>
    <x v="1"/>
    <x v="8"/>
    <x v="1"/>
    <s v="Yes"/>
    <s v="Y"/>
    <n v="2"/>
    <n v="-2"/>
    <n v="0"/>
    <n v="38"/>
    <n v="0"/>
    <m/>
    <n v="0"/>
    <n v="1"/>
    <n v="1444"/>
    <n v="1"/>
    <x v="2"/>
    <n v="1"/>
    <n v="4"/>
    <n v="88"/>
    <n v="3"/>
    <n v="1"/>
    <n v="2"/>
    <n v="2991"/>
    <n v="5224"/>
    <n v="0"/>
    <n v="11"/>
    <n v="3"/>
    <n v="2"/>
    <n v="80"/>
    <n v="1"/>
    <n v="7"/>
    <n v="3"/>
    <n v="6"/>
    <n v="2"/>
    <n v="1"/>
    <n v="2"/>
  </r>
  <r>
    <x v="1"/>
    <s v="Travel_Frequently"/>
    <x v="3"/>
    <s v="Current Employees"/>
    <x v="1"/>
    <x v="0"/>
    <x v="1302"/>
    <n v="1837"/>
    <x v="1"/>
    <x v="7"/>
    <x v="1"/>
    <s v="Yes"/>
    <s v="Y"/>
    <n v="3"/>
    <n v="-2"/>
    <n v="0"/>
    <n v="58"/>
    <n v="0"/>
    <m/>
    <n v="0"/>
    <n v="1"/>
    <n v="1216"/>
    <n v="15"/>
    <x v="2"/>
    <n v="1"/>
    <n v="1"/>
    <n v="87"/>
    <n v="3"/>
    <n v="4"/>
    <n v="3"/>
    <n v="15787"/>
    <n v="21624"/>
    <n v="2"/>
    <n v="14"/>
    <n v="3"/>
    <n v="2"/>
    <n v="80"/>
    <n v="0"/>
    <n v="23"/>
    <n v="3"/>
    <n v="2"/>
    <n v="2"/>
    <n v="2"/>
    <n v="2"/>
  </r>
  <r>
    <x v="1"/>
    <s v="Travel_Frequently"/>
    <x v="2"/>
    <s v="Current Employees"/>
    <x v="1"/>
    <x v="1"/>
    <x v="1303"/>
    <n v="1932"/>
    <x v="1"/>
    <x v="1"/>
    <x v="1"/>
    <s v="Yes"/>
    <s v="Y"/>
    <n v="3"/>
    <n v="-2"/>
    <n v="0"/>
    <n v="34"/>
    <n v="0"/>
    <m/>
    <n v="0"/>
    <n v="1"/>
    <n v="735"/>
    <n v="22"/>
    <x v="2"/>
    <n v="1"/>
    <n v="3"/>
    <n v="86"/>
    <n v="2"/>
    <n v="2"/>
    <n v="4"/>
    <n v="5747"/>
    <n v="26496"/>
    <n v="1"/>
    <n v="15"/>
    <n v="3"/>
    <n v="2"/>
    <n v="80"/>
    <n v="0"/>
    <n v="16"/>
    <n v="3"/>
    <n v="15"/>
    <n v="10"/>
    <n v="6"/>
    <n v="11"/>
  </r>
  <r>
    <x v="1"/>
    <s v="Travel_Frequently"/>
    <x v="0"/>
    <s v="Current Employees"/>
    <x v="1"/>
    <x v="0"/>
    <x v="1304"/>
    <n v="1594"/>
    <x v="1"/>
    <x v="2"/>
    <x v="1"/>
    <s v="Yes"/>
    <s v="Y"/>
    <n v="3"/>
    <n v="-2"/>
    <n v="0"/>
    <n v="36"/>
    <n v="0"/>
    <m/>
    <n v="0"/>
    <n v="1"/>
    <n v="1302"/>
    <n v="6"/>
    <x v="2"/>
    <n v="1"/>
    <n v="1"/>
    <n v="80"/>
    <n v="4"/>
    <n v="2"/>
    <n v="1"/>
    <n v="5562"/>
    <n v="19711"/>
    <n v="3"/>
    <n v="13"/>
    <n v="3"/>
    <n v="4"/>
    <n v="80"/>
    <n v="1"/>
    <n v="9"/>
    <n v="3"/>
    <n v="3"/>
    <n v="2"/>
    <n v="0"/>
    <n v="2"/>
  </r>
  <r>
    <x v="1"/>
    <s v="Travel_Frequently"/>
    <x v="1"/>
    <s v="Current Employees"/>
    <x v="1"/>
    <x v="2"/>
    <x v="1305"/>
    <n v="1606"/>
    <x v="1"/>
    <x v="4"/>
    <x v="1"/>
    <s v="Yes"/>
    <s v="Y"/>
    <n v="3"/>
    <n v="-2"/>
    <n v="0"/>
    <n v="50"/>
    <n v="0"/>
    <m/>
    <n v="0"/>
    <n v="1"/>
    <n v="1234"/>
    <n v="20"/>
    <x v="4"/>
    <n v="1"/>
    <n v="2"/>
    <n v="41"/>
    <n v="3"/>
    <n v="4"/>
    <n v="3"/>
    <n v="11245"/>
    <n v="20689"/>
    <n v="2"/>
    <n v="15"/>
    <n v="3"/>
    <n v="3"/>
    <n v="80"/>
    <n v="1"/>
    <n v="32"/>
    <n v="3"/>
    <n v="30"/>
    <n v="8"/>
    <n v="12"/>
    <n v="13"/>
  </r>
  <r>
    <x v="1"/>
    <s v="Travel_Frequently"/>
    <x v="0"/>
    <s v="Current Employees"/>
    <x v="1"/>
    <x v="0"/>
    <x v="1306"/>
    <n v="1547"/>
    <x v="1"/>
    <x v="4"/>
    <x v="1"/>
    <s v="Yes"/>
    <s v="Y"/>
    <n v="3"/>
    <n v="-2"/>
    <n v="0"/>
    <n v="42"/>
    <n v="0"/>
    <m/>
    <n v="0"/>
    <n v="1"/>
    <n v="288"/>
    <n v="2"/>
    <x v="3"/>
    <n v="1"/>
    <n v="4"/>
    <n v="40"/>
    <n v="3"/>
    <n v="3"/>
    <n v="4"/>
    <n v="10124"/>
    <n v="18611"/>
    <n v="2"/>
    <n v="14"/>
    <n v="3"/>
    <n v="3"/>
    <n v="80"/>
    <n v="1"/>
    <n v="24"/>
    <n v="1"/>
    <n v="20"/>
    <n v="8"/>
    <n v="13"/>
    <n v="9"/>
  </r>
  <r>
    <x v="1"/>
    <s v="Travel_Frequently"/>
    <x v="0"/>
    <s v="Current Employees"/>
    <x v="1"/>
    <x v="0"/>
    <x v="1307"/>
    <n v="2049"/>
    <x v="1"/>
    <x v="4"/>
    <x v="1"/>
    <s v="Yes"/>
    <s v="Y"/>
    <n v="2"/>
    <n v="-2"/>
    <n v="0"/>
    <n v="35"/>
    <n v="0"/>
    <m/>
    <n v="0"/>
    <n v="1"/>
    <n v="1199"/>
    <n v="18"/>
    <x v="2"/>
    <n v="1"/>
    <n v="3"/>
    <n v="80"/>
    <n v="3"/>
    <n v="2"/>
    <n v="3"/>
    <n v="5689"/>
    <n v="24594"/>
    <n v="1"/>
    <n v="14"/>
    <n v="3"/>
    <n v="4"/>
    <n v="80"/>
    <n v="2"/>
    <n v="10"/>
    <n v="4"/>
    <n v="10"/>
    <n v="2"/>
    <n v="0"/>
    <n v="2"/>
  </r>
  <r>
    <x v="1"/>
    <s v="Travel_Frequently"/>
    <x v="0"/>
    <s v="Current Employees"/>
    <x v="1"/>
    <x v="2"/>
    <x v="1308"/>
    <n v="1704"/>
    <x v="1"/>
    <x v="1"/>
    <x v="0"/>
    <s v="Yes"/>
    <s v="Y"/>
    <n v="2"/>
    <n v="-2"/>
    <n v="0"/>
    <n v="35"/>
    <n v="0"/>
    <m/>
    <n v="0"/>
    <n v="1"/>
    <n v="146"/>
    <n v="2"/>
    <x v="2"/>
    <n v="1"/>
    <n v="1"/>
    <n v="79"/>
    <n v="2"/>
    <n v="1"/>
    <n v="4"/>
    <n v="4930"/>
    <n v="13970"/>
    <n v="0"/>
    <n v="14"/>
    <n v="3"/>
    <n v="3"/>
    <n v="80"/>
    <n v="0"/>
    <n v="6"/>
    <n v="4"/>
    <n v="5"/>
    <n v="4"/>
    <n v="1"/>
    <n v="4"/>
  </r>
  <r>
    <x v="1"/>
    <s v="Travel_Frequently"/>
    <x v="0"/>
    <s v="Current Employees"/>
    <x v="1"/>
    <x v="2"/>
    <x v="1309"/>
    <n v="1496"/>
    <x v="1"/>
    <x v="3"/>
    <x v="0"/>
    <s v="Yes"/>
    <s v="Y"/>
    <n v="2"/>
    <n v="-2"/>
    <n v="0"/>
    <n v="44"/>
    <n v="0"/>
    <m/>
    <n v="0"/>
    <n v="1"/>
    <n v="1193"/>
    <n v="2"/>
    <x v="1"/>
    <n v="1"/>
    <n v="2"/>
    <n v="86"/>
    <n v="3"/>
    <n v="3"/>
    <n v="3"/>
    <n v="10209"/>
    <n v="19719"/>
    <n v="5"/>
    <n v="18"/>
    <n v="3"/>
    <n v="2"/>
    <n v="80"/>
    <n v="0"/>
    <n v="16"/>
    <n v="2"/>
    <n v="2"/>
    <n v="2"/>
    <n v="2"/>
    <n v="2"/>
  </r>
  <r>
    <x v="1"/>
    <s v="Travel_Frequently"/>
    <x v="1"/>
    <s v="Current Employees"/>
    <x v="1"/>
    <x v="2"/>
    <x v="1310"/>
    <n v="1539"/>
    <x v="1"/>
    <x v="7"/>
    <x v="0"/>
    <s v="Yes"/>
    <s v="Y"/>
    <n v="2"/>
    <n v="-2"/>
    <n v="0"/>
    <n v="50"/>
    <n v="0"/>
    <m/>
    <n v="0"/>
    <n v="1"/>
    <n v="333"/>
    <n v="22"/>
    <x v="4"/>
    <n v="1"/>
    <n v="3"/>
    <n v="88"/>
    <n v="1"/>
    <n v="4"/>
    <n v="4"/>
    <n v="14411"/>
    <n v="24450"/>
    <n v="1"/>
    <n v="13"/>
    <n v="3"/>
    <n v="4"/>
    <n v="80"/>
    <n v="0"/>
    <n v="32"/>
    <n v="3"/>
    <n v="32"/>
    <n v="6"/>
    <n v="13"/>
    <n v="9"/>
  </r>
  <r>
    <x v="1"/>
    <s v="Travel_Frequently"/>
    <x v="2"/>
    <s v="Current Employees"/>
    <x v="1"/>
    <x v="0"/>
    <x v="1311"/>
    <n v="1753"/>
    <x v="1"/>
    <x v="4"/>
    <x v="0"/>
    <s v="Yes"/>
    <s v="Y"/>
    <n v="5"/>
    <n v="-2"/>
    <n v="0"/>
    <n v="29"/>
    <n v="0"/>
    <m/>
    <n v="0"/>
    <n v="1"/>
    <n v="461"/>
    <n v="1"/>
    <x v="3"/>
    <n v="1"/>
    <n v="4"/>
    <n v="70"/>
    <n v="4"/>
    <n v="2"/>
    <n v="3"/>
    <n v="6294"/>
    <n v="23060"/>
    <n v="8"/>
    <n v="12"/>
    <n v="3"/>
    <n v="4"/>
    <n v="80"/>
    <n v="0"/>
    <n v="10"/>
    <n v="4"/>
    <n v="3"/>
    <n v="2"/>
    <n v="0"/>
    <n v="2"/>
  </r>
  <r>
    <x v="1"/>
    <s v="Travel_Frequently"/>
    <x v="2"/>
    <s v="Current Employees"/>
    <x v="0"/>
    <x v="0"/>
    <x v="1312"/>
    <n v="1927"/>
    <x v="1"/>
    <x v="0"/>
    <x v="1"/>
    <s v="Yes"/>
    <s v="Y"/>
    <n v="2"/>
    <n v="-2"/>
    <n v="0"/>
    <n v="28"/>
    <n v="0"/>
    <m/>
    <n v="0"/>
    <n v="1"/>
    <n v="783"/>
    <n v="1"/>
    <x v="0"/>
    <n v="1"/>
    <n v="3"/>
    <n v="42"/>
    <n v="2"/>
    <n v="2"/>
    <n v="4"/>
    <n v="6834"/>
    <n v="19255"/>
    <n v="1"/>
    <n v="12"/>
    <n v="3"/>
    <n v="3"/>
    <n v="80"/>
    <n v="1"/>
    <n v="7"/>
    <n v="3"/>
    <n v="7"/>
    <n v="7"/>
    <n v="0"/>
    <n v="7"/>
  </r>
  <r>
    <x v="1"/>
    <s v="Travel_Rarely"/>
    <x v="3"/>
    <s v="Current Employees"/>
    <x v="2"/>
    <x v="5"/>
    <x v="1313"/>
    <n v="1973"/>
    <x v="1"/>
    <x v="5"/>
    <x v="1"/>
    <s v="Yes"/>
    <s v="Y"/>
    <n v="0"/>
    <n v="-2"/>
    <n v="0"/>
    <n v="55"/>
    <n v="0"/>
    <m/>
    <n v="0"/>
    <n v="1"/>
    <n v="189"/>
    <n v="26"/>
    <x v="2"/>
    <n v="1"/>
    <n v="3"/>
    <n v="71"/>
    <n v="4"/>
    <n v="5"/>
    <n v="2"/>
    <n v="19636"/>
    <n v="25811"/>
    <n v="4"/>
    <n v="18"/>
    <n v="3"/>
    <n v="1"/>
    <n v="80"/>
    <n v="1"/>
    <n v="35"/>
    <n v="3"/>
    <n v="10"/>
    <n v="9"/>
    <n v="1"/>
    <n v="4"/>
  </r>
  <r>
    <x v="1"/>
    <s v="Travel_Rarely"/>
    <x v="1"/>
    <s v="Current Employees"/>
    <x v="1"/>
    <x v="2"/>
    <x v="1314"/>
    <n v="1460"/>
    <x v="1"/>
    <x v="4"/>
    <x v="2"/>
    <s v="Yes"/>
    <s v="Y"/>
    <n v="2"/>
    <n v="-2"/>
    <n v="0"/>
    <n v="45"/>
    <n v="0"/>
    <m/>
    <n v="0"/>
    <n v="1"/>
    <n v="1038"/>
    <n v="20"/>
    <x v="3"/>
    <n v="1"/>
    <n v="2"/>
    <n v="95"/>
    <n v="1"/>
    <n v="3"/>
    <n v="1"/>
    <n v="10851"/>
    <n v="19863"/>
    <n v="2"/>
    <n v="18"/>
    <n v="3"/>
    <n v="2"/>
    <n v="80"/>
    <n v="1"/>
    <n v="24"/>
    <n v="3"/>
    <n v="7"/>
    <n v="7"/>
    <n v="0"/>
    <n v="7"/>
  </r>
  <r>
    <x v="1"/>
    <s v="Travel_Rarely"/>
    <x v="1"/>
    <s v="Current Employees"/>
    <x v="1"/>
    <x v="2"/>
    <x v="1315"/>
    <n v="1789"/>
    <x v="1"/>
    <x v="7"/>
    <x v="2"/>
    <s v="Yes"/>
    <s v="Y"/>
    <n v="3"/>
    <n v="-2"/>
    <n v="0"/>
    <n v="46"/>
    <n v="0"/>
    <m/>
    <n v="0"/>
    <n v="1"/>
    <n v="734"/>
    <n v="2"/>
    <x v="2"/>
    <n v="1"/>
    <n v="3"/>
    <n v="46"/>
    <n v="3"/>
    <n v="5"/>
    <n v="4"/>
    <n v="19328"/>
    <n v="14218"/>
    <n v="7"/>
    <n v="17"/>
    <n v="3"/>
    <n v="3"/>
    <n v="80"/>
    <n v="1"/>
    <n v="24"/>
    <n v="3"/>
    <n v="2"/>
    <n v="1"/>
    <n v="2"/>
    <n v="2"/>
  </r>
  <r>
    <x v="1"/>
    <s v="Travel_Rarely"/>
    <x v="0"/>
    <s v="Current Employees"/>
    <x v="1"/>
    <x v="0"/>
    <x v="1316"/>
    <n v="1998"/>
    <x v="1"/>
    <x v="1"/>
    <x v="2"/>
    <s v="Yes"/>
    <s v="Y"/>
    <n v="3"/>
    <n v="-2"/>
    <n v="0"/>
    <n v="42"/>
    <n v="0"/>
    <m/>
    <n v="0"/>
    <n v="1"/>
    <n v="557"/>
    <n v="18"/>
    <x v="2"/>
    <n v="1"/>
    <n v="4"/>
    <n v="35"/>
    <n v="3"/>
    <n v="2"/>
    <n v="1"/>
    <n v="5410"/>
    <n v="11189"/>
    <n v="6"/>
    <n v="17"/>
    <n v="3"/>
    <n v="3"/>
    <n v="80"/>
    <n v="1"/>
    <n v="9"/>
    <n v="2"/>
    <n v="4"/>
    <n v="3"/>
    <n v="1"/>
    <n v="2"/>
  </r>
  <r>
    <x v="1"/>
    <s v="Travel_Rarely"/>
    <x v="2"/>
    <s v="Current Employees"/>
    <x v="1"/>
    <x v="1"/>
    <x v="1317"/>
    <n v="1992"/>
    <x v="1"/>
    <x v="2"/>
    <x v="2"/>
    <s v="Yes"/>
    <s v="Y"/>
    <n v="2"/>
    <n v="-2"/>
    <n v="0"/>
    <n v="25"/>
    <n v="0"/>
    <m/>
    <n v="0"/>
    <n v="1"/>
    <n v="977"/>
    <n v="2"/>
    <x v="1"/>
    <n v="1"/>
    <n v="4"/>
    <n v="57"/>
    <n v="3"/>
    <n v="1"/>
    <n v="3"/>
    <n v="3977"/>
    <n v="7298"/>
    <n v="6"/>
    <n v="19"/>
    <n v="3"/>
    <n v="3"/>
    <n v="80"/>
    <n v="1"/>
    <n v="7"/>
    <n v="2"/>
    <n v="2"/>
    <n v="2"/>
    <n v="0"/>
    <n v="2"/>
  </r>
  <r>
    <x v="1"/>
    <s v="Travel_Rarely"/>
    <x v="0"/>
    <s v="Current Employees"/>
    <x v="1"/>
    <x v="2"/>
    <x v="1318"/>
    <n v="1448"/>
    <x v="1"/>
    <x v="1"/>
    <x v="1"/>
    <s v="Yes"/>
    <s v="Y"/>
    <n v="5"/>
    <n v="-2"/>
    <n v="0"/>
    <n v="41"/>
    <n v="0"/>
    <m/>
    <n v="0"/>
    <n v="1"/>
    <n v="1283"/>
    <n v="5"/>
    <x v="4"/>
    <n v="1"/>
    <n v="2"/>
    <n v="90"/>
    <n v="4"/>
    <n v="1"/>
    <n v="3"/>
    <n v="2127"/>
    <n v="5561"/>
    <n v="2"/>
    <n v="12"/>
    <n v="3"/>
    <n v="1"/>
    <n v="80"/>
    <n v="0"/>
    <n v="7"/>
    <n v="2"/>
    <n v="4"/>
    <n v="2"/>
    <n v="0"/>
    <n v="3"/>
  </r>
  <r>
    <x v="1"/>
    <s v="Travel_Rarely"/>
    <x v="3"/>
    <s v="Current Employees"/>
    <x v="1"/>
    <x v="0"/>
    <x v="1319"/>
    <n v="1501"/>
    <x v="1"/>
    <x v="4"/>
    <x v="1"/>
    <s v="Yes"/>
    <s v="Y"/>
    <n v="2"/>
    <n v="-2"/>
    <n v="0"/>
    <n v="55"/>
    <n v="0"/>
    <m/>
    <n v="0"/>
    <n v="1"/>
    <n v="1229"/>
    <n v="4"/>
    <x v="2"/>
    <n v="1"/>
    <n v="4"/>
    <n v="30"/>
    <n v="3"/>
    <n v="2"/>
    <n v="3"/>
    <n v="4035"/>
    <n v="16143"/>
    <n v="0"/>
    <n v="16"/>
    <n v="3"/>
    <n v="2"/>
    <n v="80"/>
    <n v="0"/>
    <n v="4"/>
    <n v="3"/>
    <n v="3"/>
    <n v="2"/>
    <n v="1"/>
    <n v="2"/>
  </r>
  <r>
    <x v="1"/>
    <s v="Travel_Rarely"/>
    <x v="0"/>
    <s v="Current Employees"/>
    <x v="1"/>
    <x v="2"/>
    <x v="1320"/>
    <n v="1766"/>
    <x v="1"/>
    <x v="4"/>
    <x v="1"/>
    <s v="Yes"/>
    <s v="Y"/>
    <n v="2"/>
    <n v="-2"/>
    <n v="0"/>
    <n v="38"/>
    <n v="0"/>
    <m/>
    <n v="0"/>
    <n v="1"/>
    <n v="833"/>
    <n v="18"/>
    <x v="3"/>
    <n v="1"/>
    <n v="2"/>
    <n v="60"/>
    <n v="1"/>
    <n v="2"/>
    <n v="4"/>
    <n v="5811"/>
    <n v="24539"/>
    <n v="3"/>
    <n v="16"/>
    <n v="3"/>
    <n v="3"/>
    <n v="80"/>
    <n v="1"/>
    <n v="15"/>
    <n v="3"/>
    <n v="1"/>
    <n v="0"/>
    <n v="1"/>
    <n v="0"/>
  </r>
  <r>
    <x v="1"/>
    <s v="Travel_Rarely"/>
    <x v="2"/>
    <s v="Current Employees"/>
    <x v="1"/>
    <x v="0"/>
    <x v="1321"/>
    <n v="1549"/>
    <x v="1"/>
    <x v="2"/>
    <x v="1"/>
    <s v="Yes"/>
    <s v="Y"/>
    <n v="3"/>
    <n v="-2"/>
    <n v="0"/>
    <n v="33"/>
    <n v="0"/>
    <m/>
    <n v="0"/>
    <n v="1"/>
    <n v="589"/>
    <n v="28"/>
    <x v="2"/>
    <n v="1"/>
    <n v="2"/>
    <n v="79"/>
    <n v="3"/>
    <n v="2"/>
    <n v="3"/>
    <n v="5207"/>
    <n v="22949"/>
    <n v="1"/>
    <n v="12"/>
    <n v="3"/>
    <n v="2"/>
    <n v="80"/>
    <n v="1"/>
    <n v="15"/>
    <n v="3"/>
    <n v="15"/>
    <n v="14"/>
    <n v="5"/>
    <n v="7"/>
  </r>
  <r>
    <x v="1"/>
    <s v="Travel_Rarely"/>
    <x v="2"/>
    <s v="Current Employees"/>
    <x v="1"/>
    <x v="1"/>
    <x v="1322"/>
    <n v="2053"/>
    <x v="1"/>
    <x v="2"/>
    <x v="1"/>
    <s v="Yes"/>
    <s v="Y"/>
    <n v="2"/>
    <n v="-2"/>
    <n v="0"/>
    <n v="29"/>
    <n v="0"/>
    <m/>
    <n v="0"/>
    <n v="1"/>
    <n v="1378"/>
    <n v="13"/>
    <x v="0"/>
    <n v="1"/>
    <n v="4"/>
    <n v="46"/>
    <n v="2"/>
    <n v="2"/>
    <n v="2"/>
    <n v="4025"/>
    <n v="23679"/>
    <n v="4"/>
    <n v="13"/>
    <n v="3"/>
    <n v="1"/>
    <n v="80"/>
    <n v="1"/>
    <n v="10"/>
    <n v="3"/>
    <n v="4"/>
    <n v="3"/>
    <n v="0"/>
    <n v="3"/>
  </r>
  <r>
    <x v="1"/>
    <s v="Travel_Rarely"/>
    <x v="0"/>
    <s v="Current Employees"/>
    <x v="1"/>
    <x v="0"/>
    <x v="1323"/>
    <n v="1790"/>
    <x v="1"/>
    <x v="4"/>
    <x v="1"/>
    <s v="Yes"/>
    <s v="Y"/>
    <n v="1"/>
    <n v="-2"/>
    <n v="0"/>
    <n v="36"/>
    <n v="0"/>
    <m/>
    <n v="0"/>
    <n v="1"/>
    <n v="1383"/>
    <n v="10"/>
    <x v="3"/>
    <n v="1"/>
    <n v="4"/>
    <n v="90"/>
    <n v="3"/>
    <n v="3"/>
    <n v="1"/>
    <n v="8321"/>
    <n v="25949"/>
    <n v="7"/>
    <n v="13"/>
    <n v="3"/>
    <n v="4"/>
    <n v="80"/>
    <n v="1"/>
    <n v="15"/>
    <n v="3"/>
    <n v="12"/>
    <n v="8"/>
    <n v="5"/>
    <n v="7"/>
  </r>
  <r>
    <x v="1"/>
    <s v="Travel_Rarely"/>
    <x v="0"/>
    <s v="Current Employees"/>
    <x v="1"/>
    <x v="2"/>
    <x v="1324"/>
    <n v="2003"/>
    <x v="1"/>
    <x v="2"/>
    <x v="1"/>
    <s v="Yes"/>
    <s v="Y"/>
    <n v="3"/>
    <n v="-2"/>
    <n v="0"/>
    <n v="35"/>
    <n v="0"/>
    <m/>
    <n v="0"/>
    <n v="1"/>
    <n v="1490"/>
    <n v="11"/>
    <x v="2"/>
    <n v="1"/>
    <n v="4"/>
    <n v="43"/>
    <n v="3"/>
    <n v="1"/>
    <n v="3"/>
    <n v="2660"/>
    <n v="20232"/>
    <n v="7"/>
    <n v="11"/>
    <n v="3"/>
    <n v="3"/>
    <n v="80"/>
    <n v="1"/>
    <n v="5"/>
    <n v="3"/>
    <n v="2"/>
    <n v="2"/>
    <n v="2"/>
    <n v="2"/>
  </r>
  <r>
    <x v="1"/>
    <s v="Travel_Rarely"/>
    <x v="1"/>
    <s v="Current Employees"/>
    <x v="1"/>
    <x v="4"/>
    <x v="1325"/>
    <n v="1465"/>
    <x v="1"/>
    <x v="3"/>
    <x v="1"/>
    <s v="Yes"/>
    <s v="Y"/>
    <n v="4"/>
    <n v="-2"/>
    <n v="0"/>
    <n v="45"/>
    <n v="0"/>
    <m/>
    <n v="0"/>
    <n v="1"/>
    <n v="1448"/>
    <n v="29"/>
    <x v="3"/>
    <n v="1"/>
    <n v="4"/>
    <n v="55"/>
    <n v="3"/>
    <n v="3"/>
    <n v="4"/>
    <n v="9380"/>
    <n v="14720"/>
    <n v="4"/>
    <n v="18"/>
    <n v="3"/>
    <n v="4"/>
    <n v="80"/>
    <n v="2"/>
    <n v="10"/>
    <n v="4"/>
    <n v="3"/>
    <n v="1"/>
    <n v="1"/>
    <n v="2"/>
  </r>
  <r>
    <x v="1"/>
    <s v="Travel_Rarely"/>
    <x v="2"/>
    <s v="Current Employees"/>
    <x v="1"/>
    <x v="2"/>
    <x v="1326"/>
    <n v="1755"/>
    <x v="1"/>
    <x v="1"/>
    <x v="1"/>
    <s v="Yes"/>
    <s v="Y"/>
    <n v="3"/>
    <n v="-2"/>
    <n v="0"/>
    <n v="34"/>
    <n v="0"/>
    <m/>
    <n v="0"/>
    <n v="1"/>
    <n v="181"/>
    <n v="2"/>
    <x v="2"/>
    <n v="1"/>
    <n v="4"/>
    <n v="97"/>
    <n v="4"/>
    <n v="1"/>
    <n v="4"/>
    <n v="2932"/>
    <n v="5586"/>
    <n v="0"/>
    <n v="14"/>
    <n v="3"/>
    <n v="1"/>
    <n v="80"/>
    <n v="3"/>
    <n v="6"/>
    <n v="3"/>
    <n v="5"/>
    <n v="0"/>
    <n v="1"/>
    <n v="2"/>
  </r>
  <r>
    <x v="1"/>
    <s v="Travel_Rarely"/>
    <x v="2"/>
    <s v="Current Employees"/>
    <x v="1"/>
    <x v="2"/>
    <x v="1327"/>
    <n v="1586"/>
    <x v="1"/>
    <x v="2"/>
    <x v="0"/>
    <s v="Yes"/>
    <s v="Y"/>
    <n v="3"/>
    <n v="-2"/>
    <n v="0"/>
    <n v="29"/>
    <n v="0"/>
    <m/>
    <n v="0"/>
    <n v="1"/>
    <n v="1370"/>
    <n v="3"/>
    <x v="1"/>
    <n v="1"/>
    <n v="2"/>
    <n v="87"/>
    <n v="3"/>
    <n v="1"/>
    <n v="1"/>
    <n v="4723"/>
    <n v="16213"/>
    <n v="1"/>
    <n v="18"/>
    <n v="3"/>
    <n v="4"/>
    <n v="80"/>
    <n v="0"/>
    <n v="10"/>
    <n v="3"/>
    <n v="10"/>
    <n v="9"/>
    <n v="1"/>
    <n v="5"/>
  </r>
  <r>
    <x v="1"/>
    <s v="Travel_Rarely"/>
    <x v="0"/>
    <s v="Current Employees"/>
    <x v="1"/>
    <x v="2"/>
    <x v="1328"/>
    <n v="2020"/>
    <x v="1"/>
    <x v="1"/>
    <x v="0"/>
    <s v="Yes"/>
    <s v="Y"/>
    <n v="2"/>
    <n v="-2"/>
    <n v="0"/>
    <n v="44"/>
    <n v="0"/>
    <m/>
    <n v="0"/>
    <n v="1"/>
    <n v="1037"/>
    <n v="1"/>
    <x v="3"/>
    <n v="1"/>
    <n v="2"/>
    <n v="42"/>
    <n v="3"/>
    <n v="1"/>
    <n v="4"/>
    <n v="2436"/>
    <n v="13422"/>
    <n v="6"/>
    <n v="12"/>
    <n v="3"/>
    <n v="3"/>
    <n v="80"/>
    <n v="0"/>
    <n v="6"/>
    <n v="3"/>
    <n v="4"/>
    <n v="3"/>
    <n v="1"/>
    <n v="2"/>
  </r>
  <r>
    <x v="1"/>
    <s v="Travel_Rarely"/>
    <x v="2"/>
    <s v="Current Employees"/>
    <x v="1"/>
    <x v="0"/>
    <x v="1329"/>
    <n v="1515"/>
    <x v="1"/>
    <x v="4"/>
    <x v="0"/>
    <s v="Yes"/>
    <s v="Y"/>
    <n v="6"/>
    <n v="-2"/>
    <n v="0"/>
    <n v="33"/>
    <n v="0"/>
    <m/>
    <n v="0"/>
    <n v="1"/>
    <n v="516"/>
    <n v="8"/>
    <x v="4"/>
    <n v="1"/>
    <n v="4"/>
    <n v="69"/>
    <n v="3"/>
    <n v="2"/>
    <n v="3"/>
    <n v="6388"/>
    <n v="22049"/>
    <n v="2"/>
    <n v="17"/>
    <n v="3"/>
    <n v="1"/>
    <n v="80"/>
    <n v="0"/>
    <n v="14"/>
    <n v="3"/>
    <n v="0"/>
    <n v="0"/>
    <n v="0"/>
    <n v="0"/>
  </r>
  <r>
    <x v="1"/>
    <s v="Travel_Rarely"/>
    <x v="2"/>
    <s v="Current Employees"/>
    <x v="0"/>
    <x v="2"/>
    <x v="1330"/>
    <n v="1669"/>
    <x v="1"/>
    <x v="0"/>
    <x v="2"/>
    <s v="Yes"/>
    <s v="Y"/>
    <n v="3"/>
    <n v="-2"/>
    <n v="0"/>
    <n v="29"/>
    <n v="0"/>
    <m/>
    <n v="0"/>
    <n v="1"/>
    <n v="991"/>
    <n v="5"/>
    <x v="3"/>
    <n v="1"/>
    <n v="1"/>
    <n v="43"/>
    <n v="2"/>
    <n v="2"/>
    <n v="2"/>
    <n v="4187"/>
    <n v="3356"/>
    <n v="1"/>
    <n v="13"/>
    <n v="3"/>
    <n v="2"/>
    <n v="80"/>
    <n v="1"/>
    <n v="10"/>
    <n v="2"/>
    <n v="10"/>
    <n v="0"/>
    <n v="0"/>
    <n v="9"/>
  </r>
  <r>
    <x v="1"/>
    <s v="Travel_Rarely"/>
    <x v="1"/>
    <s v="Current Employees"/>
    <x v="0"/>
    <x v="0"/>
    <x v="1331"/>
    <n v="1732"/>
    <x v="1"/>
    <x v="0"/>
    <x v="2"/>
    <s v="Yes"/>
    <s v="Y"/>
    <n v="5"/>
    <n v="-2"/>
    <n v="0"/>
    <n v="46"/>
    <n v="0"/>
    <m/>
    <n v="0"/>
    <n v="1"/>
    <n v="1277"/>
    <n v="2"/>
    <x v="3"/>
    <n v="1"/>
    <n v="3"/>
    <n v="74"/>
    <n v="3"/>
    <n v="3"/>
    <n v="4"/>
    <n v="10368"/>
    <n v="5596"/>
    <n v="4"/>
    <n v="12"/>
    <n v="3"/>
    <n v="2"/>
    <n v="80"/>
    <n v="1"/>
    <n v="13"/>
    <n v="2"/>
    <n v="10"/>
    <n v="6"/>
    <n v="0"/>
    <n v="3"/>
  </r>
  <r>
    <x v="1"/>
    <s v="Travel_Rarely"/>
    <x v="0"/>
    <s v="Current Employees"/>
    <x v="0"/>
    <x v="3"/>
    <x v="1332"/>
    <n v="1943"/>
    <x v="1"/>
    <x v="0"/>
    <x v="2"/>
    <s v="Yes"/>
    <s v="Y"/>
    <n v="4"/>
    <n v="-2"/>
    <n v="0"/>
    <n v="42"/>
    <n v="0"/>
    <m/>
    <n v="0"/>
    <n v="1"/>
    <n v="419"/>
    <n v="12"/>
    <x v="2"/>
    <n v="1"/>
    <n v="2"/>
    <n v="77"/>
    <n v="3"/>
    <n v="2"/>
    <n v="1"/>
    <n v="5087"/>
    <n v="2900"/>
    <n v="3"/>
    <n v="12"/>
    <n v="3"/>
    <n v="3"/>
    <n v="80"/>
    <n v="2"/>
    <n v="14"/>
    <n v="3"/>
    <n v="0"/>
    <n v="0"/>
    <n v="0"/>
    <n v="0"/>
  </r>
  <r>
    <x v="1"/>
    <s v="Travel_Rarely"/>
    <x v="2"/>
    <s v="Current Employees"/>
    <x v="0"/>
    <x v="4"/>
    <x v="1333"/>
    <n v="1535"/>
    <x v="1"/>
    <x v="0"/>
    <x v="1"/>
    <s v="Yes"/>
    <s v="Y"/>
    <n v="3"/>
    <n v="-2"/>
    <n v="0"/>
    <n v="34"/>
    <n v="0"/>
    <m/>
    <n v="0"/>
    <n v="1"/>
    <n v="971"/>
    <n v="1"/>
    <x v="3"/>
    <n v="1"/>
    <n v="4"/>
    <n v="64"/>
    <n v="2"/>
    <n v="3"/>
    <n v="4"/>
    <n v="7083"/>
    <n v="12288"/>
    <n v="1"/>
    <n v="14"/>
    <n v="3"/>
    <n v="4"/>
    <n v="80"/>
    <n v="0"/>
    <n v="10"/>
    <n v="3"/>
    <n v="10"/>
    <n v="9"/>
    <n v="8"/>
    <n v="6"/>
  </r>
  <r>
    <x v="1"/>
    <s v="Travel_Rarely"/>
    <x v="1"/>
    <s v="Current Employees"/>
    <x v="0"/>
    <x v="3"/>
    <x v="1334"/>
    <n v="1591"/>
    <x v="1"/>
    <x v="5"/>
    <x v="1"/>
    <s v="Yes"/>
    <s v="Y"/>
    <n v="2"/>
    <n v="-2"/>
    <n v="0"/>
    <n v="50"/>
    <n v="0"/>
    <m/>
    <n v="0"/>
    <n v="1"/>
    <n v="264"/>
    <n v="9"/>
    <x v="3"/>
    <n v="1"/>
    <n v="3"/>
    <n v="59"/>
    <n v="3"/>
    <n v="5"/>
    <n v="1"/>
    <n v="19331"/>
    <n v="19519"/>
    <n v="4"/>
    <n v="16"/>
    <n v="3"/>
    <n v="3"/>
    <n v="80"/>
    <n v="1"/>
    <n v="27"/>
    <n v="3"/>
    <n v="1"/>
    <n v="0"/>
    <n v="0"/>
    <n v="0"/>
  </r>
  <r>
    <x v="1"/>
    <s v="Travel_Rarely"/>
    <x v="0"/>
    <s v="Current Employees"/>
    <x v="0"/>
    <x v="2"/>
    <x v="1335"/>
    <n v="1706"/>
    <x v="1"/>
    <x v="0"/>
    <x v="1"/>
    <s v="Yes"/>
    <s v="Y"/>
    <n v="3"/>
    <n v="-2"/>
    <n v="0"/>
    <n v="43"/>
    <n v="0"/>
    <m/>
    <n v="0"/>
    <n v="1"/>
    <n v="1179"/>
    <n v="2"/>
    <x v="3"/>
    <n v="1"/>
    <n v="4"/>
    <n v="73"/>
    <n v="3"/>
    <n v="2"/>
    <n v="4"/>
    <n v="7847"/>
    <n v="6069"/>
    <n v="1"/>
    <n v="17"/>
    <n v="3"/>
    <n v="1"/>
    <n v="80"/>
    <n v="1"/>
    <n v="10"/>
    <n v="3"/>
    <n v="10"/>
    <n v="9"/>
    <n v="8"/>
    <n v="8"/>
  </r>
  <r>
    <x v="1"/>
    <s v="Travel_Rarely"/>
    <x v="2"/>
    <s v="Current Employees"/>
    <x v="0"/>
    <x v="0"/>
    <x v="1336"/>
    <n v="1882"/>
    <x v="1"/>
    <x v="0"/>
    <x v="1"/>
    <s v="Yes"/>
    <s v="Y"/>
    <n v="3"/>
    <n v="-2"/>
    <n v="0"/>
    <n v="34"/>
    <n v="0"/>
    <m/>
    <n v="0"/>
    <n v="1"/>
    <n v="1480"/>
    <n v="4"/>
    <x v="3"/>
    <n v="1"/>
    <n v="3"/>
    <n v="64"/>
    <n v="3"/>
    <n v="3"/>
    <n v="4"/>
    <n v="9713"/>
    <n v="24444"/>
    <n v="2"/>
    <n v="13"/>
    <n v="3"/>
    <n v="4"/>
    <n v="80"/>
    <n v="3"/>
    <n v="9"/>
    <n v="3"/>
    <n v="5"/>
    <n v="3"/>
    <n v="1"/>
    <n v="0"/>
  </r>
  <r>
    <x v="1"/>
    <s v="Travel_Rarely"/>
    <x v="4"/>
    <s v="Current Employees"/>
    <x v="0"/>
    <x v="2"/>
    <x v="1337"/>
    <n v="2021"/>
    <x v="1"/>
    <x v="6"/>
    <x v="0"/>
    <s v="Yes"/>
    <s v="Y"/>
    <n v="6"/>
    <n v="-2"/>
    <n v="0"/>
    <n v="21"/>
    <n v="0"/>
    <m/>
    <n v="0"/>
    <n v="1"/>
    <n v="501"/>
    <n v="5"/>
    <x v="1"/>
    <n v="1"/>
    <n v="3"/>
    <n v="58"/>
    <n v="3"/>
    <n v="1"/>
    <n v="1"/>
    <n v="2380"/>
    <n v="25479"/>
    <n v="1"/>
    <n v="11"/>
    <n v="3"/>
    <n v="4"/>
    <n v="80"/>
    <n v="0"/>
    <n v="2"/>
    <n v="3"/>
    <n v="2"/>
    <n v="2"/>
    <n v="1"/>
    <n v="2"/>
  </r>
  <r>
    <x v="1"/>
    <s v="Travel_Rarely"/>
    <x v="0"/>
    <s v="Current Employees"/>
    <x v="0"/>
    <x v="0"/>
    <x v="1338"/>
    <n v="1678"/>
    <x v="1"/>
    <x v="0"/>
    <x v="0"/>
    <s v="Yes"/>
    <s v="Y"/>
    <n v="2"/>
    <n v="-2"/>
    <n v="0"/>
    <n v="41"/>
    <n v="0"/>
    <m/>
    <n v="0"/>
    <n v="1"/>
    <n v="1206"/>
    <n v="23"/>
    <x v="0"/>
    <n v="1"/>
    <n v="4"/>
    <n v="80"/>
    <n v="3"/>
    <n v="3"/>
    <n v="3"/>
    <n v="7082"/>
    <n v="11591"/>
    <n v="3"/>
    <n v="16"/>
    <n v="3"/>
    <n v="4"/>
    <n v="80"/>
    <n v="0"/>
    <n v="21"/>
    <n v="3"/>
    <n v="2"/>
    <n v="0"/>
    <n v="0"/>
    <n v="2"/>
  </r>
  <r>
    <x v="1"/>
    <s v="Non-Travel"/>
    <x v="2"/>
    <s v="Current Employees"/>
    <x v="1"/>
    <x v="2"/>
    <x v="1339"/>
    <n v="1979"/>
    <x v="0"/>
    <x v="7"/>
    <x v="1"/>
    <s v="No"/>
    <s v="Y"/>
    <n v="2"/>
    <n v="-2"/>
    <n v="0"/>
    <n v="31"/>
    <n v="0"/>
    <m/>
    <n v="0"/>
    <n v="1"/>
    <n v="697"/>
    <n v="10"/>
    <x v="3"/>
    <n v="1"/>
    <n v="3"/>
    <n v="40"/>
    <n v="3"/>
    <n v="3"/>
    <n v="3"/>
    <n v="11031"/>
    <n v="26862"/>
    <n v="4"/>
    <n v="20"/>
    <n v="4"/>
    <n v="3"/>
    <n v="80"/>
    <n v="1"/>
    <n v="13"/>
    <n v="4"/>
    <n v="11"/>
    <n v="7"/>
    <n v="4"/>
    <n v="8"/>
  </r>
  <r>
    <x v="1"/>
    <s v="Non-Travel"/>
    <x v="1"/>
    <s v="Current Employees"/>
    <x v="0"/>
    <x v="0"/>
    <x v="1340"/>
    <n v="1845"/>
    <x v="0"/>
    <x v="0"/>
    <x v="1"/>
    <s v="No"/>
    <s v="Y"/>
    <n v="3"/>
    <n v="-2"/>
    <n v="0"/>
    <n v="45"/>
    <n v="0"/>
    <m/>
    <n v="0"/>
    <n v="1"/>
    <n v="589"/>
    <n v="2"/>
    <x v="2"/>
    <n v="1"/>
    <n v="3"/>
    <n v="67"/>
    <n v="3"/>
    <n v="2"/>
    <n v="3"/>
    <n v="5154"/>
    <n v="19665"/>
    <n v="4"/>
    <n v="22"/>
    <n v="4"/>
    <n v="2"/>
    <n v="80"/>
    <n v="2"/>
    <n v="10"/>
    <n v="4"/>
    <n v="8"/>
    <n v="7"/>
    <n v="5"/>
    <n v="7"/>
  </r>
  <r>
    <x v="1"/>
    <s v="Travel_Frequently"/>
    <x v="1"/>
    <s v="Current Employees"/>
    <x v="1"/>
    <x v="2"/>
    <x v="1341"/>
    <n v="1520"/>
    <x v="0"/>
    <x v="5"/>
    <x v="2"/>
    <s v="No"/>
    <s v="Y"/>
    <n v="2"/>
    <n v="-2"/>
    <n v="0"/>
    <n v="54"/>
    <n v="0"/>
    <m/>
    <n v="0"/>
    <n v="1"/>
    <n v="1050"/>
    <n v="11"/>
    <x v="2"/>
    <n v="1"/>
    <n v="2"/>
    <n v="87"/>
    <n v="3"/>
    <n v="4"/>
    <n v="4"/>
    <n v="16032"/>
    <n v="24456"/>
    <n v="3"/>
    <n v="20"/>
    <n v="4"/>
    <n v="1"/>
    <n v="80"/>
    <n v="1"/>
    <n v="26"/>
    <n v="3"/>
    <n v="14"/>
    <n v="9"/>
    <n v="1"/>
    <n v="12"/>
  </r>
  <r>
    <x v="1"/>
    <s v="Travel_Frequently"/>
    <x v="0"/>
    <s v="Current Employees"/>
    <x v="1"/>
    <x v="2"/>
    <x v="1342"/>
    <n v="1675"/>
    <x v="0"/>
    <x v="2"/>
    <x v="0"/>
    <s v="No"/>
    <s v="Y"/>
    <n v="3"/>
    <n v="-2"/>
    <n v="0"/>
    <n v="38"/>
    <n v="0"/>
    <m/>
    <n v="0"/>
    <n v="1"/>
    <n v="148"/>
    <n v="2"/>
    <x v="3"/>
    <n v="1"/>
    <n v="4"/>
    <n v="42"/>
    <n v="2"/>
    <n v="1"/>
    <n v="2"/>
    <n v="2440"/>
    <n v="23826"/>
    <n v="1"/>
    <n v="22"/>
    <n v="4"/>
    <n v="2"/>
    <n v="80"/>
    <n v="0"/>
    <n v="4"/>
    <n v="3"/>
    <n v="4"/>
    <n v="3"/>
    <n v="3"/>
    <n v="3"/>
  </r>
  <r>
    <x v="1"/>
    <s v="Travel_Frequently"/>
    <x v="2"/>
    <s v="Current Employees"/>
    <x v="1"/>
    <x v="4"/>
    <x v="1343"/>
    <n v="1736"/>
    <x v="0"/>
    <x v="3"/>
    <x v="0"/>
    <s v="No"/>
    <s v="Y"/>
    <n v="3"/>
    <n v="-2"/>
    <n v="0"/>
    <n v="31"/>
    <n v="0"/>
    <m/>
    <n v="0"/>
    <n v="1"/>
    <n v="163"/>
    <n v="24"/>
    <x v="1"/>
    <n v="1"/>
    <n v="4"/>
    <n v="30"/>
    <n v="3"/>
    <n v="2"/>
    <n v="4"/>
    <n v="5238"/>
    <n v="6670"/>
    <n v="2"/>
    <n v="20"/>
    <n v="4"/>
    <n v="4"/>
    <n v="80"/>
    <n v="0"/>
    <n v="9"/>
    <n v="2"/>
    <n v="5"/>
    <n v="4"/>
    <n v="1"/>
    <n v="4"/>
  </r>
  <r>
    <x v="1"/>
    <s v="Travel_Rarely"/>
    <x v="1"/>
    <s v="Current Employees"/>
    <x v="2"/>
    <x v="0"/>
    <x v="1344"/>
    <n v="1744"/>
    <x v="0"/>
    <x v="8"/>
    <x v="1"/>
    <s v="No"/>
    <s v="Y"/>
    <n v="2"/>
    <n v="-2"/>
    <n v="0"/>
    <n v="45"/>
    <n v="0"/>
    <m/>
    <n v="0"/>
    <n v="1"/>
    <n v="176"/>
    <n v="4"/>
    <x v="3"/>
    <n v="1"/>
    <n v="3"/>
    <n v="56"/>
    <n v="1"/>
    <n v="3"/>
    <n v="3"/>
    <n v="9756"/>
    <n v="6595"/>
    <n v="4"/>
    <n v="21"/>
    <n v="4"/>
    <n v="3"/>
    <n v="80"/>
    <n v="2"/>
    <n v="9"/>
    <n v="4"/>
    <n v="5"/>
    <n v="0"/>
    <n v="0"/>
    <n v="3"/>
  </r>
  <r>
    <x v="1"/>
    <s v="Travel_Rarely"/>
    <x v="2"/>
    <s v="Current Employees"/>
    <x v="1"/>
    <x v="2"/>
    <x v="1345"/>
    <n v="1622"/>
    <x v="0"/>
    <x v="3"/>
    <x v="2"/>
    <s v="No"/>
    <s v="Y"/>
    <n v="5"/>
    <n v="-2"/>
    <n v="0"/>
    <n v="28"/>
    <n v="0"/>
    <m/>
    <n v="0"/>
    <n v="1"/>
    <n v="580"/>
    <n v="27"/>
    <x v="3"/>
    <n v="1"/>
    <n v="2"/>
    <n v="39"/>
    <n v="1"/>
    <n v="2"/>
    <n v="1"/>
    <n v="4877"/>
    <n v="20460"/>
    <n v="0"/>
    <n v="21"/>
    <n v="4"/>
    <n v="2"/>
    <n v="80"/>
    <n v="1"/>
    <n v="6"/>
    <n v="2"/>
    <n v="5"/>
    <n v="3"/>
    <n v="0"/>
    <n v="0"/>
  </r>
  <r>
    <x v="1"/>
    <s v="Travel_Rarely"/>
    <x v="2"/>
    <s v="Current Employees"/>
    <x v="1"/>
    <x v="0"/>
    <x v="1346"/>
    <n v="1581"/>
    <x v="0"/>
    <x v="1"/>
    <x v="1"/>
    <s v="No"/>
    <s v="Y"/>
    <n v="5"/>
    <n v="-2"/>
    <n v="0"/>
    <n v="26"/>
    <n v="0"/>
    <m/>
    <n v="0"/>
    <n v="1"/>
    <n v="474"/>
    <n v="3"/>
    <x v="3"/>
    <n v="1"/>
    <n v="1"/>
    <n v="89"/>
    <n v="3"/>
    <n v="1"/>
    <n v="4"/>
    <n v="2061"/>
    <n v="11133"/>
    <n v="1"/>
    <n v="21"/>
    <n v="4"/>
    <n v="1"/>
    <n v="80"/>
    <n v="0"/>
    <n v="1"/>
    <n v="3"/>
    <n v="1"/>
    <n v="0"/>
    <n v="0"/>
    <n v="0"/>
  </r>
  <r>
    <x v="1"/>
    <s v="Travel_Rarely"/>
    <x v="0"/>
    <s v="Current Employees"/>
    <x v="1"/>
    <x v="0"/>
    <x v="1347"/>
    <n v="2034"/>
    <x v="0"/>
    <x v="3"/>
    <x v="1"/>
    <s v="No"/>
    <s v="Y"/>
    <n v="3"/>
    <n v="-2"/>
    <n v="0"/>
    <n v="41"/>
    <n v="0"/>
    <m/>
    <n v="0"/>
    <n v="1"/>
    <n v="582"/>
    <n v="28"/>
    <x v="2"/>
    <n v="1"/>
    <n v="1"/>
    <n v="60"/>
    <n v="2"/>
    <n v="4"/>
    <n v="2"/>
    <n v="13570"/>
    <n v="5640"/>
    <n v="0"/>
    <n v="23"/>
    <n v="4"/>
    <n v="3"/>
    <n v="80"/>
    <n v="1"/>
    <n v="21"/>
    <n v="3"/>
    <n v="20"/>
    <n v="7"/>
    <n v="0"/>
    <n v="10"/>
  </r>
  <r>
    <x v="1"/>
    <s v="Travel_Rarely"/>
    <x v="3"/>
    <s v="Current Employees"/>
    <x v="1"/>
    <x v="0"/>
    <x v="1348"/>
    <n v="1441"/>
    <x v="0"/>
    <x v="1"/>
    <x v="1"/>
    <s v="No"/>
    <s v="Y"/>
    <n v="3"/>
    <n v="-2"/>
    <n v="0"/>
    <n v="56"/>
    <n v="0"/>
    <m/>
    <n v="0"/>
    <n v="1"/>
    <n v="1255"/>
    <n v="1"/>
    <x v="0"/>
    <n v="1"/>
    <n v="1"/>
    <n v="90"/>
    <n v="3"/>
    <n v="1"/>
    <n v="1"/>
    <n v="2066"/>
    <n v="10494"/>
    <n v="2"/>
    <n v="22"/>
    <n v="4"/>
    <n v="4"/>
    <n v="80"/>
    <n v="1"/>
    <n v="5"/>
    <n v="4"/>
    <n v="3"/>
    <n v="2"/>
    <n v="1"/>
    <n v="0"/>
  </r>
  <r>
    <x v="1"/>
    <s v="Travel_Rarely"/>
    <x v="1"/>
    <s v="Current Employees"/>
    <x v="1"/>
    <x v="2"/>
    <x v="1349"/>
    <n v="1665"/>
    <x v="0"/>
    <x v="5"/>
    <x v="1"/>
    <s v="No"/>
    <s v="Y"/>
    <n v="6"/>
    <n v="-2"/>
    <n v="0"/>
    <n v="54"/>
    <n v="0"/>
    <m/>
    <n v="0"/>
    <n v="1"/>
    <n v="584"/>
    <n v="22"/>
    <x v="4"/>
    <n v="1"/>
    <n v="2"/>
    <n v="91"/>
    <n v="3"/>
    <n v="4"/>
    <n v="3"/>
    <n v="17426"/>
    <n v="18685"/>
    <n v="3"/>
    <n v="25"/>
    <n v="4"/>
    <n v="3"/>
    <n v="80"/>
    <n v="1"/>
    <n v="36"/>
    <n v="3"/>
    <n v="10"/>
    <n v="8"/>
    <n v="4"/>
    <n v="7"/>
  </r>
  <r>
    <x v="1"/>
    <s v="Travel_Rarely"/>
    <x v="1"/>
    <s v="Current Employees"/>
    <x v="1"/>
    <x v="2"/>
    <x v="1350"/>
    <n v="1509"/>
    <x v="0"/>
    <x v="2"/>
    <x v="1"/>
    <s v="No"/>
    <s v="Y"/>
    <n v="3"/>
    <n v="-2"/>
    <n v="0"/>
    <n v="49"/>
    <n v="0"/>
    <m/>
    <n v="0"/>
    <n v="1"/>
    <n v="271"/>
    <n v="3"/>
    <x v="0"/>
    <n v="1"/>
    <n v="3"/>
    <n v="43"/>
    <n v="2"/>
    <n v="2"/>
    <n v="1"/>
    <n v="4789"/>
    <n v="23070"/>
    <n v="4"/>
    <n v="25"/>
    <n v="4"/>
    <n v="1"/>
    <n v="80"/>
    <n v="1"/>
    <n v="10"/>
    <n v="3"/>
    <n v="3"/>
    <n v="2"/>
    <n v="1"/>
    <n v="2"/>
  </r>
  <r>
    <x v="1"/>
    <s v="Travel_Rarely"/>
    <x v="2"/>
    <s v="Current Employees"/>
    <x v="1"/>
    <x v="2"/>
    <x v="1351"/>
    <n v="1834"/>
    <x v="0"/>
    <x v="1"/>
    <x v="1"/>
    <s v="No"/>
    <s v="Y"/>
    <n v="3"/>
    <n v="-2"/>
    <n v="0"/>
    <n v="28"/>
    <n v="0"/>
    <m/>
    <n v="0"/>
    <n v="1"/>
    <n v="1217"/>
    <n v="1"/>
    <x v="3"/>
    <n v="1"/>
    <n v="3"/>
    <n v="67"/>
    <n v="3"/>
    <n v="1"/>
    <n v="1"/>
    <n v="3591"/>
    <n v="12719"/>
    <n v="1"/>
    <n v="25"/>
    <n v="4"/>
    <n v="3"/>
    <n v="80"/>
    <n v="1"/>
    <n v="3"/>
    <n v="3"/>
    <n v="3"/>
    <n v="2"/>
    <n v="1"/>
    <n v="2"/>
  </r>
  <r>
    <x v="1"/>
    <s v="Travel_Rarely"/>
    <x v="2"/>
    <s v="Current Employees"/>
    <x v="0"/>
    <x v="2"/>
    <x v="1352"/>
    <n v="1864"/>
    <x v="0"/>
    <x v="6"/>
    <x v="1"/>
    <s v="No"/>
    <s v="Y"/>
    <n v="5"/>
    <n v="-2"/>
    <n v="0"/>
    <n v="27"/>
    <n v="0"/>
    <m/>
    <n v="0"/>
    <n v="1"/>
    <n v="728"/>
    <n v="23"/>
    <x v="1"/>
    <n v="1"/>
    <n v="2"/>
    <n v="36"/>
    <n v="2"/>
    <n v="2"/>
    <n v="3"/>
    <n v="3540"/>
    <n v="7018"/>
    <n v="1"/>
    <n v="21"/>
    <n v="4"/>
    <n v="4"/>
    <n v="80"/>
    <n v="1"/>
    <n v="9"/>
    <n v="3"/>
    <n v="9"/>
    <n v="8"/>
    <n v="5"/>
    <n v="8"/>
  </r>
  <r>
    <x v="1"/>
    <s v="Travel_Rarely"/>
    <x v="0"/>
    <s v="Current Employees"/>
    <x v="0"/>
    <x v="3"/>
    <x v="1353"/>
    <n v="1909"/>
    <x v="0"/>
    <x v="0"/>
    <x v="1"/>
    <s v="No"/>
    <s v="Y"/>
    <n v="3"/>
    <n v="-2"/>
    <n v="0"/>
    <n v="41"/>
    <n v="0"/>
    <m/>
    <n v="0"/>
    <n v="1"/>
    <n v="337"/>
    <n v="8"/>
    <x v="3"/>
    <n v="1"/>
    <n v="3"/>
    <n v="54"/>
    <n v="3"/>
    <n v="2"/>
    <n v="1"/>
    <n v="4393"/>
    <n v="26841"/>
    <n v="5"/>
    <n v="21"/>
    <n v="4"/>
    <n v="3"/>
    <n v="80"/>
    <n v="1"/>
    <n v="14"/>
    <n v="3"/>
    <n v="5"/>
    <n v="4"/>
    <n v="1"/>
    <n v="4"/>
  </r>
  <r>
    <x v="1"/>
    <s v="Travel_Rarely"/>
    <x v="0"/>
    <s v="Current Employees"/>
    <x v="0"/>
    <x v="0"/>
    <x v="1354"/>
    <n v="1554"/>
    <x v="0"/>
    <x v="6"/>
    <x v="1"/>
    <s v="No"/>
    <s v="Y"/>
    <n v="5"/>
    <n v="-2"/>
    <n v="0"/>
    <n v="35"/>
    <n v="0"/>
    <m/>
    <n v="0"/>
    <n v="1"/>
    <n v="1402"/>
    <n v="28"/>
    <x v="2"/>
    <n v="1"/>
    <n v="2"/>
    <n v="98"/>
    <n v="2"/>
    <n v="1"/>
    <n v="3"/>
    <n v="2430"/>
    <n v="26204"/>
    <n v="0"/>
    <n v="23"/>
    <n v="4"/>
    <n v="1"/>
    <n v="80"/>
    <n v="2"/>
    <n v="6"/>
    <n v="3"/>
    <n v="5"/>
    <n v="3"/>
    <n v="4"/>
    <n v="2"/>
  </r>
  <r>
    <x v="1"/>
    <s v="Travel_Rarely"/>
    <x v="2"/>
    <s v="Current Employees"/>
    <x v="0"/>
    <x v="3"/>
    <x v="1355"/>
    <n v="2035"/>
    <x v="0"/>
    <x v="0"/>
    <x v="1"/>
    <s v="No"/>
    <s v="Y"/>
    <n v="2"/>
    <n v="-2"/>
    <n v="0"/>
    <n v="34"/>
    <n v="0"/>
    <m/>
    <n v="0"/>
    <n v="1"/>
    <n v="704"/>
    <n v="28"/>
    <x v="3"/>
    <n v="1"/>
    <n v="4"/>
    <n v="95"/>
    <n v="2"/>
    <n v="2"/>
    <n v="1"/>
    <n v="6712"/>
    <n v="8978"/>
    <n v="1"/>
    <n v="21"/>
    <n v="4"/>
    <n v="4"/>
    <n v="80"/>
    <n v="2"/>
    <n v="8"/>
    <n v="3"/>
    <n v="8"/>
    <n v="7"/>
    <n v="1"/>
    <n v="7"/>
  </r>
  <r>
    <x v="1"/>
    <s v="Non-Travel"/>
    <x v="3"/>
    <s v="Current Employees"/>
    <x v="1"/>
    <x v="0"/>
    <x v="1356"/>
    <n v="2026"/>
    <x v="1"/>
    <x v="4"/>
    <x v="2"/>
    <s v="No"/>
    <s v="Y"/>
    <n v="2"/>
    <n v="-2"/>
    <n v="0"/>
    <n v="56"/>
    <n v="0"/>
    <m/>
    <n v="0"/>
    <n v="1"/>
    <n v="667"/>
    <n v="1"/>
    <x v="2"/>
    <n v="1"/>
    <n v="3"/>
    <n v="57"/>
    <n v="3"/>
    <n v="2"/>
    <n v="3"/>
    <n v="6306"/>
    <n v="26236"/>
    <n v="1"/>
    <n v="21"/>
    <n v="4"/>
    <n v="1"/>
    <n v="80"/>
    <n v="1"/>
    <n v="13"/>
    <n v="2"/>
    <n v="13"/>
    <n v="12"/>
    <n v="1"/>
    <n v="9"/>
  </r>
  <r>
    <x v="1"/>
    <s v="Non-Travel"/>
    <x v="0"/>
    <s v="Current Employees"/>
    <x v="1"/>
    <x v="0"/>
    <x v="1357"/>
    <n v="1949"/>
    <x v="1"/>
    <x v="2"/>
    <x v="1"/>
    <s v="No"/>
    <s v="Y"/>
    <n v="3"/>
    <n v="-2"/>
    <n v="0"/>
    <n v="36"/>
    <n v="0"/>
    <m/>
    <n v="0"/>
    <n v="1"/>
    <n v="1351"/>
    <n v="9"/>
    <x v="2"/>
    <n v="1"/>
    <n v="1"/>
    <n v="66"/>
    <n v="4"/>
    <n v="1"/>
    <n v="2"/>
    <n v="2810"/>
    <n v="9238"/>
    <n v="1"/>
    <n v="22"/>
    <n v="4"/>
    <n v="2"/>
    <n v="80"/>
    <n v="0"/>
    <n v="5"/>
    <n v="3"/>
    <n v="5"/>
    <n v="4"/>
    <n v="0"/>
    <n v="2"/>
  </r>
  <r>
    <x v="1"/>
    <s v="Non-Travel"/>
    <x v="1"/>
    <s v="Current Employees"/>
    <x v="1"/>
    <x v="0"/>
    <x v="1358"/>
    <n v="1712"/>
    <x v="1"/>
    <x v="4"/>
    <x v="1"/>
    <s v="No"/>
    <s v="Y"/>
    <n v="3"/>
    <n v="-2"/>
    <n v="0"/>
    <n v="45"/>
    <n v="0"/>
    <m/>
    <n v="0"/>
    <n v="1"/>
    <n v="1238"/>
    <n v="1"/>
    <x v="1"/>
    <n v="1"/>
    <n v="3"/>
    <n v="74"/>
    <n v="2"/>
    <n v="3"/>
    <n v="3"/>
    <n v="10748"/>
    <n v="3395"/>
    <n v="3"/>
    <n v="23"/>
    <n v="4"/>
    <n v="4"/>
    <n v="80"/>
    <n v="1"/>
    <n v="25"/>
    <n v="2"/>
    <n v="23"/>
    <n v="15"/>
    <n v="14"/>
    <n v="4"/>
  </r>
  <r>
    <x v="1"/>
    <s v="Non-Travel"/>
    <x v="0"/>
    <s v="Current Employees"/>
    <x v="1"/>
    <x v="4"/>
    <x v="1359"/>
    <n v="1854"/>
    <x v="1"/>
    <x v="1"/>
    <x v="1"/>
    <s v="No"/>
    <s v="Y"/>
    <n v="1"/>
    <n v="-2"/>
    <n v="0"/>
    <n v="42"/>
    <n v="0"/>
    <m/>
    <n v="0"/>
    <n v="1"/>
    <n v="355"/>
    <n v="10"/>
    <x v="2"/>
    <n v="1"/>
    <n v="4"/>
    <n v="38"/>
    <n v="3"/>
    <n v="1"/>
    <n v="4"/>
    <n v="2936"/>
    <n v="6161"/>
    <n v="3"/>
    <n v="22"/>
    <n v="4"/>
    <n v="2"/>
    <n v="80"/>
    <n v="2"/>
    <n v="10"/>
    <n v="2"/>
    <n v="6"/>
    <n v="3"/>
    <n v="3"/>
    <n v="3"/>
  </r>
  <r>
    <x v="1"/>
    <s v="Non-Travel"/>
    <x v="2"/>
    <s v="Current Employees"/>
    <x v="1"/>
    <x v="2"/>
    <x v="1360"/>
    <n v="1693"/>
    <x v="1"/>
    <x v="2"/>
    <x v="0"/>
    <s v="No"/>
    <s v="Y"/>
    <n v="5"/>
    <n v="-2"/>
    <n v="0"/>
    <n v="26"/>
    <n v="0"/>
    <m/>
    <n v="0"/>
    <n v="1"/>
    <n v="786"/>
    <n v="7"/>
    <x v="3"/>
    <n v="1"/>
    <n v="4"/>
    <n v="76"/>
    <n v="3"/>
    <n v="1"/>
    <n v="4"/>
    <n v="2570"/>
    <n v="11925"/>
    <n v="1"/>
    <n v="20"/>
    <n v="4"/>
    <n v="3"/>
    <n v="80"/>
    <n v="0"/>
    <n v="7"/>
    <n v="3"/>
    <n v="7"/>
    <n v="7"/>
    <n v="5"/>
    <n v="7"/>
  </r>
  <r>
    <x v="1"/>
    <s v="Non-Travel"/>
    <x v="3"/>
    <s v="Current Employees"/>
    <x v="0"/>
    <x v="2"/>
    <x v="1361"/>
    <n v="1824"/>
    <x v="1"/>
    <x v="5"/>
    <x v="2"/>
    <s v="No"/>
    <s v="Y"/>
    <n v="0"/>
    <n v="-2"/>
    <n v="0"/>
    <n v="58"/>
    <n v="0"/>
    <m/>
    <n v="0"/>
    <n v="1"/>
    <n v="350"/>
    <n v="2"/>
    <x v="3"/>
    <n v="1"/>
    <n v="2"/>
    <n v="52"/>
    <n v="3"/>
    <n v="4"/>
    <n v="2"/>
    <n v="16291"/>
    <n v="22577"/>
    <n v="4"/>
    <n v="22"/>
    <n v="4"/>
    <n v="4"/>
    <n v="80"/>
    <n v="1"/>
    <n v="37"/>
    <n v="2"/>
    <n v="16"/>
    <n v="9"/>
    <n v="14"/>
    <n v="14"/>
  </r>
  <r>
    <x v="1"/>
    <s v="Non-Travel"/>
    <x v="0"/>
    <s v="Current Employees"/>
    <x v="0"/>
    <x v="3"/>
    <x v="1362"/>
    <n v="2036"/>
    <x v="1"/>
    <x v="0"/>
    <x v="2"/>
    <s v="No"/>
    <s v="Y"/>
    <n v="4"/>
    <n v="-2"/>
    <n v="0"/>
    <n v="36"/>
    <n v="0"/>
    <m/>
    <n v="0"/>
    <n v="1"/>
    <n v="301"/>
    <n v="15"/>
    <x v="2"/>
    <n v="1"/>
    <n v="4"/>
    <n v="88"/>
    <n v="1"/>
    <n v="2"/>
    <n v="1"/>
    <n v="5406"/>
    <n v="10436"/>
    <n v="1"/>
    <n v="24"/>
    <n v="4"/>
    <n v="1"/>
    <n v="80"/>
    <n v="1"/>
    <n v="15"/>
    <n v="2"/>
    <n v="15"/>
    <n v="12"/>
    <n v="11"/>
    <n v="11"/>
  </r>
  <r>
    <x v="1"/>
    <s v="Travel_Frequently"/>
    <x v="0"/>
    <s v="Current Employees"/>
    <x v="2"/>
    <x v="5"/>
    <x v="1363"/>
    <n v="1890"/>
    <x v="1"/>
    <x v="8"/>
    <x v="0"/>
    <s v="No"/>
    <s v="Y"/>
    <n v="2"/>
    <n v="-2"/>
    <n v="0"/>
    <n v="36"/>
    <n v="0"/>
    <m/>
    <n v="0"/>
    <n v="1"/>
    <n v="1213"/>
    <n v="2"/>
    <x v="1"/>
    <n v="1"/>
    <n v="2"/>
    <n v="94"/>
    <n v="2"/>
    <n v="2"/>
    <n v="4"/>
    <n v="3886"/>
    <n v="4223"/>
    <n v="1"/>
    <n v="21"/>
    <n v="4"/>
    <n v="4"/>
    <n v="80"/>
    <n v="0"/>
    <n v="10"/>
    <n v="2"/>
    <n v="10"/>
    <n v="1"/>
    <n v="0"/>
    <n v="8"/>
  </r>
  <r>
    <x v="1"/>
    <s v="Travel_Frequently"/>
    <x v="2"/>
    <s v="Current Employees"/>
    <x v="1"/>
    <x v="0"/>
    <x v="1364"/>
    <n v="1970"/>
    <x v="1"/>
    <x v="4"/>
    <x v="2"/>
    <s v="No"/>
    <s v="Y"/>
    <n v="2"/>
    <n v="-2"/>
    <n v="0"/>
    <n v="33"/>
    <n v="0"/>
    <m/>
    <n v="0"/>
    <n v="1"/>
    <n v="1303"/>
    <n v="7"/>
    <x v="0"/>
    <n v="1"/>
    <n v="4"/>
    <n v="36"/>
    <n v="3"/>
    <n v="2"/>
    <n v="3"/>
    <n v="5968"/>
    <n v="18079"/>
    <n v="1"/>
    <n v="20"/>
    <n v="4"/>
    <n v="3"/>
    <n v="80"/>
    <n v="3"/>
    <n v="9"/>
    <n v="3"/>
    <n v="9"/>
    <n v="7"/>
    <n v="2"/>
    <n v="8"/>
  </r>
  <r>
    <x v="1"/>
    <s v="Travel_Frequently"/>
    <x v="2"/>
    <s v="Current Employees"/>
    <x v="1"/>
    <x v="0"/>
    <x v="1365"/>
    <n v="1956"/>
    <x v="1"/>
    <x v="1"/>
    <x v="1"/>
    <s v="No"/>
    <s v="Y"/>
    <n v="6"/>
    <n v="-2"/>
    <n v="0"/>
    <n v="31"/>
    <n v="0"/>
    <m/>
    <n v="0"/>
    <n v="1"/>
    <n v="1125"/>
    <n v="1"/>
    <x v="3"/>
    <n v="1"/>
    <n v="4"/>
    <n v="48"/>
    <n v="1"/>
    <n v="2"/>
    <n v="1"/>
    <n v="5003"/>
    <n v="5771"/>
    <n v="1"/>
    <n v="21"/>
    <n v="4"/>
    <n v="2"/>
    <n v="80"/>
    <n v="0"/>
    <n v="10"/>
    <n v="3"/>
    <n v="10"/>
    <n v="8"/>
    <n v="8"/>
    <n v="7"/>
  </r>
  <r>
    <x v="1"/>
    <s v="Travel_Frequently"/>
    <x v="1"/>
    <s v="Current Employees"/>
    <x v="1"/>
    <x v="2"/>
    <x v="1366"/>
    <n v="1644"/>
    <x v="1"/>
    <x v="5"/>
    <x v="1"/>
    <s v="No"/>
    <s v="Y"/>
    <n v="3"/>
    <n v="-2"/>
    <n v="0"/>
    <n v="48"/>
    <n v="0"/>
    <m/>
    <n v="0"/>
    <n v="1"/>
    <n v="365"/>
    <n v="4"/>
    <x v="4"/>
    <n v="1"/>
    <n v="3"/>
    <n v="89"/>
    <n v="2"/>
    <n v="4"/>
    <n v="4"/>
    <n v="15202"/>
    <n v="5602"/>
    <n v="2"/>
    <n v="25"/>
    <n v="4"/>
    <n v="2"/>
    <n v="80"/>
    <n v="1"/>
    <n v="23"/>
    <n v="3"/>
    <n v="2"/>
    <n v="2"/>
    <n v="2"/>
    <n v="2"/>
  </r>
  <r>
    <x v="1"/>
    <s v="Travel_Frequently"/>
    <x v="0"/>
    <s v="Current Employees"/>
    <x v="0"/>
    <x v="0"/>
    <x v="1367"/>
    <n v="1849"/>
    <x v="1"/>
    <x v="0"/>
    <x v="1"/>
    <s v="No"/>
    <s v="Y"/>
    <n v="5"/>
    <n v="-2"/>
    <n v="0"/>
    <n v="43"/>
    <n v="0"/>
    <m/>
    <n v="0"/>
    <n v="1"/>
    <n v="1422"/>
    <n v="2"/>
    <x v="2"/>
    <n v="1"/>
    <n v="1"/>
    <n v="92"/>
    <n v="3"/>
    <n v="2"/>
    <n v="4"/>
    <n v="5675"/>
    <n v="19246"/>
    <n v="1"/>
    <n v="20"/>
    <n v="4"/>
    <n v="3"/>
    <n v="80"/>
    <n v="1"/>
    <n v="7"/>
    <n v="3"/>
    <n v="7"/>
    <n v="7"/>
    <n v="7"/>
    <n v="7"/>
  </r>
  <r>
    <x v="1"/>
    <s v="Travel_Rarely"/>
    <x v="2"/>
    <s v="Current Employees"/>
    <x v="2"/>
    <x v="0"/>
    <x v="1368"/>
    <n v="1499"/>
    <x v="1"/>
    <x v="8"/>
    <x v="2"/>
    <s v="No"/>
    <s v="Y"/>
    <n v="3"/>
    <n v="-2"/>
    <n v="0"/>
    <n v="30"/>
    <n v="0"/>
    <m/>
    <n v="0"/>
    <n v="1"/>
    <n v="330"/>
    <n v="1"/>
    <x v="3"/>
    <n v="1"/>
    <n v="3"/>
    <n v="46"/>
    <n v="3"/>
    <n v="1"/>
    <n v="3"/>
    <n v="2064"/>
    <n v="15428"/>
    <n v="0"/>
    <n v="21"/>
    <n v="4"/>
    <n v="1"/>
    <n v="80"/>
    <n v="1"/>
    <n v="6"/>
    <n v="4"/>
    <n v="5"/>
    <n v="3"/>
    <n v="1"/>
    <n v="3"/>
  </r>
  <r>
    <x v="1"/>
    <s v="Travel_Rarely"/>
    <x v="3"/>
    <s v="Current Employees"/>
    <x v="1"/>
    <x v="2"/>
    <x v="1369"/>
    <n v="1697"/>
    <x v="1"/>
    <x v="4"/>
    <x v="2"/>
    <s v="No"/>
    <s v="Y"/>
    <n v="2"/>
    <n v="-2"/>
    <n v="0"/>
    <n v="60"/>
    <n v="0"/>
    <m/>
    <n v="0"/>
    <n v="1"/>
    <n v="370"/>
    <n v="1"/>
    <x v="2"/>
    <n v="1"/>
    <n v="3"/>
    <n v="92"/>
    <n v="1"/>
    <n v="3"/>
    <n v="4"/>
    <n v="10883"/>
    <n v="20467"/>
    <n v="3"/>
    <n v="20"/>
    <n v="4"/>
    <n v="3"/>
    <n v="80"/>
    <n v="1"/>
    <n v="19"/>
    <n v="4"/>
    <n v="1"/>
    <n v="0"/>
    <n v="0"/>
    <n v="0"/>
  </r>
  <r>
    <x v="1"/>
    <s v="Travel_Rarely"/>
    <x v="0"/>
    <s v="Current Employees"/>
    <x v="1"/>
    <x v="0"/>
    <x v="1370"/>
    <n v="1664"/>
    <x v="1"/>
    <x v="4"/>
    <x v="2"/>
    <s v="No"/>
    <s v="Y"/>
    <n v="3"/>
    <n v="-2"/>
    <n v="0"/>
    <n v="36"/>
    <n v="0"/>
    <m/>
    <n v="0"/>
    <n v="1"/>
    <n v="1040"/>
    <n v="3"/>
    <x v="0"/>
    <n v="1"/>
    <n v="4"/>
    <n v="79"/>
    <n v="4"/>
    <n v="2"/>
    <n v="1"/>
    <n v="6842"/>
    <n v="26308"/>
    <n v="6"/>
    <n v="20"/>
    <n v="4"/>
    <n v="1"/>
    <n v="80"/>
    <n v="1"/>
    <n v="13"/>
    <n v="3"/>
    <n v="5"/>
    <n v="4"/>
    <n v="0"/>
    <n v="4"/>
  </r>
  <r>
    <x v="1"/>
    <s v="Travel_Rarely"/>
    <x v="0"/>
    <s v="Current Employees"/>
    <x v="1"/>
    <x v="0"/>
    <x v="1371"/>
    <n v="1772"/>
    <x v="1"/>
    <x v="2"/>
    <x v="2"/>
    <s v="No"/>
    <s v="Y"/>
    <n v="2"/>
    <n v="-2"/>
    <n v="0"/>
    <n v="41"/>
    <n v="0"/>
    <m/>
    <n v="0"/>
    <n v="1"/>
    <n v="548"/>
    <n v="9"/>
    <x v="2"/>
    <n v="1"/>
    <n v="3"/>
    <n v="94"/>
    <n v="3"/>
    <n v="1"/>
    <n v="1"/>
    <n v="2289"/>
    <n v="20520"/>
    <n v="1"/>
    <n v="20"/>
    <n v="4"/>
    <n v="2"/>
    <n v="80"/>
    <n v="2"/>
    <n v="5"/>
    <n v="3"/>
    <n v="5"/>
    <n v="3"/>
    <n v="0"/>
    <n v="4"/>
  </r>
  <r>
    <x v="1"/>
    <s v="Travel_Rarely"/>
    <x v="0"/>
    <s v="Current Employees"/>
    <x v="1"/>
    <x v="2"/>
    <x v="1372"/>
    <n v="1768"/>
    <x v="1"/>
    <x v="2"/>
    <x v="2"/>
    <s v="No"/>
    <s v="Y"/>
    <n v="6"/>
    <n v="-2"/>
    <n v="0"/>
    <n v="42"/>
    <n v="0"/>
    <m/>
    <n v="0"/>
    <n v="1"/>
    <n v="855"/>
    <n v="12"/>
    <x v="3"/>
    <n v="1"/>
    <n v="2"/>
    <n v="57"/>
    <n v="3"/>
    <n v="1"/>
    <n v="2"/>
    <n v="2766"/>
    <n v="8952"/>
    <n v="8"/>
    <n v="22"/>
    <n v="4"/>
    <n v="2"/>
    <n v="80"/>
    <n v="3"/>
    <n v="7"/>
    <n v="2"/>
    <n v="5"/>
    <n v="3"/>
    <n v="0"/>
    <n v="4"/>
  </r>
  <r>
    <x v="1"/>
    <s v="Travel_Rarely"/>
    <x v="0"/>
    <s v="Current Employees"/>
    <x v="1"/>
    <x v="2"/>
    <x v="1373"/>
    <n v="1654"/>
    <x v="1"/>
    <x v="3"/>
    <x v="1"/>
    <s v="No"/>
    <s v="Y"/>
    <n v="3"/>
    <n v="-2"/>
    <n v="0"/>
    <n v="39"/>
    <n v="0"/>
    <m/>
    <n v="0"/>
    <n v="1"/>
    <n v="492"/>
    <n v="12"/>
    <x v="3"/>
    <n v="1"/>
    <n v="4"/>
    <n v="66"/>
    <n v="3"/>
    <n v="2"/>
    <n v="2"/>
    <n v="5295"/>
    <n v="7693"/>
    <n v="4"/>
    <n v="21"/>
    <n v="4"/>
    <n v="3"/>
    <n v="80"/>
    <n v="0"/>
    <n v="7"/>
    <n v="3"/>
    <n v="5"/>
    <n v="4"/>
    <n v="1"/>
    <n v="0"/>
  </r>
  <r>
    <x v="1"/>
    <s v="Travel_Rarely"/>
    <x v="0"/>
    <s v="Current Employees"/>
    <x v="1"/>
    <x v="2"/>
    <x v="1374"/>
    <n v="1936"/>
    <x v="1"/>
    <x v="3"/>
    <x v="1"/>
    <s v="No"/>
    <s v="Y"/>
    <n v="3"/>
    <n v="-2"/>
    <n v="0"/>
    <n v="39"/>
    <n v="0"/>
    <m/>
    <n v="0"/>
    <n v="1"/>
    <n v="867"/>
    <n v="9"/>
    <x v="0"/>
    <n v="1"/>
    <n v="1"/>
    <n v="87"/>
    <n v="3"/>
    <n v="2"/>
    <n v="1"/>
    <n v="5151"/>
    <n v="12315"/>
    <n v="1"/>
    <n v="25"/>
    <n v="4"/>
    <n v="4"/>
    <n v="80"/>
    <n v="1"/>
    <n v="10"/>
    <n v="3"/>
    <n v="10"/>
    <n v="0"/>
    <n v="7"/>
    <n v="9"/>
  </r>
  <r>
    <x v="1"/>
    <s v="Travel_Rarely"/>
    <x v="3"/>
    <s v="Current Employees"/>
    <x v="1"/>
    <x v="4"/>
    <x v="1375"/>
    <n v="1873"/>
    <x v="1"/>
    <x v="1"/>
    <x v="1"/>
    <s v="No"/>
    <s v="Y"/>
    <n v="2"/>
    <n v="-2"/>
    <n v="0"/>
    <n v="55"/>
    <n v="0"/>
    <m/>
    <n v="0"/>
    <n v="1"/>
    <n v="836"/>
    <n v="2"/>
    <x v="2"/>
    <n v="1"/>
    <n v="4"/>
    <n v="98"/>
    <n v="2"/>
    <n v="1"/>
    <n v="4"/>
    <n v="2662"/>
    <n v="7975"/>
    <n v="8"/>
    <n v="20"/>
    <n v="4"/>
    <n v="2"/>
    <n v="80"/>
    <n v="1"/>
    <n v="19"/>
    <n v="4"/>
    <n v="5"/>
    <n v="2"/>
    <n v="0"/>
    <n v="4"/>
  </r>
  <r>
    <x v="1"/>
    <s v="Travel_Rarely"/>
    <x v="3"/>
    <s v="Current Employees"/>
    <x v="1"/>
    <x v="0"/>
    <x v="1376"/>
    <n v="1483"/>
    <x v="1"/>
    <x v="1"/>
    <x v="1"/>
    <s v="No"/>
    <s v="Y"/>
    <n v="2"/>
    <n v="-2"/>
    <n v="0"/>
    <n v="57"/>
    <n v="0"/>
    <m/>
    <n v="0"/>
    <n v="1"/>
    <n v="405"/>
    <n v="1"/>
    <x v="0"/>
    <n v="1"/>
    <n v="2"/>
    <n v="93"/>
    <n v="4"/>
    <n v="2"/>
    <n v="3"/>
    <n v="4900"/>
    <n v="2721"/>
    <n v="0"/>
    <n v="24"/>
    <n v="4"/>
    <n v="1"/>
    <n v="80"/>
    <n v="1"/>
    <n v="13"/>
    <n v="2"/>
    <n v="12"/>
    <n v="9"/>
    <n v="2"/>
    <n v="8"/>
  </r>
  <r>
    <x v="1"/>
    <s v="Travel_Rarely"/>
    <x v="0"/>
    <s v="Current Employees"/>
    <x v="1"/>
    <x v="0"/>
    <x v="1377"/>
    <n v="1666"/>
    <x v="1"/>
    <x v="7"/>
    <x v="1"/>
    <s v="No"/>
    <s v="Y"/>
    <n v="3"/>
    <n v="-2"/>
    <n v="0"/>
    <n v="43"/>
    <n v="0"/>
    <m/>
    <n v="0"/>
    <n v="1"/>
    <n v="1291"/>
    <n v="15"/>
    <x v="0"/>
    <n v="1"/>
    <n v="3"/>
    <n v="65"/>
    <n v="2"/>
    <n v="4"/>
    <n v="3"/>
    <n v="17603"/>
    <n v="3525"/>
    <n v="1"/>
    <n v="24"/>
    <n v="4"/>
    <n v="1"/>
    <n v="80"/>
    <n v="1"/>
    <n v="14"/>
    <n v="3"/>
    <n v="14"/>
    <n v="10"/>
    <n v="6"/>
    <n v="11"/>
  </r>
  <r>
    <x v="1"/>
    <s v="Travel_Rarely"/>
    <x v="0"/>
    <s v="Current Employees"/>
    <x v="1"/>
    <x v="0"/>
    <x v="1378"/>
    <n v="1999"/>
    <x v="1"/>
    <x v="1"/>
    <x v="1"/>
    <s v="No"/>
    <s v="Y"/>
    <n v="3"/>
    <n v="-2"/>
    <n v="0"/>
    <n v="41"/>
    <n v="0"/>
    <m/>
    <n v="0"/>
    <n v="1"/>
    <n v="642"/>
    <n v="1"/>
    <x v="3"/>
    <n v="1"/>
    <n v="4"/>
    <n v="76"/>
    <n v="3"/>
    <n v="1"/>
    <n v="4"/>
    <n v="2782"/>
    <n v="21412"/>
    <n v="3"/>
    <n v="22"/>
    <n v="4"/>
    <n v="1"/>
    <n v="80"/>
    <n v="1"/>
    <n v="12"/>
    <n v="3"/>
    <n v="5"/>
    <n v="3"/>
    <n v="1"/>
    <n v="0"/>
  </r>
  <r>
    <x v="1"/>
    <s v="Travel_Rarely"/>
    <x v="1"/>
    <s v="Current Employees"/>
    <x v="1"/>
    <x v="4"/>
    <x v="1379"/>
    <n v="1546"/>
    <x v="1"/>
    <x v="1"/>
    <x v="1"/>
    <s v="No"/>
    <s v="Y"/>
    <n v="3"/>
    <n v="-2"/>
    <n v="0"/>
    <n v="45"/>
    <n v="0"/>
    <m/>
    <n v="0"/>
    <n v="1"/>
    <n v="950"/>
    <n v="28"/>
    <x v="3"/>
    <n v="1"/>
    <n v="4"/>
    <n v="97"/>
    <n v="3"/>
    <n v="1"/>
    <n v="4"/>
    <n v="2132"/>
    <n v="4585"/>
    <n v="4"/>
    <n v="20"/>
    <n v="4"/>
    <n v="4"/>
    <n v="80"/>
    <n v="1"/>
    <n v="8"/>
    <n v="3"/>
    <n v="5"/>
    <n v="4"/>
    <n v="0"/>
    <n v="3"/>
  </r>
  <r>
    <x v="1"/>
    <s v="Travel_Rarely"/>
    <x v="1"/>
    <s v="Current Employees"/>
    <x v="1"/>
    <x v="2"/>
    <x v="1380"/>
    <n v="1993"/>
    <x v="1"/>
    <x v="4"/>
    <x v="0"/>
    <s v="No"/>
    <s v="Y"/>
    <n v="3"/>
    <n v="-2"/>
    <n v="0"/>
    <n v="47"/>
    <n v="0"/>
    <m/>
    <n v="0"/>
    <n v="1"/>
    <n v="1180"/>
    <n v="25"/>
    <x v="3"/>
    <n v="1"/>
    <n v="1"/>
    <n v="84"/>
    <n v="3"/>
    <n v="3"/>
    <n v="3"/>
    <n v="8633"/>
    <n v="13084"/>
    <n v="2"/>
    <n v="23"/>
    <n v="4"/>
    <n v="2"/>
    <n v="80"/>
    <n v="0"/>
    <n v="25"/>
    <n v="3"/>
    <n v="17"/>
    <n v="14"/>
    <n v="12"/>
    <n v="11"/>
  </r>
  <r>
    <x v="1"/>
    <s v="Travel_Rarely"/>
    <x v="0"/>
    <s v="Current Employees"/>
    <x v="1"/>
    <x v="2"/>
    <x v="1381"/>
    <n v="1800"/>
    <x v="1"/>
    <x v="7"/>
    <x v="0"/>
    <s v="No"/>
    <s v="Y"/>
    <n v="3"/>
    <n v="-2"/>
    <n v="0"/>
    <n v="39"/>
    <n v="0"/>
    <m/>
    <n v="0"/>
    <n v="1"/>
    <n v="1253"/>
    <n v="10"/>
    <x v="1"/>
    <n v="1"/>
    <n v="3"/>
    <n v="65"/>
    <n v="3"/>
    <n v="3"/>
    <n v="3"/>
    <n v="13464"/>
    <n v="7914"/>
    <n v="7"/>
    <n v="21"/>
    <n v="4"/>
    <n v="3"/>
    <n v="80"/>
    <n v="0"/>
    <n v="9"/>
    <n v="3"/>
    <n v="4"/>
    <n v="3"/>
    <n v="2"/>
    <n v="2"/>
  </r>
  <r>
    <x v="1"/>
    <s v="Travel_Rarely"/>
    <x v="2"/>
    <s v="Current Employees"/>
    <x v="1"/>
    <x v="2"/>
    <x v="1382"/>
    <n v="1516"/>
    <x v="1"/>
    <x v="5"/>
    <x v="0"/>
    <s v="No"/>
    <s v="Y"/>
    <n v="5"/>
    <n v="-2"/>
    <n v="0"/>
    <n v="32"/>
    <n v="0"/>
    <m/>
    <n v="0"/>
    <n v="1"/>
    <n v="495"/>
    <n v="10"/>
    <x v="3"/>
    <n v="1"/>
    <n v="3"/>
    <n v="64"/>
    <n v="3"/>
    <n v="3"/>
    <n v="4"/>
    <n v="11244"/>
    <n v="21072"/>
    <n v="2"/>
    <n v="25"/>
    <n v="4"/>
    <n v="2"/>
    <n v="80"/>
    <n v="0"/>
    <n v="10"/>
    <n v="4"/>
    <n v="5"/>
    <n v="2"/>
    <n v="0"/>
    <n v="0"/>
  </r>
  <r>
    <x v="1"/>
    <s v="Travel_Rarely"/>
    <x v="2"/>
    <s v="Current Employees"/>
    <x v="1"/>
    <x v="0"/>
    <x v="1383"/>
    <n v="1966"/>
    <x v="1"/>
    <x v="3"/>
    <x v="0"/>
    <s v="No"/>
    <s v="Y"/>
    <n v="1"/>
    <n v="-2"/>
    <n v="0"/>
    <n v="32"/>
    <n v="0"/>
    <m/>
    <n v="0"/>
    <n v="1"/>
    <n v="1373"/>
    <n v="5"/>
    <x v="2"/>
    <n v="1"/>
    <n v="4"/>
    <n v="56"/>
    <n v="2"/>
    <n v="2"/>
    <n v="4"/>
    <n v="9679"/>
    <n v="10138"/>
    <n v="8"/>
    <n v="24"/>
    <n v="4"/>
    <n v="2"/>
    <n v="80"/>
    <n v="0"/>
    <n v="8"/>
    <n v="3"/>
    <n v="1"/>
    <n v="0"/>
    <n v="0"/>
    <n v="0"/>
  </r>
  <r>
    <x v="1"/>
    <s v="Travel_Rarely"/>
    <x v="0"/>
    <s v="Current Employees"/>
    <x v="1"/>
    <x v="1"/>
    <x v="1384"/>
    <n v="1595"/>
    <x v="1"/>
    <x v="5"/>
    <x v="0"/>
    <s v="No"/>
    <s v="Y"/>
    <n v="2"/>
    <n v="-2"/>
    <n v="0"/>
    <n v="42"/>
    <n v="0"/>
    <m/>
    <n v="0"/>
    <n v="1"/>
    <n v="1059"/>
    <n v="9"/>
    <x v="0"/>
    <n v="1"/>
    <n v="4"/>
    <n v="93"/>
    <n v="2"/>
    <n v="5"/>
    <n v="4"/>
    <n v="19613"/>
    <n v="26362"/>
    <n v="8"/>
    <n v="22"/>
    <n v="4"/>
    <n v="4"/>
    <n v="80"/>
    <n v="0"/>
    <n v="24"/>
    <n v="3"/>
    <n v="1"/>
    <n v="0"/>
    <n v="0"/>
    <n v="1"/>
  </r>
  <r>
    <x v="1"/>
    <s v="Travel_Rarely"/>
    <x v="3"/>
    <s v="Current Employees"/>
    <x v="0"/>
    <x v="3"/>
    <x v="1385"/>
    <n v="1578"/>
    <x v="1"/>
    <x v="5"/>
    <x v="1"/>
    <s v="No"/>
    <s v="Y"/>
    <n v="3"/>
    <n v="-2"/>
    <n v="0"/>
    <n v="55"/>
    <n v="0"/>
    <m/>
    <n v="0"/>
    <n v="1"/>
    <n v="685"/>
    <n v="26"/>
    <x v="4"/>
    <n v="1"/>
    <n v="3"/>
    <n v="60"/>
    <n v="2"/>
    <n v="5"/>
    <n v="1"/>
    <n v="19586"/>
    <n v="23037"/>
    <n v="1"/>
    <n v="21"/>
    <n v="4"/>
    <n v="3"/>
    <n v="80"/>
    <n v="1"/>
    <n v="36"/>
    <n v="3"/>
    <n v="36"/>
    <n v="6"/>
    <n v="2"/>
    <n v="13"/>
  </r>
  <r>
    <x v="1"/>
    <s v="Travel_Rarely"/>
    <x v="2"/>
    <s v="Current Employees"/>
    <x v="0"/>
    <x v="4"/>
    <x v="1386"/>
    <n v="1823"/>
    <x v="1"/>
    <x v="0"/>
    <x v="1"/>
    <s v="No"/>
    <s v="Y"/>
    <n v="5"/>
    <n v="-2"/>
    <n v="0"/>
    <n v="34"/>
    <n v="0"/>
    <m/>
    <n v="0"/>
    <n v="1"/>
    <n v="810"/>
    <n v="8"/>
    <x v="0"/>
    <n v="1"/>
    <n v="4"/>
    <n v="92"/>
    <n v="4"/>
    <n v="2"/>
    <n v="4"/>
    <n v="6799"/>
    <n v="22128"/>
    <n v="1"/>
    <n v="21"/>
    <n v="4"/>
    <n v="3"/>
    <n v="80"/>
    <n v="2"/>
    <n v="10"/>
    <n v="3"/>
    <n v="10"/>
    <n v="8"/>
    <n v="4"/>
    <n v="8"/>
  </r>
  <r>
    <x v="1"/>
    <s v="Travel_Rarely"/>
    <x v="2"/>
    <s v="Current Employees"/>
    <x v="0"/>
    <x v="3"/>
    <x v="1387"/>
    <n v="1950"/>
    <x v="1"/>
    <x v="0"/>
    <x v="0"/>
    <s v="No"/>
    <s v="Y"/>
    <n v="3"/>
    <n v="-2"/>
    <n v="0"/>
    <n v="34"/>
    <n v="0"/>
    <m/>
    <n v="0"/>
    <n v="1"/>
    <n v="937"/>
    <n v="1"/>
    <x v="3"/>
    <n v="1"/>
    <n v="1"/>
    <n v="32"/>
    <n v="3"/>
    <n v="3"/>
    <n v="1"/>
    <n v="9888"/>
    <n v="6770"/>
    <n v="1"/>
    <n v="21"/>
    <n v="4"/>
    <n v="1"/>
    <n v="80"/>
    <n v="0"/>
    <n v="14"/>
    <n v="2"/>
    <n v="14"/>
    <n v="8"/>
    <n v="2"/>
    <n v="1"/>
  </r>
  <r>
    <x v="1"/>
    <s v="Non-Travel"/>
    <x v="1"/>
    <s v="Current Employees"/>
    <x v="1"/>
    <x v="2"/>
    <x v="1388"/>
    <n v="1775"/>
    <x v="0"/>
    <x v="3"/>
    <x v="1"/>
    <s v="Yes"/>
    <s v="Y"/>
    <n v="2"/>
    <n v="-2"/>
    <n v="0"/>
    <n v="53"/>
    <n v="0"/>
    <m/>
    <n v="0"/>
    <n v="1"/>
    <n v="661"/>
    <n v="1"/>
    <x v="2"/>
    <n v="1"/>
    <n v="1"/>
    <n v="60"/>
    <n v="2"/>
    <n v="4"/>
    <n v="3"/>
    <n v="12965"/>
    <n v="22308"/>
    <n v="4"/>
    <n v="20"/>
    <n v="4"/>
    <n v="4"/>
    <n v="80"/>
    <n v="3"/>
    <n v="27"/>
    <n v="2"/>
    <n v="3"/>
    <n v="2"/>
    <n v="0"/>
    <n v="2"/>
  </r>
  <r>
    <x v="1"/>
    <s v="Non-Travel"/>
    <x v="2"/>
    <s v="Current Employees"/>
    <x v="0"/>
    <x v="0"/>
    <x v="1389"/>
    <n v="1681"/>
    <x v="0"/>
    <x v="0"/>
    <x v="2"/>
    <s v="Yes"/>
    <s v="Y"/>
    <n v="2"/>
    <n v="-2"/>
    <n v="0"/>
    <n v="33"/>
    <n v="0"/>
    <m/>
    <n v="0"/>
    <n v="1"/>
    <n v="530"/>
    <n v="16"/>
    <x v="3"/>
    <n v="1"/>
    <n v="3"/>
    <n v="36"/>
    <n v="3"/>
    <n v="2"/>
    <n v="4"/>
    <n v="5368"/>
    <n v="16130"/>
    <n v="1"/>
    <n v="25"/>
    <n v="4"/>
    <n v="3"/>
    <n v="80"/>
    <n v="1"/>
    <n v="7"/>
    <n v="3"/>
    <n v="6"/>
    <n v="5"/>
    <n v="1"/>
    <n v="2"/>
  </r>
  <r>
    <x v="1"/>
    <s v="Travel_Rarely"/>
    <x v="0"/>
    <s v="Current Employees"/>
    <x v="1"/>
    <x v="0"/>
    <x v="1390"/>
    <n v="2017"/>
    <x v="0"/>
    <x v="7"/>
    <x v="1"/>
    <s v="Yes"/>
    <s v="Y"/>
    <n v="2"/>
    <n v="-2"/>
    <n v="0"/>
    <n v="37"/>
    <n v="0"/>
    <m/>
    <n v="0"/>
    <n v="1"/>
    <n v="161"/>
    <n v="10"/>
    <x v="3"/>
    <n v="1"/>
    <n v="3"/>
    <n v="42"/>
    <n v="4"/>
    <n v="3"/>
    <n v="4"/>
    <n v="13744"/>
    <n v="15471"/>
    <n v="1"/>
    <n v="25"/>
    <n v="4"/>
    <n v="1"/>
    <n v="80"/>
    <n v="1"/>
    <n v="16"/>
    <n v="3"/>
    <n v="16"/>
    <n v="11"/>
    <n v="6"/>
    <n v="8"/>
  </r>
  <r>
    <x v="1"/>
    <s v="Travel_Rarely"/>
    <x v="3"/>
    <s v="Current Employees"/>
    <x v="1"/>
    <x v="2"/>
    <x v="1391"/>
    <n v="1423"/>
    <x v="0"/>
    <x v="7"/>
    <x v="1"/>
    <s v="Yes"/>
    <s v="Y"/>
    <n v="3"/>
    <n v="-2"/>
    <n v="0"/>
    <n v="58"/>
    <n v="0"/>
    <m/>
    <n v="0"/>
    <n v="1"/>
    <n v="1055"/>
    <n v="1"/>
    <x v="3"/>
    <n v="1"/>
    <n v="4"/>
    <n v="76"/>
    <n v="3"/>
    <n v="5"/>
    <n v="1"/>
    <n v="19701"/>
    <n v="22456"/>
    <n v="3"/>
    <n v="21"/>
    <n v="4"/>
    <n v="3"/>
    <n v="80"/>
    <n v="1"/>
    <n v="32"/>
    <n v="3"/>
    <n v="9"/>
    <n v="8"/>
    <n v="1"/>
    <n v="5"/>
  </r>
  <r>
    <x v="1"/>
    <s v="Travel_Rarely"/>
    <x v="0"/>
    <s v="Current Employees"/>
    <x v="1"/>
    <x v="1"/>
    <x v="1392"/>
    <n v="1847"/>
    <x v="0"/>
    <x v="1"/>
    <x v="1"/>
    <s v="Yes"/>
    <s v="Y"/>
    <n v="2"/>
    <n v="-2"/>
    <n v="0"/>
    <n v="36"/>
    <n v="0"/>
    <m/>
    <n v="0"/>
    <n v="1"/>
    <n v="430"/>
    <n v="2"/>
    <x v="2"/>
    <n v="1"/>
    <n v="4"/>
    <n v="73"/>
    <n v="3"/>
    <n v="2"/>
    <n v="2"/>
    <n v="6962"/>
    <n v="19573"/>
    <n v="4"/>
    <n v="22"/>
    <n v="4"/>
    <n v="4"/>
    <n v="80"/>
    <n v="1"/>
    <n v="15"/>
    <n v="3"/>
    <n v="1"/>
    <n v="0"/>
    <n v="0"/>
    <n v="0"/>
  </r>
  <r>
    <x v="1"/>
    <s v="Travel_Rarely"/>
    <x v="2"/>
    <s v="Current Employees"/>
    <x v="0"/>
    <x v="1"/>
    <x v="1393"/>
    <n v="2018"/>
    <x v="0"/>
    <x v="0"/>
    <x v="2"/>
    <s v="Yes"/>
    <s v="Y"/>
    <n v="3"/>
    <n v="-2"/>
    <n v="0"/>
    <n v="25"/>
    <n v="0"/>
    <m/>
    <n v="0"/>
    <n v="1"/>
    <n v="1382"/>
    <n v="8"/>
    <x v="0"/>
    <n v="1"/>
    <n v="1"/>
    <n v="85"/>
    <n v="3"/>
    <n v="2"/>
    <n v="3"/>
    <n v="4907"/>
    <n v="13684"/>
    <n v="0"/>
    <n v="22"/>
    <n v="4"/>
    <n v="2"/>
    <n v="80"/>
    <n v="1"/>
    <n v="6"/>
    <n v="2"/>
    <n v="5"/>
    <n v="3"/>
    <n v="0"/>
    <n v="4"/>
  </r>
  <r>
    <x v="1"/>
    <s v="Travel_Rarely"/>
    <x v="0"/>
    <s v="Current Employees"/>
    <x v="0"/>
    <x v="3"/>
    <x v="1394"/>
    <n v="1835"/>
    <x v="0"/>
    <x v="6"/>
    <x v="1"/>
    <s v="Yes"/>
    <s v="Y"/>
    <n v="4"/>
    <n v="-2"/>
    <n v="0"/>
    <n v="38"/>
    <n v="0"/>
    <m/>
    <n v="0"/>
    <n v="1"/>
    <n v="723"/>
    <n v="2"/>
    <x v="2"/>
    <n v="1"/>
    <n v="2"/>
    <n v="77"/>
    <n v="1"/>
    <n v="2"/>
    <n v="1"/>
    <n v="5405"/>
    <n v="4244"/>
    <n v="2"/>
    <n v="20"/>
    <n v="4"/>
    <n v="1"/>
    <n v="80"/>
    <n v="2"/>
    <n v="20"/>
    <n v="2"/>
    <n v="4"/>
    <n v="2"/>
    <n v="0"/>
    <n v="3"/>
  </r>
  <r>
    <x v="1"/>
    <s v="Travel_Rarely"/>
    <x v="0"/>
    <s v="Current Employees"/>
    <x v="2"/>
    <x v="2"/>
    <x v="1395"/>
    <n v="1550"/>
    <x v="1"/>
    <x v="5"/>
    <x v="0"/>
    <s v="Yes"/>
    <s v="Y"/>
    <n v="2"/>
    <n v="-2"/>
    <n v="0"/>
    <n v="40"/>
    <n v="0"/>
    <m/>
    <n v="0"/>
    <n v="1"/>
    <n v="898"/>
    <n v="6"/>
    <x v="0"/>
    <n v="1"/>
    <n v="3"/>
    <n v="38"/>
    <n v="3"/>
    <n v="4"/>
    <n v="4"/>
    <n v="16437"/>
    <n v="17381"/>
    <n v="1"/>
    <n v="21"/>
    <n v="4"/>
    <n v="4"/>
    <n v="80"/>
    <n v="0"/>
    <n v="21"/>
    <n v="3"/>
    <n v="21"/>
    <n v="7"/>
    <n v="7"/>
    <n v="7"/>
  </r>
  <r>
    <x v="1"/>
    <s v="Travel_Rarely"/>
    <x v="2"/>
    <s v="Current Employees"/>
    <x v="1"/>
    <x v="0"/>
    <x v="1396"/>
    <n v="2064"/>
    <x v="1"/>
    <x v="3"/>
    <x v="1"/>
    <s v="Yes"/>
    <s v="Y"/>
    <n v="0"/>
    <n v="-2"/>
    <n v="0"/>
    <n v="27"/>
    <n v="0"/>
    <m/>
    <n v="0"/>
    <n v="1"/>
    <n v="155"/>
    <n v="4"/>
    <x v="3"/>
    <n v="1"/>
    <n v="2"/>
    <n v="87"/>
    <n v="4"/>
    <n v="2"/>
    <n v="2"/>
    <n v="6142"/>
    <n v="5174"/>
    <n v="1"/>
    <n v="20"/>
    <n v="4"/>
    <n v="2"/>
    <n v="80"/>
    <n v="1"/>
    <n v="6"/>
    <n v="3"/>
    <n v="6"/>
    <n v="2"/>
    <n v="0"/>
    <n v="3"/>
  </r>
  <r>
    <x v="1"/>
    <s v="Travel_Rarely"/>
    <x v="0"/>
    <s v="Current Employees"/>
    <x v="1"/>
    <x v="2"/>
    <x v="1397"/>
    <n v="1885"/>
    <x v="1"/>
    <x v="1"/>
    <x v="1"/>
    <s v="Yes"/>
    <s v="Y"/>
    <n v="2"/>
    <n v="-2"/>
    <n v="0"/>
    <n v="37"/>
    <n v="0"/>
    <m/>
    <n v="0"/>
    <n v="1"/>
    <n v="783"/>
    <n v="7"/>
    <x v="2"/>
    <n v="1"/>
    <n v="4"/>
    <n v="78"/>
    <n v="3"/>
    <n v="2"/>
    <n v="1"/>
    <n v="4284"/>
    <n v="13588"/>
    <n v="5"/>
    <n v="22"/>
    <n v="4"/>
    <n v="3"/>
    <n v="80"/>
    <n v="1"/>
    <n v="16"/>
    <n v="3"/>
    <n v="5"/>
    <n v="3"/>
    <n v="0"/>
    <n v="4"/>
  </r>
  <r>
    <x v="1"/>
    <s v="Travel_Rarely"/>
    <x v="2"/>
    <s v="Current Employees"/>
    <x v="0"/>
    <x v="4"/>
    <x v="1398"/>
    <n v="1541"/>
    <x v="1"/>
    <x v="6"/>
    <x v="1"/>
    <s v="Yes"/>
    <s v="Y"/>
    <n v="4"/>
    <n v="-2"/>
    <n v="0"/>
    <n v="34"/>
    <n v="0"/>
    <m/>
    <n v="0"/>
    <n v="1"/>
    <n v="1440"/>
    <n v="7"/>
    <x v="0"/>
    <n v="1"/>
    <n v="4"/>
    <n v="55"/>
    <n v="3"/>
    <n v="1"/>
    <n v="4"/>
    <n v="2308"/>
    <n v="4944"/>
    <n v="0"/>
    <n v="25"/>
    <n v="4"/>
    <n v="2"/>
    <n v="80"/>
    <n v="1"/>
    <n v="12"/>
    <n v="3"/>
    <n v="11"/>
    <n v="10"/>
    <n v="5"/>
    <n v="7"/>
  </r>
  <r>
    <x v="1"/>
    <s v="Travel_Rarely"/>
    <x v="0"/>
    <s v="Current Employees"/>
    <x v="0"/>
    <x v="0"/>
    <x v="1399"/>
    <n v="1556"/>
    <x v="1"/>
    <x v="6"/>
    <x v="0"/>
    <s v="Yes"/>
    <s v="Y"/>
    <n v="3"/>
    <n v="-2"/>
    <n v="0"/>
    <n v="36"/>
    <n v="0"/>
    <m/>
    <n v="0"/>
    <n v="1"/>
    <n v="1157"/>
    <n v="2"/>
    <x v="2"/>
    <n v="1"/>
    <n v="3"/>
    <n v="70"/>
    <n v="3"/>
    <n v="1"/>
    <n v="4"/>
    <n v="2644"/>
    <n v="17001"/>
    <n v="3"/>
    <n v="21"/>
    <n v="4"/>
    <n v="4"/>
    <n v="80"/>
    <n v="0"/>
    <n v="7"/>
    <n v="2"/>
    <n v="3"/>
    <n v="2"/>
    <n v="1"/>
    <n v="2"/>
  </r>
  <r>
    <x v="0"/>
    <s v="Travel_Frequently"/>
    <x v="2"/>
    <s v="Ex-Employees"/>
    <x v="2"/>
    <x v="5"/>
    <x v="1400"/>
    <n v="1747"/>
    <x v="0"/>
    <x v="8"/>
    <x v="2"/>
    <s v="No"/>
    <s v="Y"/>
    <n v="0"/>
    <n v="-2"/>
    <n v="0"/>
    <n v="30"/>
    <n v="1"/>
    <n v="1"/>
    <n v="1"/>
    <n v="0"/>
    <n v="600"/>
    <n v="8"/>
    <x v="3"/>
    <n v="1"/>
    <n v="3"/>
    <n v="66"/>
    <n v="2"/>
    <n v="1"/>
    <n v="4"/>
    <n v="2180"/>
    <n v="9732"/>
    <n v="6"/>
    <n v="11"/>
    <n v="3"/>
    <n v="3"/>
    <n v="80"/>
    <n v="1"/>
    <n v="6"/>
    <n v="2"/>
    <n v="4"/>
    <n v="2"/>
    <n v="1"/>
    <n v="2"/>
  </r>
  <r>
    <x v="0"/>
    <s v="Travel_Frequently"/>
    <x v="2"/>
    <s v="Ex-Employees"/>
    <x v="2"/>
    <x v="5"/>
    <x v="1401"/>
    <n v="1944"/>
    <x v="0"/>
    <x v="8"/>
    <x v="1"/>
    <s v="No"/>
    <s v="Y"/>
    <n v="2"/>
    <n v="-2"/>
    <n v="0"/>
    <n v="27"/>
    <n v="1"/>
    <n v="1"/>
    <n v="1"/>
    <n v="0"/>
    <n v="1337"/>
    <n v="22"/>
    <x v="3"/>
    <n v="1"/>
    <n v="1"/>
    <n v="58"/>
    <n v="2"/>
    <n v="1"/>
    <n v="2"/>
    <n v="2863"/>
    <n v="19555"/>
    <n v="1"/>
    <n v="12"/>
    <n v="3"/>
    <n v="1"/>
    <n v="80"/>
    <n v="0"/>
    <n v="1"/>
    <n v="3"/>
    <n v="1"/>
    <n v="0"/>
    <n v="0"/>
    <n v="0"/>
  </r>
  <r>
    <x v="0"/>
    <s v="Travel_Frequently"/>
    <x v="2"/>
    <s v="Ex-Employees"/>
    <x v="1"/>
    <x v="0"/>
    <x v="1402"/>
    <n v="1459"/>
    <x v="0"/>
    <x v="3"/>
    <x v="0"/>
    <s v="No"/>
    <s v="Y"/>
    <n v="2"/>
    <n v="-2"/>
    <n v="0"/>
    <n v="31"/>
    <n v="1"/>
    <n v="1"/>
    <n v="1"/>
    <n v="0"/>
    <n v="1445"/>
    <n v="1"/>
    <x v="4"/>
    <n v="1"/>
    <n v="3"/>
    <n v="100"/>
    <n v="4"/>
    <n v="3"/>
    <n v="2"/>
    <n v="7446"/>
    <n v="8931"/>
    <n v="1"/>
    <n v="11"/>
    <n v="3"/>
    <n v="1"/>
    <n v="80"/>
    <n v="0"/>
    <n v="10"/>
    <n v="3"/>
    <n v="10"/>
    <n v="8"/>
    <n v="4"/>
    <n v="7"/>
  </r>
  <r>
    <x v="0"/>
    <s v="Travel_Frequently"/>
    <x v="2"/>
    <s v="Ex-Employees"/>
    <x v="1"/>
    <x v="0"/>
    <x v="1403"/>
    <n v="1537"/>
    <x v="0"/>
    <x v="1"/>
    <x v="0"/>
    <s v="No"/>
    <s v="Y"/>
    <n v="2"/>
    <n v="-2"/>
    <n v="0"/>
    <n v="31"/>
    <n v="1"/>
    <n v="1"/>
    <n v="1"/>
    <n v="0"/>
    <n v="561"/>
    <n v="3"/>
    <x v="3"/>
    <n v="1"/>
    <n v="4"/>
    <n v="33"/>
    <n v="3"/>
    <n v="1"/>
    <n v="3"/>
    <n v="4084"/>
    <n v="4156"/>
    <n v="1"/>
    <n v="12"/>
    <n v="3"/>
    <n v="1"/>
    <n v="80"/>
    <n v="0"/>
    <n v="7"/>
    <n v="1"/>
    <n v="7"/>
    <n v="2"/>
    <n v="7"/>
    <n v="7"/>
  </r>
  <r>
    <x v="0"/>
    <s v="Travel_Frequently"/>
    <x v="2"/>
    <s v="Ex-Employees"/>
    <x v="0"/>
    <x v="4"/>
    <x v="1404"/>
    <n v="1487"/>
    <x v="0"/>
    <x v="0"/>
    <x v="0"/>
    <s v="No"/>
    <s v="Y"/>
    <n v="4"/>
    <n v="-2"/>
    <n v="0"/>
    <n v="29"/>
    <n v="1"/>
    <n v="1"/>
    <n v="1"/>
    <n v="0"/>
    <n v="115"/>
    <n v="13"/>
    <x v="3"/>
    <n v="1"/>
    <n v="4"/>
    <n v="51"/>
    <n v="3"/>
    <n v="2"/>
    <n v="4"/>
    <n v="5765"/>
    <n v="17485"/>
    <n v="5"/>
    <n v="11"/>
    <n v="3"/>
    <n v="1"/>
    <n v="80"/>
    <n v="0"/>
    <n v="7"/>
    <n v="1"/>
    <n v="5"/>
    <n v="3"/>
    <n v="0"/>
    <n v="0"/>
  </r>
  <r>
    <x v="0"/>
    <s v="Travel_Frequently"/>
    <x v="2"/>
    <s v="Ex-Employees"/>
    <x v="0"/>
    <x v="0"/>
    <x v="1405"/>
    <n v="1427"/>
    <x v="0"/>
    <x v="6"/>
    <x v="0"/>
    <s v="No"/>
    <s v="Y"/>
    <n v="3"/>
    <n v="-2"/>
    <n v="0"/>
    <n v="31"/>
    <n v="1"/>
    <n v="1"/>
    <n v="1"/>
    <n v="0"/>
    <n v="667"/>
    <n v="1"/>
    <x v="2"/>
    <n v="1"/>
    <n v="2"/>
    <n v="50"/>
    <n v="1"/>
    <n v="1"/>
    <n v="3"/>
    <n v="1359"/>
    <n v="16154"/>
    <n v="1"/>
    <n v="12"/>
    <n v="3"/>
    <n v="2"/>
    <n v="80"/>
    <n v="0"/>
    <n v="1"/>
    <n v="3"/>
    <n v="1"/>
    <n v="0"/>
    <n v="0"/>
    <n v="0"/>
  </r>
  <r>
    <x v="0"/>
    <s v="Travel_Rarely"/>
    <x v="2"/>
    <s v="Ex-Employees"/>
    <x v="2"/>
    <x v="4"/>
    <x v="1406"/>
    <n v="1467"/>
    <x v="0"/>
    <x v="8"/>
    <x v="1"/>
    <s v="No"/>
    <s v="Y"/>
    <n v="0"/>
    <n v="-2"/>
    <n v="0"/>
    <n v="34"/>
    <n v="1"/>
    <n v="1"/>
    <n v="1"/>
    <n v="0"/>
    <n v="1107"/>
    <n v="9"/>
    <x v="2"/>
    <n v="1"/>
    <n v="4"/>
    <n v="52"/>
    <n v="3"/>
    <n v="1"/>
    <n v="4"/>
    <n v="2742"/>
    <n v="3072"/>
    <n v="1"/>
    <n v="15"/>
    <n v="3"/>
    <n v="4"/>
    <n v="80"/>
    <n v="0"/>
    <n v="2"/>
    <n v="3"/>
    <n v="2"/>
    <n v="2"/>
    <n v="2"/>
    <n v="2"/>
  </r>
  <r>
    <x v="0"/>
    <s v="Travel_Rarely"/>
    <x v="1"/>
    <s v="Ex-Employees"/>
    <x v="1"/>
    <x v="4"/>
    <x v="1407"/>
    <n v="1572"/>
    <x v="0"/>
    <x v="3"/>
    <x v="1"/>
    <s v="No"/>
    <s v="Y"/>
    <n v="4"/>
    <n v="-2"/>
    <n v="0"/>
    <n v="53"/>
    <n v="1"/>
    <n v="1"/>
    <n v="1"/>
    <n v="0"/>
    <n v="607"/>
    <n v="2"/>
    <x v="4"/>
    <n v="1"/>
    <n v="3"/>
    <n v="78"/>
    <n v="2"/>
    <n v="3"/>
    <n v="4"/>
    <n v="10169"/>
    <n v="14618"/>
    <n v="0"/>
    <n v="16"/>
    <n v="3"/>
    <n v="2"/>
    <n v="80"/>
    <n v="1"/>
    <n v="34"/>
    <n v="3"/>
    <n v="33"/>
    <n v="7"/>
    <n v="1"/>
    <n v="9"/>
  </r>
  <r>
    <x v="0"/>
    <s v="Travel_Rarely"/>
    <x v="2"/>
    <s v="Ex-Employees"/>
    <x v="1"/>
    <x v="0"/>
    <x v="1408"/>
    <n v="1433"/>
    <x v="0"/>
    <x v="1"/>
    <x v="0"/>
    <s v="No"/>
    <s v="Y"/>
    <n v="3"/>
    <n v="-2"/>
    <n v="0"/>
    <n v="31"/>
    <n v="1"/>
    <n v="1"/>
    <n v="1"/>
    <n v="0"/>
    <n v="202"/>
    <n v="8"/>
    <x v="3"/>
    <n v="1"/>
    <n v="1"/>
    <n v="34"/>
    <n v="2"/>
    <n v="1"/>
    <n v="2"/>
    <n v="1261"/>
    <n v="22262"/>
    <n v="1"/>
    <n v="12"/>
    <n v="3"/>
    <n v="3"/>
    <n v="80"/>
    <n v="0"/>
    <n v="1"/>
    <n v="4"/>
    <n v="1"/>
    <n v="0"/>
    <n v="0"/>
    <n v="0"/>
  </r>
  <r>
    <x v="0"/>
    <s v="Travel_Rarely"/>
    <x v="2"/>
    <s v="Ex-Employees"/>
    <x v="0"/>
    <x v="3"/>
    <x v="1409"/>
    <n v="1752"/>
    <x v="0"/>
    <x v="6"/>
    <x v="0"/>
    <s v="No"/>
    <s v="Y"/>
    <n v="3"/>
    <n v="-2"/>
    <n v="0"/>
    <n v="29"/>
    <n v="1"/>
    <n v="1"/>
    <n v="1"/>
    <n v="0"/>
    <n v="428"/>
    <n v="9"/>
    <x v="3"/>
    <n v="1"/>
    <n v="2"/>
    <n v="52"/>
    <n v="1"/>
    <n v="1"/>
    <n v="1"/>
    <n v="2760"/>
    <n v="14630"/>
    <n v="1"/>
    <n v="13"/>
    <n v="3"/>
    <n v="3"/>
    <n v="80"/>
    <n v="0"/>
    <n v="2"/>
    <n v="3"/>
    <n v="2"/>
    <n v="2"/>
    <n v="2"/>
    <n v="2"/>
  </r>
  <r>
    <x v="0"/>
    <s v="Travel_Frequently"/>
    <x v="2"/>
    <s v="Ex-Employees"/>
    <x v="1"/>
    <x v="0"/>
    <x v="1410"/>
    <n v="1807"/>
    <x v="1"/>
    <x v="2"/>
    <x v="1"/>
    <s v="No"/>
    <s v="Y"/>
    <n v="3"/>
    <n v="-2"/>
    <n v="0"/>
    <n v="34"/>
    <n v="1"/>
    <n v="1"/>
    <n v="1"/>
    <n v="0"/>
    <n v="234"/>
    <n v="9"/>
    <x v="2"/>
    <n v="1"/>
    <n v="4"/>
    <n v="93"/>
    <n v="3"/>
    <n v="2"/>
    <n v="1"/>
    <n v="5346"/>
    <n v="6208"/>
    <n v="4"/>
    <n v="17"/>
    <n v="3"/>
    <n v="3"/>
    <n v="80"/>
    <n v="1"/>
    <n v="11"/>
    <n v="2"/>
    <n v="7"/>
    <n v="1"/>
    <n v="0"/>
    <n v="7"/>
  </r>
  <r>
    <x v="0"/>
    <s v="Travel_Frequently"/>
    <x v="2"/>
    <s v="Ex-Employees"/>
    <x v="1"/>
    <x v="2"/>
    <x v="1411"/>
    <n v="1504"/>
    <x v="1"/>
    <x v="2"/>
    <x v="0"/>
    <s v="No"/>
    <s v="Y"/>
    <n v="2"/>
    <n v="-2"/>
    <n v="0"/>
    <n v="28"/>
    <n v="1"/>
    <n v="1"/>
    <n v="1"/>
    <n v="0"/>
    <n v="289"/>
    <n v="2"/>
    <x v="0"/>
    <n v="1"/>
    <n v="3"/>
    <n v="38"/>
    <n v="2"/>
    <n v="1"/>
    <n v="1"/>
    <n v="2561"/>
    <n v="5355"/>
    <n v="7"/>
    <n v="11"/>
    <n v="3"/>
    <n v="3"/>
    <n v="80"/>
    <n v="0"/>
    <n v="8"/>
    <n v="2"/>
    <n v="0"/>
    <n v="0"/>
    <n v="0"/>
    <n v="0"/>
  </r>
  <r>
    <x v="0"/>
    <s v="Travel_Frequently"/>
    <x v="1"/>
    <s v="Ex-Employees"/>
    <x v="0"/>
    <x v="0"/>
    <x v="1412"/>
    <n v="2044"/>
    <x v="1"/>
    <x v="0"/>
    <x v="2"/>
    <s v="No"/>
    <s v="Y"/>
    <n v="3"/>
    <n v="-2"/>
    <n v="0"/>
    <n v="50"/>
    <n v="1"/>
    <n v="1"/>
    <n v="1"/>
    <n v="0"/>
    <n v="878"/>
    <n v="1"/>
    <x v="2"/>
    <n v="1"/>
    <n v="2"/>
    <n v="94"/>
    <n v="3"/>
    <n v="2"/>
    <n v="3"/>
    <n v="6728"/>
    <n v="14255"/>
    <n v="7"/>
    <n v="12"/>
    <n v="3"/>
    <n v="4"/>
    <n v="80"/>
    <n v="2"/>
    <n v="12"/>
    <n v="3"/>
    <n v="6"/>
    <n v="3"/>
    <n v="0"/>
    <n v="1"/>
  </r>
  <r>
    <x v="0"/>
    <s v="Travel_Frequently"/>
    <x v="1"/>
    <s v="Ex-Employees"/>
    <x v="0"/>
    <x v="0"/>
    <x v="1413"/>
    <n v="1716"/>
    <x v="1"/>
    <x v="0"/>
    <x v="1"/>
    <s v="No"/>
    <s v="Y"/>
    <n v="3"/>
    <n v="-2"/>
    <n v="0"/>
    <n v="47"/>
    <n v="1"/>
    <n v="1"/>
    <n v="1"/>
    <n v="0"/>
    <n v="1093"/>
    <n v="9"/>
    <x v="3"/>
    <n v="1"/>
    <n v="3"/>
    <n v="82"/>
    <n v="1"/>
    <n v="4"/>
    <n v="3"/>
    <n v="12936"/>
    <n v="24164"/>
    <n v="7"/>
    <n v="11"/>
    <n v="3"/>
    <n v="3"/>
    <n v="80"/>
    <n v="0"/>
    <n v="25"/>
    <n v="1"/>
    <n v="23"/>
    <n v="5"/>
    <n v="14"/>
    <n v="10"/>
  </r>
  <r>
    <x v="0"/>
    <s v="Travel_Frequently"/>
    <x v="2"/>
    <s v="Ex-Employees"/>
    <x v="0"/>
    <x v="4"/>
    <x v="1414"/>
    <n v="1486"/>
    <x v="1"/>
    <x v="6"/>
    <x v="1"/>
    <s v="No"/>
    <s v="Y"/>
    <n v="3"/>
    <n v="-2"/>
    <n v="0"/>
    <n v="28"/>
    <n v="1"/>
    <n v="1"/>
    <n v="1"/>
    <n v="0"/>
    <n v="1496"/>
    <n v="1"/>
    <x v="3"/>
    <n v="1"/>
    <n v="1"/>
    <n v="92"/>
    <n v="3"/>
    <n v="1"/>
    <n v="4"/>
    <n v="2909"/>
    <n v="15747"/>
    <n v="3"/>
    <n v="15"/>
    <n v="3"/>
    <n v="4"/>
    <n v="80"/>
    <n v="1"/>
    <n v="5"/>
    <n v="4"/>
    <n v="3"/>
    <n v="2"/>
    <n v="1"/>
    <n v="2"/>
  </r>
  <r>
    <x v="0"/>
    <s v="Travel_Frequently"/>
    <x v="4"/>
    <s v="Ex-Employees"/>
    <x v="0"/>
    <x v="3"/>
    <x v="1415"/>
    <n v="2023"/>
    <x v="1"/>
    <x v="6"/>
    <x v="1"/>
    <s v="No"/>
    <s v="Y"/>
    <n v="3"/>
    <n v="-2"/>
    <n v="0"/>
    <n v="23"/>
    <n v="1"/>
    <n v="1"/>
    <n v="1"/>
    <n v="0"/>
    <n v="638"/>
    <n v="9"/>
    <x v="3"/>
    <n v="1"/>
    <n v="4"/>
    <n v="33"/>
    <n v="3"/>
    <n v="1"/>
    <n v="1"/>
    <n v="1790"/>
    <n v="26956"/>
    <n v="1"/>
    <n v="19"/>
    <n v="3"/>
    <n v="1"/>
    <n v="80"/>
    <n v="1"/>
    <n v="1"/>
    <n v="2"/>
    <n v="1"/>
    <n v="0"/>
    <n v="1"/>
    <n v="0"/>
  </r>
  <r>
    <x v="0"/>
    <s v="Travel_Frequently"/>
    <x v="2"/>
    <s v="Ex-Employees"/>
    <x v="0"/>
    <x v="4"/>
    <x v="1416"/>
    <n v="1928"/>
    <x v="1"/>
    <x v="6"/>
    <x v="0"/>
    <s v="No"/>
    <s v="Y"/>
    <n v="3"/>
    <n v="-2"/>
    <n v="0"/>
    <n v="29"/>
    <n v="1"/>
    <n v="1"/>
    <n v="1"/>
    <n v="0"/>
    <n v="746"/>
    <n v="24"/>
    <x v="3"/>
    <n v="1"/>
    <n v="3"/>
    <n v="45"/>
    <n v="4"/>
    <n v="1"/>
    <n v="4"/>
    <n v="1091"/>
    <n v="10642"/>
    <n v="1"/>
    <n v="17"/>
    <n v="3"/>
    <n v="4"/>
    <n v="80"/>
    <n v="0"/>
    <n v="1"/>
    <n v="3"/>
    <n v="1"/>
    <n v="0"/>
    <n v="0"/>
    <n v="0"/>
  </r>
  <r>
    <x v="0"/>
    <s v="Travel_Rarely"/>
    <x v="2"/>
    <s v="Ex-Employees"/>
    <x v="2"/>
    <x v="5"/>
    <x v="1417"/>
    <n v="1842"/>
    <x v="1"/>
    <x v="8"/>
    <x v="1"/>
    <s v="No"/>
    <s v="Y"/>
    <n v="4"/>
    <n v="-2"/>
    <n v="0"/>
    <n v="31"/>
    <n v="1"/>
    <n v="1"/>
    <n v="1"/>
    <n v="0"/>
    <n v="359"/>
    <n v="18"/>
    <x v="4"/>
    <n v="1"/>
    <n v="4"/>
    <n v="89"/>
    <n v="4"/>
    <n v="1"/>
    <n v="1"/>
    <n v="2956"/>
    <n v="21495"/>
    <n v="0"/>
    <n v="17"/>
    <n v="3"/>
    <n v="3"/>
    <n v="80"/>
    <n v="0"/>
    <n v="2"/>
    <n v="3"/>
    <n v="1"/>
    <n v="0"/>
    <n v="0"/>
    <n v="0"/>
  </r>
  <r>
    <x v="0"/>
    <s v="Travel_Rarely"/>
    <x v="4"/>
    <s v="Ex-Employees"/>
    <x v="2"/>
    <x v="5"/>
    <x v="1418"/>
    <n v="1714"/>
    <x v="1"/>
    <x v="8"/>
    <x v="1"/>
    <s v="No"/>
    <s v="Y"/>
    <n v="2"/>
    <n v="-2"/>
    <n v="0"/>
    <n v="24"/>
    <n v="1"/>
    <n v="1"/>
    <n v="1"/>
    <n v="0"/>
    <n v="240"/>
    <n v="22"/>
    <x v="1"/>
    <n v="1"/>
    <n v="4"/>
    <n v="58"/>
    <n v="1"/>
    <n v="1"/>
    <n v="3"/>
    <n v="1555"/>
    <n v="11585"/>
    <n v="1"/>
    <n v="11"/>
    <n v="3"/>
    <n v="3"/>
    <n v="80"/>
    <n v="1"/>
    <n v="1"/>
    <n v="3"/>
    <n v="1"/>
    <n v="0"/>
    <n v="0"/>
    <n v="0"/>
  </r>
  <r>
    <x v="0"/>
    <s v="Travel_Rarely"/>
    <x v="2"/>
    <s v="Ex-Employees"/>
    <x v="1"/>
    <x v="4"/>
    <x v="1419"/>
    <n v="1960"/>
    <x v="1"/>
    <x v="2"/>
    <x v="2"/>
    <s v="No"/>
    <s v="Y"/>
    <n v="2"/>
    <n v="-2"/>
    <n v="0"/>
    <n v="28"/>
    <n v="1"/>
    <n v="1"/>
    <n v="1"/>
    <n v="0"/>
    <n v="1404"/>
    <n v="17"/>
    <x v="3"/>
    <n v="1"/>
    <n v="3"/>
    <n v="32"/>
    <n v="2"/>
    <n v="1"/>
    <n v="4"/>
    <n v="2367"/>
    <n v="18779"/>
    <n v="5"/>
    <n v="12"/>
    <n v="3"/>
    <n v="1"/>
    <n v="80"/>
    <n v="1"/>
    <n v="6"/>
    <n v="2"/>
    <n v="4"/>
    <n v="1"/>
    <n v="0"/>
    <n v="3"/>
  </r>
  <r>
    <x v="0"/>
    <s v="Travel_Rarely"/>
    <x v="3"/>
    <s v="Ex-Employees"/>
    <x v="1"/>
    <x v="4"/>
    <x v="1420"/>
    <n v="2032"/>
    <x v="1"/>
    <x v="2"/>
    <x v="1"/>
    <s v="No"/>
    <s v="Y"/>
    <n v="4"/>
    <n v="-2"/>
    <n v="0"/>
    <n v="56"/>
    <n v="1"/>
    <n v="1"/>
    <n v="1"/>
    <n v="0"/>
    <n v="310"/>
    <n v="7"/>
    <x v="0"/>
    <n v="1"/>
    <n v="4"/>
    <n v="72"/>
    <n v="3"/>
    <n v="1"/>
    <n v="4"/>
    <n v="2339"/>
    <n v="3666"/>
    <n v="8"/>
    <n v="11"/>
    <n v="3"/>
    <n v="4"/>
    <n v="80"/>
    <n v="1"/>
    <n v="14"/>
    <n v="1"/>
    <n v="10"/>
    <n v="9"/>
    <n v="9"/>
    <n v="8"/>
  </r>
  <r>
    <x v="0"/>
    <s v="Travel_Rarely"/>
    <x v="0"/>
    <s v="Ex-Employees"/>
    <x v="1"/>
    <x v="2"/>
    <x v="1421"/>
    <n v="1573"/>
    <x v="1"/>
    <x v="3"/>
    <x v="1"/>
    <s v="No"/>
    <s v="Y"/>
    <n v="2"/>
    <n v="-2"/>
    <n v="0"/>
    <n v="38"/>
    <n v="1"/>
    <n v="1"/>
    <n v="1"/>
    <n v="0"/>
    <n v="903"/>
    <n v="2"/>
    <x v="3"/>
    <n v="1"/>
    <n v="3"/>
    <n v="81"/>
    <n v="3"/>
    <n v="2"/>
    <n v="2"/>
    <n v="4855"/>
    <n v="7653"/>
    <n v="4"/>
    <n v="11"/>
    <n v="3"/>
    <n v="1"/>
    <n v="80"/>
    <n v="2"/>
    <n v="7"/>
    <n v="3"/>
    <n v="5"/>
    <n v="2"/>
    <n v="1"/>
    <n v="4"/>
  </r>
  <r>
    <x v="0"/>
    <s v="Travel_Rarely"/>
    <x v="2"/>
    <s v="Ex-Employees"/>
    <x v="1"/>
    <x v="4"/>
    <x v="1422"/>
    <n v="1522"/>
    <x v="1"/>
    <x v="1"/>
    <x v="0"/>
    <s v="No"/>
    <s v="Y"/>
    <n v="2"/>
    <n v="-2"/>
    <n v="0"/>
    <n v="29"/>
    <n v="1"/>
    <n v="1"/>
    <n v="1"/>
    <n v="0"/>
    <n v="224"/>
    <n v="1"/>
    <x v="2"/>
    <n v="1"/>
    <n v="1"/>
    <n v="100"/>
    <n v="2"/>
    <n v="1"/>
    <n v="1"/>
    <n v="2362"/>
    <n v="7568"/>
    <n v="6"/>
    <n v="13"/>
    <n v="3"/>
    <n v="3"/>
    <n v="80"/>
    <n v="0"/>
    <n v="11"/>
    <n v="1"/>
    <n v="9"/>
    <n v="7"/>
    <n v="0"/>
    <n v="7"/>
  </r>
  <r>
    <x v="0"/>
    <s v="Travel_Rarely"/>
    <x v="3"/>
    <s v="Ex-Employees"/>
    <x v="1"/>
    <x v="0"/>
    <x v="1423"/>
    <n v="1907"/>
    <x v="1"/>
    <x v="2"/>
    <x v="0"/>
    <s v="No"/>
    <s v="Y"/>
    <n v="3"/>
    <n v="-2"/>
    <n v="0"/>
    <n v="56"/>
    <n v="1"/>
    <n v="1"/>
    <n v="1"/>
    <n v="0"/>
    <n v="1162"/>
    <n v="24"/>
    <x v="0"/>
    <n v="1"/>
    <n v="1"/>
    <n v="97"/>
    <n v="3"/>
    <n v="1"/>
    <n v="4"/>
    <n v="2587"/>
    <n v="10261"/>
    <n v="1"/>
    <n v="16"/>
    <n v="3"/>
    <n v="4"/>
    <n v="80"/>
    <n v="0"/>
    <n v="5"/>
    <n v="3"/>
    <n v="4"/>
    <n v="2"/>
    <n v="1"/>
    <n v="0"/>
  </r>
  <r>
    <x v="0"/>
    <s v="Travel_Rarely"/>
    <x v="0"/>
    <s v="Ex-Employees"/>
    <x v="1"/>
    <x v="0"/>
    <x v="1424"/>
    <n v="1534"/>
    <x v="1"/>
    <x v="2"/>
    <x v="0"/>
    <s v="No"/>
    <s v="Y"/>
    <n v="3"/>
    <n v="-2"/>
    <n v="0"/>
    <n v="40"/>
    <n v="1"/>
    <n v="1"/>
    <n v="1"/>
    <n v="0"/>
    <n v="676"/>
    <n v="9"/>
    <x v="2"/>
    <n v="1"/>
    <n v="4"/>
    <n v="86"/>
    <n v="3"/>
    <n v="1"/>
    <n v="1"/>
    <n v="2018"/>
    <n v="21831"/>
    <n v="3"/>
    <n v="14"/>
    <n v="3"/>
    <n v="2"/>
    <n v="80"/>
    <n v="0"/>
    <n v="15"/>
    <n v="1"/>
    <n v="5"/>
    <n v="4"/>
    <n v="1"/>
    <n v="0"/>
  </r>
  <r>
    <x v="0"/>
    <s v="Travel_Rarely"/>
    <x v="0"/>
    <s v="Ex-Employees"/>
    <x v="1"/>
    <x v="2"/>
    <x v="1425"/>
    <n v="1809"/>
    <x v="1"/>
    <x v="3"/>
    <x v="0"/>
    <s v="No"/>
    <s v="Y"/>
    <n v="4"/>
    <n v="-2"/>
    <n v="0"/>
    <n v="37"/>
    <n v="1"/>
    <n v="1"/>
    <n v="1"/>
    <n v="0"/>
    <n v="370"/>
    <n v="10"/>
    <x v="2"/>
    <n v="1"/>
    <n v="4"/>
    <n v="58"/>
    <n v="3"/>
    <n v="2"/>
    <n v="1"/>
    <n v="4213"/>
    <n v="4992"/>
    <n v="1"/>
    <n v="15"/>
    <n v="3"/>
    <n v="2"/>
    <n v="80"/>
    <n v="0"/>
    <n v="10"/>
    <n v="1"/>
    <n v="10"/>
    <n v="3"/>
    <n v="0"/>
    <n v="8"/>
  </r>
  <r>
    <x v="0"/>
    <s v="Travel_Rarely"/>
    <x v="2"/>
    <s v="Ex-Employees"/>
    <x v="1"/>
    <x v="0"/>
    <x v="1426"/>
    <n v="1692"/>
    <x v="1"/>
    <x v="2"/>
    <x v="0"/>
    <s v="No"/>
    <s v="Y"/>
    <n v="2"/>
    <n v="-2"/>
    <n v="0"/>
    <n v="32"/>
    <n v="1"/>
    <n v="1"/>
    <n v="1"/>
    <n v="0"/>
    <n v="1259"/>
    <n v="2"/>
    <x v="2"/>
    <n v="1"/>
    <n v="4"/>
    <n v="95"/>
    <n v="3"/>
    <n v="1"/>
    <n v="2"/>
    <n v="1393"/>
    <n v="24852"/>
    <n v="1"/>
    <n v="12"/>
    <n v="3"/>
    <n v="1"/>
    <n v="80"/>
    <n v="0"/>
    <n v="1"/>
    <n v="3"/>
    <n v="1"/>
    <n v="0"/>
    <n v="0"/>
    <n v="0"/>
  </r>
  <r>
    <x v="0"/>
    <s v="Travel_Rarely"/>
    <x v="1"/>
    <s v="Ex-Employees"/>
    <x v="0"/>
    <x v="3"/>
    <x v="1427"/>
    <n v="1457"/>
    <x v="1"/>
    <x v="0"/>
    <x v="2"/>
    <s v="No"/>
    <s v="Y"/>
    <n v="1"/>
    <n v="-2"/>
    <n v="0"/>
    <n v="46"/>
    <n v="1"/>
    <n v="1"/>
    <n v="1"/>
    <n v="0"/>
    <n v="377"/>
    <n v="9"/>
    <x v="3"/>
    <n v="1"/>
    <n v="1"/>
    <n v="52"/>
    <n v="3"/>
    <n v="3"/>
    <n v="1"/>
    <n v="10096"/>
    <n v="15986"/>
    <n v="4"/>
    <n v="11"/>
    <n v="3"/>
    <n v="1"/>
    <n v="80"/>
    <n v="1"/>
    <n v="28"/>
    <n v="4"/>
    <n v="7"/>
    <n v="7"/>
    <n v="4"/>
    <n v="3"/>
  </r>
  <r>
    <x v="0"/>
    <s v="Travel_Rarely"/>
    <x v="2"/>
    <s v="Ex-Employees"/>
    <x v="0"/>
    <x v="0"/>
    <x v="1428"/>
    <n v="1439"/>
    <x v="1"/>
    <x v="6"/>
    <x v="1"/>
    <s v="No"/>
    <s v="Y"/>
    <n v="2"/>
    <n v="-2"/>
    <n v="0"/>
    <n v="25"/>
    <n v="1"/>
    <n v="1"/>
    <n v="1"/>
    <n v="0"/>
    <n v="383"/>
    <n v="9"/>
    <x v="0"/>
    <n v="1"/>
    <n v="1"/>
    <n v="68"/>
    <n v="2"/>
    <n v="1"/>
    <n v="1"/>
    <n v="4400"/>
    <n v="15182"/>
    <n v="3"/>
    <n v="12"/>
    <n v="3"/>
    <n v="1"/>
    <n v="80"/>
    <n v="0"/>
    <n v="6"/>
    <n v="3"/>
    <n v="3"/>
    <n v="2"/>
    <n v="2"/>
    <n v="2"/>
  </r>
  <r>
    <x v="0"/>
    <s v="Travel_Rarely"/>
    <x v="0"/>
    <s v="Ex-Employees"/>
    <x v="0"/>
    <x v="2"/>
    <x v="1429"/>
    <n v="1639"/>
    <x v="1"/>
    <x v="0"/>
    <x v="1"/>
    <s v="No"/>
    <s v="Y"/>
    <n v="3"/>
    <n v="-2"/>
    <n v="0"/>
    <n v="35"/>
    <n v="1"/>
    <n v="1"/>
    <n v="1"/>
    <n v="0"/>
    <n v="737"/>
    <n v="10"/>
    <x v="3"/>
    <n v="1"/>
    <n v="4"/>
    <n v="55"/>
    <n v="2"/>
    <n v="3"/>
    <n v="1"/>
    <n v="10306"/>
    <n v="21530"/>
    <n v="9"/>
    <n v="17"/>
    <n v="3"/>
    <n v="3"/>
    <n v="80"/>
    <n v="0"/>
    <n v="15"/>
    <n v="3"/>
    <n v="13"/>
    <n v="12"/>
    <n v="6"/>
    <n v="0"/>
  </r>
  <r>
    <x v="0"/>
    <s v="Travel_Rarely"/>
    <x v="2"/>
    <s v="Ex-Employees"/>
    <x v="0"/>
    <x v="0"/>
    <x v="1430"/>
    <n v="1562"/>
    <x v="1"/>
    <x v="0"/>
    <x v="1"/>
    <s v="No"/>
    <s v="Y"/>
    <n v="4"/>
    <n v="-2"/>
    <n v="0"/>
    <n v="30"/>
    <n v="1"/>
    <n v="1"/>
    <n v="1"/>
    <n v="0"/>
    <n v="740"/>
    <n v="1"/>
    <x v="3"/>
    <n v="1"/>
    <n v="2"/>
    <n v="64"/>
    <n v="2"/>
    <n v="2"/>
    <n v="1"/>
    <n v="9714"/>
    <n v="5323"/>
    <n v="1"/>
    <n v="11"/>
    <n v="3"/>
    <n v="4"/>
    <n v="80"/>
    <n v="1"/>
    <n v="10"/>
    <n v="3"/>
    <n v="10"/>
    <n v="8"/>
    <n v="6"/>
    <n v="7"/>
  </r>
  <r>
    <x v="0"/>
    <s v="Travel_Rarely"/>
    <x v="2"/>
    <s v="Ex-Employees"/>
    <x v="0"/>
    <x v="3"/>
    <x v="1431"/>
    <n v="1761"/>
    <x v="1"/>
    <x v="0"/>
    <x v="1"/>
    <s v="No"/>
    <s v="Y"/>
    <n v="2"/>
    <n v="-2"/>
    <n v="0"/>
    <n v="31"/>
    <n v="1"/>
    <n v="1"/>
    <n v="1"/>
    <n v="0"/>
    <n v="1079"/>
    <n v="16"/>
    <x v="2"/>
    <n v="1"/>
    <n v="1"/>
    <n v="70"/>
    <n v="3"/>
    <n v="3"/>
    <n v="1"/>
    <n v="8161"/>
    <n v="19002"/>
    <n v="2"/>
    <n v="13"/>
    <n v="3"/>
    <n v="1"/>
    <n v="80"/>
    <n v="3"/>
    <n v="10"/>
    <n v="3"/>
    <n v="1"/>
    <n v="0"/>
    <n v="0"/>
    <n v="0"/>
  </r>
  <r>
    <x v="0"/>
    <s v="Travel_Rarely"/>
    <x v="2"/>
    <s v="Ex-Employees"/>
    <x v="0"/>
    <x v="0"/>
    <x v="1432"/>
    <n v="1734"/>
    <x v="1"/>
    <x v="0"/>
    <x v="0"/>
    <s v="No"/>
    <s v="Y"/>
    <n v="2"/>
    <n v="-2"/>
    <n v="0"/>
    <n v="32"/>
    <n v="1"/>
    <n v="1"/>
    <n v="1"/>
    <n v="0"/>
    <n v="964"/>
    <n v="1"/>
    <x v="0"/>
    <n v="1"/>
    <n v="1"/>
    <n v="34"/>
    <n v="1"/>
    <n v="2"/>
    <n v="2"/>
    <n v="6735"/>
    <n v="12147"/>
    <n v="6"/>
    <n v="15"/>
    <n v="3"/>
    <n v="2"/>
    <n v="80"/>
    <n v="0"/>
    <n v="10"/>
    <n v="3"/>
    <n v="0"/>
    <n v="0"/>
    <n v="0"/>
    <n v="0"/>
  </r>
  <r>
    <x v="0"/>
    <s v="Travel_Rarely"/>
    <x v="4"/>
    <s v="Ex-Employees"/>
    <x v="0"/>
    <x v="3"/>
    <x v="1433"/>
    <n v="1780"/>
    <x v="1"/>
    <x v="6"/>
    <x v="0"/>
    <s v="No"/>
    <s v="Y"/>
    <n v="3"/>
    <n v="-2"/>
    <n v="0"/>
    <n v="21"/>
    <n v="1"/>
    <n v="1"/>
    <n v="1"/>
    <n v="0"/>
    <n v="337"/>
    <n v="7"/>
    <x v="1"/>
    <n v="1"/>
    <n v="2"/>
    <n v="31"/>
    <n v="3"/>
    <n v="1"/>
    <n v="1"/>
    <n v="2679"/>
    <n v="4567"/>
    <n v="1"/>
    <n v="13"/>
    <n v="3"/>
    <n v="2"/>
    <n v="80"/>
    <n v="0"/>
    <n v="1"/>
    <n v="3"/>
    <n v="1"/>
    <n v="0"/>
    <n v="1"/>
    <n v="0"/>
  </r>
  <r>
    <x v="0"/>
    <s v="Travel_Rarely"/>
    <x v="2"/>
    <s v="Ex-Employees"/>
    <x v="0"/>
    <x v="2"/>
    <x v="1434"/>
    <n v="1876"/>
    <x v="1"/>
    <x v="6"/>
    <x v="0"/>
    <s v="No"/>
    <s v="Y"/>
    <n v="3"/>
    <n v="-2"/>
    <n v="0"/>
    <n v="30"/>
    <n v="1"/>
    <n v="1"/>
    <n v="1"/>
    <n v="0"/>
    <n v="945"/>
    <n v="9"/>
    <x v="3"/>
    <n v="1"/>
    <n v="2"/>
    <n v="89"/>
    <n v="3"/>
    <n v="1"/>
    <n v="4"/>
    <n v="1081"/>
    <n v="16019"/>
    <n v="1"/>
    <n v="13"/>
    <n v="3"/>
    <n v="3"/>
    <n v="80"/>
    <n v="0"/>
    <n v="1"/>
    <n v="2"/>
    <n v="1"/>
    <n v="0"/>
    <n v="0"/>
    <n v="0"/>
  </r>
  <r>
    <x v="0"/>
    <s v="Travel_Frequently"/>
    <x v="2"/>
    <s v="Ex-Employees"/>
    <x v="1"/>
    <x v="0"/>
    <x v="1435"/>
    <n v="1939"/>
    <x v="0"/>
    <x v="1"/>
    <x v="0"/>
    <s v="Yes"/>
    <s v="Y"/>
    <n v="2"/>
    <n v="-2"/>
    <n v="0"/>
    <n v="32"/>
    <n v="1"/>
    <n v="1"/>
    <n v="1"/>
    <n v="0"/>
    <n v="238"/>
    <n v="5"/>
    <x v="0"/>
    <n v="1"/>
    <n v="1"/>
    <n v="47"/>
    <n v="4"/>
    <n v="1"/>
    <n v="3"/>
    <n v="2432"/>
    <n v="15318"/>
    <n v="3"/>
    <n v="14"/>
    <n v="3"/>
    <n v="1"/>
    <n v="80"/>
    <n v="0"/>
    <n v="8"/>
    <n v="3"/>
    <n v="4"/>
    <n v="1"/>
    <n v="0"/>
    <n v="3"/>
  </r>
  <r>
    <x v="0"/>
    <s v="Travel_Frequently"/>
    <x v="2"/>
    <s v="Ex-Employees"/>
    <x v="1"/>
    <x v="1"/>
    <x v="1436"/>
    <n v="1421"/>
    <x v="0"/>
    <x v="4"/>
    <x v="0"/>
    <s v="Yes"/>
    <s v="Y"/>
    <n v="1"/>
    <n v="-2"/>
    <n v="0"/>
    <n v="29"/>
    <n v="1"/>
    <n v="1"/>
    <n v="1"/>
    <n v="0"/>
    <n v="337"/>
    <n v="14"/>
    <x v="1"/>
    <n v="1"/>
    <n v="3"/>
    <n v="84"/>
    <n v="3"/>
    <n v="3"/>
    <n v="4"/>
    <n v="7553"/>
    <n v="22930"/>
    <n v="0"/>
    <n v="12"/>
    <n v="3"/>
    <n v="1"/>
    <n v="80"/>
    <n v="0"/>
    <n v="9"/>
    <n v="3"/>
    <n v="8"/>
    <n v="7"/>
    <n v="7"/>
    <n v="7"/>
  </r>
  <r>
    <x v="0"/>
    <s v="Travel_Frequently"/>
    <x v="1"/>
    <s v="Ex-Employees"/>
    <x v="0"/>
    <x v="2"/>
    <x v="1437"/>
    <n v="1691"/>
    <x v="0"/>
    <x v="6"/>
    <x v="1"/>
    <s v="Yes"/>
    <s v="Y"/>
    <n v="3"/>
    <n v="-2"/>
    <n v="0"/>
    <n v="48"/>
    <n v="1"/>
    <n v="1"/>
    <n v="1"/>
    <n v="0"/>
    <n v="708"/>
    <n v="7"/>
    <x v="0"/>
    <n v="1"/>
    <n v="4"/>
    <n v="95"/>
    <n v="3"/>
    <n v="1"/>
    <n v="3"/>
    <n v="2655"/>
    <n v="11740"/>
    <n v="2"/>
    <n v="11"/>
    <n v="3"/>
    <n v="3"/>
    <n v="80"/>
    <n v="2"/>
    <n v="19"/>
    <n v="3"/>
    <n v="9"/>
    <n v="7"/>
    <n v="7"/>
    <n v="7"/>
  </r>
  <r>
    <x v="0"/>
    <s v="Travel_Frequently"/>
    <x v="4"/>
    <s v="Ex-Employees"/>
    <x v="0"/>
    <x v="2"/>
    <x v="1438"/>
    <n v="1624"/>
    <x v="0"/>
    <x v="6"/>
    <x v="0"/>
    <s v="Yes"/>
    <s v="Y"/>
    <n v="2"/>
    <n v="-2"/>
    <n v="0"/>
    <n v="18"/>
    <n v="1"/>
    <n v="1"/>
    <n v="1"/>
    <n v="0"/>
    <n v="544"/>
    <n v="3"/>
    <x v="0"/>
    <n v="1"/>
    <n v="2"/>
    <n v="70"/>
    <n v="3"/>
    <n v="1"/>
    <n v="4"/>
    <n v="1569"/>
    <n v="18420"/>
    <n v="1"/>
    <n v="12"/>
    <n v="3"/>
    <n v="3"/>
    <n v="80"/>
    <n v="0"/>
    <n v="0"/>
    <n v="4"/>
    <n v="0"/>
    <n v="0"/>
    <n v="0"/>
    <n v="0"/>
  </r>
  <r>
    <x v="0"/>
    <s v="Travel_Rarely"/>
    <x v="2"/>
    <s v="Ex-Employees"/>
    <x v="2"/>
    <x v="2"/>
    <x v="1439"/>
    <n v="1818"/>
    <x v="0"/>
    <x v="8"/>
    <x v="1"/>
    <s v="Yes"/>
    <s v="Y"/>
    <n v="3"/>
    <n v="-2"/>
    <n v="0"/>
    <n v="26"/>
    <n v="1"/>
    <n v="1"/>
    <n v="1"/>
    <n v="0"/>
    <n v="920"/>
    <n v="20"/>
    <x v="0"/>
    <n v="1"/>
    <n v="4"/>
    <n v="69"/>
    <n v="3"/>
    <n v="1"/>
    <n v="2"/>
    <n v="2148"/>
    <n v="6889"/>
    <n v="0"/>
    <n v="11"/>
    <n v="3"/>
    <n v="3"/>
    <n v="80"/>
    <n v="0"/>
    <n v="6"/>
    <n v="3"/>
    <n v="5"/>
    <n v="1"/>
    <n v="1"/>
    <n v="4"/>
  </r>
  <r>
    <x v="0"/>
    <s v="Travel_Rarely"/>
    <x v="0"/>
    <s v="Ex-Employees"/>
    <x v="1"/>
    <x v="0"/>
    <x v="1440"/>
    <n v="1569"/>
    <x v="0"/>
    <x v="2"/>
    <x v="2"/>
    <s v="Yes"/>
    <s v="Y"/>
    <n v="2"/>
    <n v="-2"/>
    <n v="0"/>
    <n v="35"/>
    <n v="1"/>
    <n v="1"/>
    <n v="1"/>
    <n v="0"/>
    <n v="104"/>
    <n v="2"/>
    <x v="3"/>
    <n v="1"/>
    <n v="1"/>
    <n v="69"/>
    <n v="3"/>
    <n v="1"/>
    <n v="1"/>
    <n v="2074"/>
    <n v="26619"/>
    <n v="1"/>
    <n v="12"/>
    <n v="3"/>
    <n v="4"/>
    <n v="80"/>
    <n v="1"/>
    <n v="1"/>
    <n v="3"/>
    <n v="1"/>
    <n v="0"/>
    <n v="0"/>
    <n v="0"/>
  </r>
  <r>
    <x v="0"/>
    <s v="Travel_Rarely"/>
    <x v="4"/>
    <s v="Ex-Employees"/>
    <x v="1"/>
    <x v="2"/>
    <x v="1441"/>
    <n v="1783"/>
    <x v="0"/>
    <x v="2"/>
    <x v="1"/>
    <s v="Yes"/>
    <s v="Y"/>
    <n v="6"/>
    <n v="-2"/>
    <n v="0"/>
    <n v="22"/>
    <n v="1"/>
    <n v="1"/>
    <n v="1"/>
    <n v="0"/>
    <n v="1294"/>
    <n v="8"/>
    <x v="1"/>
    <n v="1"/>
    <n v="3"/>
    <n v="79"/>
    <n v="3"/>
    <n v="1"/>
    <n v="1"/>
    <n v="2398"/>
    <n v="15999"/>
    <n v="1"/>
    <n v="17"/>
    <n v="3"/>
    <n v="3"/>
    <n v="80"/>
    <n v="0"/>
    <n v="1"/>
    <n v="3"/>
    <n v="1"/>
    <n v="0"/>
    <n v="0"/>
    <n v="0"/>
  </r>
  <r>
    <x v="0"/>
    <s v="Travel_Rarely"/>
    <x v="2"/>
    <s v="Ex-Employees"/>
    <x v="0"/>
    <x v="3"/>
    <x v="1442"/>
    <n v="1933"/>
    <x v="0"/>
    <x v="0"/>
    <x v="0"/>
    <s v="Yes"/>
    <s v="Y"/>
    <n v="0"/>
    <n v="-2"/>
    <n v="0"/>
    <n v="28"/>
    <n v="1"/>
    <n v="1"/>
    <n v="1"/>
    <n v="0"/>
    <n v="1475"/>
    <n v="13"/>
    <x v="0"/>
    <n v="1"/>
    <n v="4"/>
    <n v="84"/>
    <n v="3"/>
    <n v="2"/>
    <n v="1"/>
    <n v="9854"/>
    <n v="23352"/>
    <n v="3"/>
    <n v="11"/>
    <n v="3"/>
    <n v="4"/>
    <n v="80"/>
    <n v="0"/>
    <n v="6"/>
    <n v="3"/>
    <n v="2"/>
    <n v="0"/>
    <n v="2"/>
    <n v="2"/>
  </r>
  <r>
    <x v="0"/>
    <s v="Travel_Frequently"/>
    <x v="0"/>
    <s v="Ex-Employees"/>
    <x v="1"/>
    <x v="2"/>
    <x v="1443"/>
    <n v="1792"/>
    <x v="1"/>
    <x v="1"/>
    <x v="2"/>
    <s v="Yes"/>
    <s v="Y"/>
    <n v="2"/>
    <n v="-2"/>
    <n v="0"/>
    <n v="44"/>
    <n v="1"/>
    <n v="1"/>
    <n v="1"/>
    <n v="0"/>
    <n v="429"/>
    <n v="1"/>
    <x v="0"/>
    <n v="1"/>
    <n v="3"/>
    <n v="99"/>
    <n v="3"/>
    <n v="1"/>
    <n v="2"/>
    <n v="2342"/>
    <n v="11092"/>
    <n v="1"/>
    <n v="12"/>
    <n v="3"/>
    <n v="3"/>
    <n v="80"/>
    <n v="3"/>
    <n v="6"/>
    <n v="2"/>
    <n v="5"/>
    <n v="3"/>
    <n v="2"/>
    <n v="3"/>
  </r>
  <r>
    <x v="0"/>
    <s v="Travel_Frequently"/>
    <x v="2"/>
    <s v="Ex-Employees"/>
    <x v="1"/>
    <x v="0"/>
    <x v="1444"/>
    <n v="1464"/>
    <x v="1"/>
    <x v="2"/>
    <x v="1"/>
    <s v="Yes"/>
    <s v="Y"/>
    <n v="2"/>
    <n v="-2"/>
    <n v="0"/>
    <n v="31"/>
    <n v="1"/>
    <n v="1"/>
    <n v="1"/>
    <n v="0"/>
    <n v="523"/>
    <n v="2"/>
    <x v="3"/>
    <n v="1"/>
    <n v="2"/>
    <n v="94"/>
    <n v="3"/>
    <n v="1"/>
    <n v="4"/>
    <n v="3722"/>
    <n v="21081"/>
    <n v="6"/>
    <n v="13"/>
    <n v="3"/>
    <n v="3"/>
    <n v="80"/>
    <n v="1"/>
    <n v="7"/>
    <n v="1"/>
    <n v="2"/>
    <n v="2"/>
    <n v="2"/>
    <n v="2"/>
  </r>
  <r>
    <x v="0"/>
    <s v="Travel_Frequently"/>
    <x v="0"/>
    <s v="Ex-Employees"/>
    <x v="1"/>
    <x v="4"/>
    <x v="1445"/>
    <n v="1767"/>
    <x v="1"/>
    <x v="1"/>
    <x v="1"/>
    <s v="Yes"/>
    <s v="Y"/>
    <n v="4"/>
    <n v="-2"/>
    <n v="0"/>
    <n v="43"/>
    <n v="1"/>
    <n v="1"/>
    <n v="1"/>
    <n v="0"/>
    <n v="807"/>
    <n v="17"/>
    <x v="3"/>
    <n v="1"/>
    <n v="3"/>
    <n v="38"/>
    <n v="2"/>
    <n v="1"/>
    <n v="3"/>
    <n v="2437"/>
    <n v="15587"/>
    <n v="9"/>
    <n v="16"/>
    <n v="3"/>
    <n v="4"/>
    <n v="80"/>
    <n v="1"/>
    <n v="6"/>
    <n v="3"/>
    <n v="1"/>
    <n v="0"/>
    <n v="0"/>
    <n v="0"/>
  </r>
  <r>
    <x v="0"/>
    <s v="Travel_Frequently"/>
    <x v="4"/>
    <s v="Ex-Employees"/>
    <x v="1"/>
    <x v="2"/>
    <x v="1446"/>
    <n v="1494"/>
    <x v="1"/>
    <x v="2"/>
    <x v="0"/>
    <s v="Yes"/>
    <s v="Y"/>
    <n v="2"/>
    <n v="-2"/>
    <n v="0"/>
    <n v="24"/>
    <n v="1"/>
    <n v="1"/>
    <n v="1"/>
    <n v="0"/>
    <n v="381"/>
    <n v="9"/>
    <x v="3"/>
    <n v="1"/>
    <n v="2"/>
    <n v="89"/>
    <n v="3"/>
    <n v="1"/>
    <n v="1"/>
    <n v="3172"/>
    <n v="16998"/>
    <n v="2"/>
    <n v="11"/>
    <n v="3"/>
    <n v="3"/>
    <n v="80"/>
    <n v="0"/>
    <n v="4"/>
    <n v="2"/>
    <n v="0"/>
    <n v="0"/>
    <n v="0"/>
    <n v="0"/>
  </r>
  <r>
    <x v="0"/>
    <s v="Travel_Frequently"/>
    <x v="2"/>
    <s v="Ex-Employees"/>
    <x v="0"/>
    <x v="3"/>
    <x v="1447"/>
    <n v="1967"/>
    <x v="1"/>
    <x v="0"/>
    <x v="1"/>
    <s v="Yes"/>
    <s v="Y"/>
    <n v="4"/>
    <n v="-2"/>
    <n v="0"/>
    <n v="31"/>
    <n v="1"/>
    <n v="1"/>
    <n v="1"/>
    <n v="0"/>
    <n v="754"/>
    <n v="26"/>
    <x v="2"/>
    <n v="1"/>
    <n v="1"/>
    <n v="63"/>
    <n v="3"/>
    <n v="2"/>
    <n v="1"/>
    <n v="5617"/>
    <n v="21075"/>
    <n v="1"/>
    <n v="11"/>
    <n v="3"/>
    <n v="3"/>
    <n v="80"/>
    <n v="0"/>
    <n v="10"/>
    <n v="3"/>
    <n v="10"/>
    <n v="7"/>
    <n v="0"/>
    <n v="8"/>
  </r>
  <r>
    <x v="0"/>
    <s v="Travel_Rarely"/>
    <x v="2"/>
    <s v="Ex-Employees"/>
    <x v="2"/>
    <x v="5"/>
    <x v="1448"/>
    <n v="1844"/>
    <x v="1"/>
    <x v="8"/>
    <x v="2"/>
    <s v="Yes"/>
    <s v="Y"/>
    <n v="3"/>
    <n v="-2"/>
    <n v="0"/>
    <n v="29"/>
    <n v="1"/>
    <n v="1"/>
    <n v="1"/>
    <n v="0"/>
    <n v="350"/>
    <n v="13"/>
    <x v="3"/>
    <n v="1"/>
    <n v="1"/>
    <n v="56"/>
    <n v="2"/>
    <n v="1"/>
    <n v="1"/>
    <n v="2335"/>
    <n v="3157"/>
    <n v="4"/>
    <n v="15"/>
    <n v="3"/>
    <n v="4"/>
    <n v="80"/>
    <n v="3"/>
    <n v="4"/>
    <n v="3"/>
    <n v="2"/>
    <n v="2"/>
    <n v="2"/>
    <n v="0"/>
  </r>
  <r>
    <x v="0"/>
    <s v="Travel_Rarely"/>
    <x v="2"/>
    <s v="Ex-Employees"/>
    <x v="1"/>
    <x v="2"/>
    <x v="1449"/>
    <n v="2027"/>
    <x v="1"/>
    <x v="1"/>
    <x v="1"/>
    <s v="Yes"/>
    <s v="Y"/>
    <n v="3"/>
    <n v="-2"/>
    <n v="0"/>
    <n v="29"/>
    <n v="1"/>
    <n v="1"/>
    <n v="1"/>
    <n v="0"/>
    <n v="1092"/>
    <n v="1"/>
    <x v="2"/>
    <n v="1"/>
    <n v="1"/>
    <n v="36"/>
    <n v="3"/>
    <n v="1"/>
    <n v="4"/>
    <n v="4787"/>
    <n v="26124"/>
    <n v="9"/>
    <n v="14"/>
    <n v="3"/>
    <n v="2"/>
    <n v="80"/>
    <n v="3"/>
    <n v="4"/>
    <n v="4"/>
    <n v="2"/>
    <n v="2"/>
    <n v="2"/>
    <n v="2"/>
  </r>
  <r>
    <x v="0"/>
    <s v="Travel_Rarely"/>
    <x v="2"/>
    <s v="Ex-Employees"/>
    <x v="1"/>
    <x v="2"/>
    <x v="1450"/>
    <n v="1604"/>
    <x v="1"/>
    <x v="2"/>
    <x v="1"/>
    <s v="Yes"/>
    <s v="Y"/>
    <n v="3"/>
    <n v="-2"/>
    <n v="0"/>
    <n v="28"/>
    <n v="1"/>
    <n v="1"/>
    <n v="1"/>
    <n v="0"/>
    <n v="329"/>
    <n v="24"/>
    <x v="3"/>
    <n v="1"/>
    <n v="3"/>
    <n v="51"/>
    <n v="3"/>
    <n v="1"/>
    <n v="2"/>
    <n v="2408"/>
    <n v="7324"/>
    <n v="1"/>
    <n v="17"/>
    <n v="3"/>
    <n v="3"/>
    <n v="80"/>
    <n v="3"/>
    <n v="1"/>
    <n v="3"/>
    <n v="1"/>
    <n v="1"/>
    <n v="0"/>
    <n v="0"/>
  </r>
  <r>
    <x v="0"/>
    <s v="Travel_Rarely"/>
    <x v="0"/>
    <s v="Ex-Employees"/>
    <x v="1"/>
    <x v="0"/>
    <x v="1451"/>
    <n v="1649"/>
    <x v="1"/>
    <x v="2"/>
    <x v="0"/>
    <s v="Yes"/>
    <s v="Y"/>
    <n v="3"/>
    <n v="-2"/>
    <n v="0"/>
    <n v="40"/>
    <n v="1"/>
    <n v="1"/>
    <n v="1"/>
    <n v="0"/>
    <n v="1329"/>
    <n v="7"/>
    <x v="3"/>
    <n v="1"/>
    <n v="1"/>
    <n v="73"/>
    <n v="3"/>
    <n v="1"/>
    <n v="1"/>
    <n v="2166"/>
    <n v="3339"/>
    <n v="3"/>
    <n v="14"/>
    <n v="3"/>
    <n v="2"/>
    <n v="80"/>
    <n v="0"/>
    <n v="10"/>
    <n v="1"/>
    <n v="4"/>
    <n v="2"/>
    <n v="0"/>
    <n v="3"/>
  </r>
  <r>
    <x v="0"/>
    <s v="Travel_Rarely"/>
    <x v="4"/>
    <s v="Ex-Employees"/>
    <x v="1"/>
    <x v="2"/>
    <x v="1452"/>
    <n v="1684"/>
    <x v="1"/>
    <x v="2"/>
    <x v="0"/>
    <s v="Yes"/>
    <s v="Y"/>
    <n v="2"/>
    <n v="-2"/>
    <n v="0"/>
    <n v="23"/>
    <n v="1"/>
    <n v="1"/>
    <n v="1"/>
    <n v="0"/>
    <n v="1320"/>
    <n v="8"/>
    <x v="1"/>
    <n v="1"/>
    <n v="4"/>
    <n v="93"/>
    <n v="2"/>
    <n v="1"/>
    <n v="3"/>
    <n v="3989"/>
    <n v="20586"/>
    <n v="1"/>
    <n v="11"/>
    <n v="3"/>
    <n v="1"/>
    <n v="80"/>
    <n v="0"/>
    <n v="5"/>
    <n v="3"/>
    <n v="5"/>
    <n v="4"/>
    <n v="1"/>
    <n v="2"/>
  </r>
  <r>
    <x v="0"/>
    <s v="Travel_Rarely"/>
    <x v="1"/>
    <s v="Ex-Employees"/>
    <x v="0"/>
    <x v="3"/>
    <x v="1453"/>
    <n v="2055"/>
    <x v="1"/>
    <x v="0"/>
    <x v="2"/>
    <s v="Yes"/>
    <s v="Y"/>
    <n v="3"/>
    <n v="-2"/>
    <n v="0"/>
    <n v="50"/>
    <n v="1"/>
    <n v="1"/>
    <n v="1"/>
    <n v="0"/>
    <n v="410"/>
    <n v="28"/>
    <x v="3"/>
    <n v="1"/>
    <n v="4"/>
    <n v="39"/>
    <n v="2"/>
    <n v="3"/>
    <n v="1"/>
    <n v="10854"/>
    <n v="16586"/>
    <n v="4"/>
    <n v="13"/>
    <n v="3"/>
    <n v="2"/>
    <n v="80"/>
    <n v="1"/>
    <n v="20"/>
    <n v="3"/>
    <n v="3"/>
    <n v="2"/>
    <n v="2"/>
    <n v="0"/>
  </r>
  <r>
    <x v="0"/>
    <s v="Travel_Rarely"/>
    <x v="0"/>
    <s v="Ex-Employees"/>
    <x v="0"/>
    <x v="2"/>
    <x v="1454"/>
    <n v="1645"/>
    <x v="1"/>
    <x v="0"/>
    <x v="2"/>
    <s v="Yes"/>
    <s v="Y"/>
    <n v="2"/>
    <n v="-2"/>
    <n v="0"/>
    <n v="35"/>
    <n v="1"/>
    <n v="1"/>
    <n v="1"/>
    <n v="0"/>
    <n v="763"/>
    <n v="15"/>
    <x v="0"/>
    <n v="1"/>
    <n v="1"/>
    <n v="59"/>
    <n v="1"/>
    <n v="2"/>
    <n v="4"/>
    <n v="5440"/>
    <n v="22098"/>
    <n v="6"/>
    <n v="14"/>
    <n v="3"/>
    <n v="4"/>
    <n v="80"/>
    <n v="2"/>
    <n v="7"/>
    <n v="2"/>
    <n v="2"/>
    <n v="2"/>
    <n v="2"/>
    <n v="2"/>
  </r>
  <r>
    <x v="0"/>
    <s v="Travel_Rarely"/>
    <x v="0"/>
    <s v="Ex-Employees"/>
    <x v="0"/>
    <x v="3"/>
    <x v="1455"/>
    <n v="1733"/>
    <x v="1"/>
    <x v="0"/>
    <x v="2"/>
    <s v="Yes"/>
    <s v="Y"/>
    <n v="3"/>
    <n v="-2"/>
    <n v="0"/>
    <n v="36"/>
    <n v="1"/>
    <n v="1"/>
    <n v="1"/>
    <n v="0"/>
    <n v="1456"/>
    <n v="13"/>
    <x v="4"/>
    <n v="1"/>
    <n v="2"/>
    <n v="96"/>
    <n v="2"/>
    <n v="2"/>
    <n v="1"/>
    <n v="6134"/>
    <n v="8658"/>
    <n v="5"/>
    <n v="13"/>
    <n v="3"/>
    <n v="2"/>
    <n v="80"/>
    <n v="3"/>
    <n v="16"/>
    <n v="3"/>
    <n v="2"/>
    <n v="2"/>
    <n v="2"/>
    <n v="2"/>
  </r>
  <r>
    <x v="0"/>
    <s v="Travel_Rarely"/>
    <x v="1"/>
    <s v="Ex-Employees"/>
    <x v="0"/>
    <x v="0"/>
    <x v="1456"/>
    <n v="1968"/>
    <x v="1"/>
    <x v="0"/>
    <x v="0"/>
    <s v="Yes"/>
    <s v="Y"/>
    <n v="2"/>
    <n v="-2"/>
    <n v="0"/>
    <n v="53"/>
    <n v="1"/>
    <n v="1"/>
    <n v="1"/>
    <n v="0"/>
    <n v="1168"/>
    <n v="24"/>
    <x v="2"/>
    <n v="1"/>
    <n v="1"/>
    <n v="66"/>
    <n v="3"/>
    <n v="3"/>
    <n v="1"/>
    <n v="10448"/>
    <n v="5843"/>
    <n v="6"/>
    <n v="13"/>
    <n v="3"/>
    <n v="2"/>
    <n v="80"/>
    <n v="0"/>
    <n v="15"/>
    <n v="2"/>
    <n v="2"/>
    <n v="2"/>
    <n v="2"/>
    <n v="2"/>
  </r>
  <r>
    <x v="0"/>
    <s v="Travel_Rarely"/>
    <x v="2"/>
    <s v="Ex-Employees"/>
    <x v="0"/>
    <x v="3"/>
    <x v="1457"/>
    <n v="1862"/>
    <x v="1"/>
    <x v="0"/>
    <x v="0"/>
    <s v="Yes"/>
    <s v="Y"/>
    <n v="3"/>
    <n v="-2"/>
    <n v="0"/>
    <n v="32"/>
    <n v="1"/>
    <n v="1"/>
    <n v="1"/>
    <n v="0"/>
    <n v="414"/>
    <n v="2"/>
    <x v="2"/>
    <n v="1"/>
    <n v="3"/>
    <n v="82"/>
    <n v="2"/>
    <n v="2"/>
    <n v="2"/>
    <n v="9907"/>
    <n v="26186"/>
    <n v="7"/>
    <n v="12"/>
    <n v="3"/>
    <n v="3"/>
    <n v="80"/>
    <n v="0"/>
    <n v="7"/>
    <n v="2"/>
    <n v="2"/>
    <n v="2"/>
    <n v="2"/>
    <n v="2"/>
  </r>
  <r>
    <x v="0"/>
    <s v="Travel_Rarely"/>
    <x v="0"/>
    <s v="Ex-Employees"/>
    <x v="0"/>
    <x v="0"/>
    <x v="1458"/>
    <n v="1797"/>
    <x v="1"/>
    <x v="0"/>
    <x v="0"/>
    <s v="Yes"/>
    <s v="Y"/>
    <n v="2"/>
    <n v="-2"/>
    <n v="0"/>
    <n v="35"/>
    <n v="1"/>
    <n v="1"/>
    <n v="1"/>
    <n v="0"/>
    <n v="303"/>
    <n v="27"/>
    <x v="3"/>
    <n v="1"/>
    <n v="3"/>
    <n v="84"/>
    <n v="3"/>
    <n v="2"/>
    <n v="4"/>
    <n v="5813"/>
    <n v="13492"/>
    <n v="1"/>
    <n v="18"/>
    <n v="3"/>
    <n v="4"/>
    <n v="80"/>
    <n v="0"/>
    <n v="10"/>
    <n v="3"/>
    <n v="10"/>
    <n v="7"/>
    <n v="7"/>
    <n v="7"/>
  </r>
  <r>
    <x v="0"/>
    <s v="Travel_Rarely"/>
    <x v="1"/>
    <s v="Ex-Employees"/>
    <x v="1"/>
    <x v="2"/>
    <x v="1459"/>
    <n v="1821"/>
    <x v="0"/>
    <x v="4"/>
    <x v="1"/>
    <s v="No"/>
    <s v="Y"/>
    <n v="2"/>
    <n v="-2"/>
    <n v="0"/>
    <n v="46"/>
    <n v="1"/>
    <n v="1"/>
    <n v="1"/>
    <n v="0"/>
    <n v="261"/>
    <n v="21"/>
    <x v="0"/>
    <n v="1"/>
    <n v="4"/>
    <n v="66"/>
    <n v="3"/>
    <n v="2"/>
    <n v="2"/>
    <n v="8926"/>
    <n v="10842"/>
    <n v="4"/>
    <n v="22"/>
    <n v="4"/>
    <n v="4"/>
    <n v="80"/>
    <n v="1"/>
    <n v="13"/>
    <n v="4"/>
    <n v="9"/>
    <n v="7"/>
    <n v="3"/>
    <n v="7"/>
  </r>
  <r>
    <x v="0"/>
    <s v="Travel_Rarely"/>
    <x v="1"/>
    <s v="Ex-Employees"/>
    <x v="0"/>
    <x v="0"/>
    <x v="1460"/>
    <n v="1869"/>
    <x v="0"/>
    <x v="0"/>
    <x v="1"/>
    <s v="No"/>
    <s v="Y"/>
    <n v="2"/>
    <n v="-2"/>
    <n v="0"/>
    <n v="46"/>
    <n v="1"/>
    <n v="1"/>
    <n v="1"/>
    <n v="0"/>
    <n v="1254"/>
    <n v="10"/>
    <x v="3"/>
    <n v="1"/>
    <n v="3"/>
    <n v="64"/>
    <n v="3"/>
    <n v="3"/>
    <n v="2"/>
    <n v="7314"/>
    <n v="14011"/>
    <n v="5"/>
    <n v="21"/>
    <n v="4"/>
    <n v="3"/>
    <n v="80"/>
    <n v="3"/>
    <n v="14"/>
    <n v="3"/>
    <n v="8"/>
    <n v="7"/>
    <n v="0"/>
    <n v="7"/>
  </r>
  <r>
    <x v="0"/>
    <s v="Travel_Frequently"/>
    <x v="1"/>
    <s v="Ex-Employees"/>
    <x v="1"/>
    <x v="0"/>
    <x v="1461"/>
    <n v="1420"/>
    <x v="1"/>
    <x v="2"/>
    <x v="0"/>
    <s v="No"/>
    <s v="Y"/>
    <n v="2"/>
    <n v="-2"/>
    <n v="0"/>
    <n v="49"/>
    <n v="1"/>
    <n v="1"/>
    <n v="1"/>
    <n v="0"/>
    <n v="1475"/>
    <n v="28"/>
    <x v="0"/>
    <n v="1"/>
    <n v="1"/>
    <n v="97"/>
    <n v="2"/>
    <n v="2"/>
    <n v="1"/>
    <n v="4284"/>
    <n v="22710"/>
    <n v="3"/>
    <n v="20"/>
    <n v="4"/>
    <n v="1"/>
    <n v="80"/>
    <n v="0"/>
    <n v="20"/>
    <n v="3"/>
    <n v="4"/>
    <n v="3"/>
    <n v="1"/>
    <n v="3"/>
  </r>
  <r>
    <x v="0"/>
    <s v="Non-Travel"/>
    <x v="0"/>
    <s v="Ex-Employees"/>
    <x v="1"/>
    <x v="0"/>
    <x v="1462"/>
    <n v="1458"/>
    <x v="0"/>
    <x v="2"/>
    <x v="0"/>
    <s v="Yes"/>
    <s v="Y"/>
    <n v="2"/>
    <n v="-2"/>
    <n v="0"/>
    <n v="39"/>
    <n v="1"/>
    <n v="1"/>
    <n v="1"/>
    <n v="0"/>
    <n v="592"/>
    <n v="2"/>
    <x v="3"/>
    <n v="1"/>
    <n v="1"/>
    <n v="54"/>
    <n v="2"/>
    <n v="1"/>
    <n v="1"/>
    <n v="3646"/>
    <n v="17181"/>
    <n v="2"/>
    <n v="23"/>
    <n v="4"/>
    <n v="2"/>
    <n v="80"/>
    <n v="0"/>
    <n v="11"/>
    <n v="4"/>
    <n v="1"/>
    <n v="0"/>
    <n v="0"/>
    <n v="0"/>
  </r>
  <r>
    <x v="0"/>
    <s v="Travel_Rarely"/>
    <x v="2"/>
    <s v="Ex-Employees"/>
    <x v="0"/>
    <x v="2"/>
    <x v="1463"/>
    <n v="1489"/>
    <x v="0"/>
    <x v="0"/>
    <x v="0"/>
    <s v="Yes"/>
    <s v="Y"/>
    <n v="2"/>
    <n v="-2"/>
    <n v="0"/>
    <n v="34"/>
    <n v="1"/>
    <n v="1"/>
    <n v="1"/>
    <n v="0"/>
    <n v="790"/>
    <n v="24"/>
    <x v="2"/>
    <n v="1"/>
    <n v="1"/>
    <n v="40"/>
    <n v="2"/>
    <n v="2"/>
    <n v="2"/>
    <n v="4599"/>
    <n v="7815"/>
    <n v="0"/>
    <n v="23"/>
    <n v="4"/>
    <n v="3"/>
    <n v="80"/>
    <n v="0"/>
    <n v="16"/>
    <n v="4"/>
    <n v="15"/>
    <n v="9"/>
    <n v="10"/>
    <n v="10"/>
  </r>
  <r>
    <x v="0"/>
    <s v="Travel_Rarely"/>
    <x v="2"/>
    <s v="Ex-Employees"/>
    <x v="0"/>
    <x v="0"/>
    <x v="1464"/>
    <n v="1758"/>
    <x v="0"/>
    <x v="0"/>
    <x v="0"/>
    <s v="Yes"/>
    <s v="Y"/>
    <n v="2"/>
    <n v="-2"/>
    <n v="0"/>
    <n v="33"/>
    <n v="1"/>
    <n v="1"/>
    <n v="1"/>
    <n v="0"/>
    <n v="211"/>
    <n v="16"/>
    <x v="3"/>
    <n v="1"/>
    <n v="1"/>
    <n v="74"/>
    <n v="3"/>
    <n v="3"/>
    <n v="1"/>
    <n v="8564"/>
    <n v="10092"/>
    <n v="2"/>
    <n v="20"/>
    <n v="4"/>
    <n v="3"/>
    <n v="80"/>
    <n v="0"/>
    <n v="11"/>
    <n v="2"/>
    <n v="0"/>
    <n v="0"/>
    <n v="0"/>
    <n v="0"/>
  </r>
  <r>
    <x v="0"/>
    <s v="Non-Travel"/>
    <x v="2"/>
    <s v="Ex-Employees"/>
    <x v="1"/>
    <x v="4"/>
    <x v="1465"/>
    <n v="1905"/>
    <x v="1"/>
    <x v="1"/>
    <x v="1"/>
    <s v="Yes"/>
    <s v="Y"/>
    <n v="2"/>
    <n v="-2"/>
    <n v="0"/>
    <n v="34"/>
    <n v="1"/>
    <n v="1"/>
    <n v="1"/>
    <n v="0"/>
    <n v="967"/>
    <n v="16"/>
    <x v="2"/>
    <n v="1"/>
    <n v="4"/>
    <n v="85"/>
    <n v="1"/>
    <n v="1"/>
    <n v="1"/>
    <n v="2307"/>
    <n v="14460"/>
    <n v="1"/>
    <n v="23"/>
    <n v="4"/>
    <n v="2"/>
    <n v="80"/>
    <n v="1"/>
    <n v="5"/>
    <n v="3"/>
    <n v="5"/>
    <n v="2"/>
    <n v="3"/>
    <n v="0"/>
  </r>
  <r>
    <x v="0"/>
    <s v="Travel_Frequently"/>
    <x v="2"/>
    <s v="Ex-Employees"/>
    <x v="1"/>
    <x v="0"/>
    <x v="1466"/>
    <n v="1868"/>
    <x v="1"/>
    <x v="1"/>
    <x v="0"/>
    <s v="Yes"/>
    <s v="Y"/>
    <n v="3"/>
    <n v="-2"/>
    <n v="0"/>
    <n v="29"/>
    <n v="1"/>
    <n v="1"/>
    <n v="1"/>
    <n v="0"/>
    <n v="459"/>
    <n v="24"/>
    <x v="0"/>
    <n v="1"/>
    <n v="4"/>
    <n v="73"/>
    <n v="2"/>
    <n v="1"/>
    <n v="4"/>
    <n v="2439"/>
    <n v="14753"/>
    <n v="1"/>
    <n v="24"/>
    <n v="4"/>
    <n v="2"/>
    <n v="80"/>
    <n v="0"/>
    <n v="1"/>
    <n v="2"/>
    <n v="1"/>
    <n v="0"/>
    <n v="1"/>
    <n v="0"/>
  </r>
  <r>
    <x v="0"/>
    <s v="Travel_Frequently"/>
    <x v="0"/>
    <s v="Ex-Employees"/>
    <x v="0"/>
    <x v="1"/>
    <x v="1467"/>
    <n v="1667"/>
    <x v="1"/>
    <x v="0"/>
    <x v="0"/>
    <s v="Yes"/>
    <s v="Y"/>
    <n v="2"/>
    <n v="-2"/>
    <n v="0"/>
    <n v="35"/>
    <n v="1"/>
    <n v="1"/>
    <n v="1"/>
    <n v="0"/>
    <n v="880"/>
    <n v="12"/>
    <x v="2"/>
    <n v="1"/>
    <n v="4"/>
    <n v="36"/>
    <n v="3"/>
    <n v="2"/>
    <n v="4"/>
    <n v="4581"/>
    <n v="10414"/>
    <n v="3"/>
    <n v="24"/>
    <n v="4"/>
    <n v="1"/>
    <n v="80"/>
    <n v="0"/>
    <n v="13"/>
    <n v="4"/>
    <n v="11"/>
    <n v="9"/>
    <n v="6"/>
    <n v="7"/>
  </r>
  <r>
    <x v="0"/>
    <s v="Travel_Rarely"/>
    <x v="4"/>
    <s v="Ex-Employees"/>
    <x v="1"/>
    <x v="0"/>
    <x v="1468"/>
    <n v="1878"/>
    <x v="1"/>
    <x v="1"/>
    <x v="0"/>
    <s v="Yes"/>
    <s v="Y"/>
    <n v="2"/>
    <n v="-2"/>
    <n v="0"/>
    <n v="22"/>
    <n v="1"/>
    <n v="1"/>
    <n v="1"/>
    <n v="0"/>
    <n v="391"/>
    <n v="7"/>
    <x v="1"/>
    <n v="1"/>
    <n v="4"/>
    <n v="75"/>
    <n v="3"/>
    <n v="1"/>
    <n v="2"/>
    <n v="2472"/>
    <n v="26092"/>
    <n v="1"/>
    <n v="23"/>
    <n v="4"/>
    <n v="1"/>
    <n v="80"/>
    <n v="0"/>
    <n v="1"/>
    <n v="3"/>
    <n v="1"/>
    <n v="0"/>
    <n v="0"/>
    <n v="0"/>
  </r>
  <r>
    <x v="0"/>
    <s v="Travel_Rarely"/>
    <x v="4"/>
    <s v="Ex-Employees"/>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760A52-6884-4376-B946-24737818E385}"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44:B148" firstHeaderRow="1" firstDataRow="1" firstDataCol="1"/>
  <pivotFields count="44">
    <pivotField showAll="0">
      <items count="3">
        <item x="1"/>
        <item x="0"/>
        <item t="default"/>
      </items>
    </pivotField>
    <pivotField showAll="0"/>
    <pivotField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formats count="20">
    <format dxfId="2247">
      <pivotArea type="all" dataOnly="0" outline="0" fieldPosition="0"/>
    </format>
    <format dxfId="2248">
      <pivotArea outline="0" collapsedLevelsAreSubtotals="1" fieldPosition="0"/>
    </format>
    <format dxfId="2249">
      <pivotArea outline="0" collapsedLevelsAreSubtotals="1" fieldPosition="0"/>
    </format>
    <format dxfId="2250">
      <pivotArea type="all" dataOnly="0" outline="0" fieldPosition="0"/>
    </format>
    <format dxfId="2251">
      <pivotArea outline="0" collapsedLevelsAreSubtotals="1" fieldPosition="0"/>
    </format>
    <format dxfId="2252">
      <pivotArea outline="0" collapsedLevelsAreSubtotals="1" fieldPosition="0"/>
    </format>
    <format dxfId="2253">
      <pivotArea grandRow="1" outline="0" collapsedLevelsAreSubtotals="1" fieldPosition="0"/>
    </format>
    <format dxfId="2254">
      <pivotArea type="all" dataOnly="0" outline="0" fieldPosition="0"/>
    </format>
    <format dxfId="2255">
      <pivotArea field="8" type="button" dataOnly="0" labelOnly="1" outline="0"/>
    </format>
    <format dxfId="2256">
      <pivotArea type="all" dataOnly="0" outline="0" fieldPosition="0"/>
    </format>
    <format dxfId="2257">
      <pivotArea field="9" type="button" dataOnly="0" labelOnly="1" outline="0"/>
    </format>
    <format dxfId="2258">
      <pivotArea type="all" dataOnly="0" outline="0" fieldPosition="0"/>
    </format>
    <format dxfId="2259">
      <pivotArea field="4" type="button" dataOnly="0" labelOnly="1" outline="0"/>
    </format>
    <format dxfId="2260">
      <pivotArea outline="0" fieldPosition="0">
        <references count="1">
          <reference field="4294967294" count="1">
            <x v="0"/>
          </reference>
        </references>
      </pivotArea>
    </format>
    <format dxfId="2261">
      <pivotArea type="all" dataOnly="0" outline="0" fieldPosition="0"/>
    </format>
    <format dxfId="2262">
      <pivotArea outline="0" collapsedLevelsAreSubtotals="1" fieldPosition="0"/>
    </format>
    <format dxfId="2263">
      <pivotArea field="10" type="button" dataOnly="0" labelOnly="1" outline="0" axis="axisRow" fieldPosition="0"/>
    </format>
    <format dxfId="2264">
      <pivotArea dataOnly="0" labelOnly="1" fieldPosition="0">
        <references count="1">
          <reference field="10" count="0"/>
        </references>
      </pivotArea>
    </format>
    <format dxfId="2265">
      <pivotArea dataOnly="0" labelOnly="1" grandRow="1" outline="0" fieldPosition="0"/>
    </format>
    <format dxfId="2266">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C8323D-5DCF-4CBC-8C30-B6C1A8F88362}"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9:B135" firstHeaderRow="1" firstDataRow="1" firstDataCol="1"/>
  <pivotFields count="44">
    <pivotField showAll="0">
      <items count="3">
        <item x="1"/>
        <item x="0"/>
        <item t="default"/>
      </items>
    </pivotField>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formats count="20">
    <format dxfId="2267">
      <pivotArea type="all" dataOnly="0" outline="0" fieldPosition="0"/>
    </format>
    <format dxfId="2268">
      <pivotArea outline="0" collapsedLevelsAreSubtotals="1" fieldPosition="0"/>
    </format>
    <format dxfId="2269">
      <pivotArea outline="0" collapsedLevelsAreSubtotals="1" fieldPosition="0"/>
    </format>
    <format dxfId="2270">
      <pivotArea type="all" dataOnly="0" outline="0" fieldPosition="0"/>
    </format>
    <format dxfId="2271">
      <pivotArea outline="0" collapsedLevelsAreSubtotals="1" fieldPosition="0"/>
    </format>
    <format dxfId="2272">
      <pivotArea outline="0" collapsedLevelsAreSubtotals="1" fieldPosition="0"/>
    </format>
    <format dxfId="2273">
      <pivotArea grandRow="1" outline="0" collapsedLevelsAreSubtotals="1" fieldPosition="0"/>
    </format>
    <format dxfId="2274">
      <pivotArea type="all" dataOnly="0" outline="0" fieldPosition="0"/>
    </format>
    <format dxfId="2275">
      <pivotArea field="8" type="button" dataOnly="0" labelOnly="1" outline="0"/>
    </format>
    <format dxfId="2276">
      <pivotArea type="all" dataOnly="0" outline="0" fieldPosition="0"/>
    </format>
    <format dxfId="2277">
      <pivotArea field="9" type="button" dataOnly="0" labelOnly="1" outline="0"/>
    </format>
    <format dxfId="2278">
      <pivotArea type="all" dataOnly="0" outline="0" fieldPosition="0"/>
    </format>
    <format dxfId="2279">
      <pivotArea field="4" type="button" dataOnly="0" labelOnly="1" outline="0"/>
    </format>
    <format dxfId="2280">
      <pivotArea outline="0" fieldPosition="0">
        <references count="1">
          <reference field="4294967294" count="1">
            <x v="0"/>
          </reference>
        </references>
      </pivotArea>
    </format>
    <format dxfId="2281">
      <pivotArea type="all" dataOnly="0" outline="0" fieldPosition="0"/>
    </format>
    <format dxfId="2282">
      <pivotArea outline="0" collapsedLevelsAreSubtotals="1" fieldPosition="0"/>
    </format>
    <format dxfId="2283">
      <pivotArea field="2" type="button" dataOnly="0" labelOnly="1" outline="0" axis="axisRow" fieldPosition="0"/>
    </format>
    <format dxfId="2284">
      <pivotArea dataOnly="0" labelOnly="1" fieldPosition="0">
        <references count="1">
          <reference field="2" count="0"/>
        </references>
      </pivotArea>
    </format>
    <format dxfId="2285">
      <pivotArea dataOnly="0" labelOnly="1" grandRow="1" outline="0" fieldPosition="0"/>
    </format>
    <format dxfId="2286">
      <pivotArea dataOnly="0" labelOnly="1" outline="0" axis="axisValues" fieldPosition="0"/>
    </format>
  </formats>
  <chartFormats count="9">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2" count="1" selected="0">
            <x v="0"/>
          </reference>
        </references>
      </pivotArea>
    </chartFormat>
    <chartFormat chart="22" format="4">
      <pivotArea type="data" outline="0" fieldPosition="0">
        <references count="2">
          <reference field="4294967294" count="1" selected="0">
            <x v="0"/>
          </reference>
          <reference field="2" count="1" selected="0">
            <x v="3"/>
          </reference>
        </references>
      </pivotArea>
    </chartFormat>
    <chartFormat chart="22" format="5">
      <pivotArea type="data" outline="0" fieldPosition="0">
        <references count="2">
          <reference field="4294967294" count="1" selected="0">
            <x v="0"/>
          </reference>
          <reference field="2" count="1" selected="0">
            <x v="2"/>
          </reference>
        </references>
      </pivotArea>
    </chartFormat>
    <chartFormat chart="22" format="6">
      <pivotArea type="data" outline="0" fieldPosition="0">
        <references count="2">
          <reference field="4294967294" count="1" selected="0">
            <x v="0"/>
          </reference>
          <reference field="2" count="1" selected="0">
            <x v="4"/>
          </reference>
        </references>
      </pivotArea>
    </chartFormat>
    <chartFormat chart="22" format="7">
      <pivotArea type="data" outline="0" fieldPosition="0">
        <references count="2">
          <reference field="4294967294" count="1" selected="0">
            <x v="0"/>
          </reference>
          <reference field="2"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CF8EA2-F2D0-42E6-8C13-E5F5296D4D2B}"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3:B117"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axis="axisRow"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formats count="18">
    <format dxfId="2287">
      <pivotArea type="all" dataOnly="0" outline="0" fieldPosition="0"/>
    </format>
    <format dxfId="2288">
      <pivotArea outline="0" collapsedLevelsAreSubtotals="1" fieldPosition="0"/>
    </format>
    <format dxfId="2289">
      <pivotArea outline="0" collapsedLevelsAreSubtotals="1" fieldPosition="0"/>
    </format>
    <format dxfId="2290">
      <pivotArea type="all" dataOnly="0" outline="0" fieldPosition="0"/>
    </format>
    <format dxfId="2291">
      <pivotArea outline="0" collapsedLevelsAreSubtotals="1" fieldPosition="0"/>
    </format>
    <format dxfId="2292">
      <pivotArea outline="0" collapsedLevelsAreSubtotals="1" fieldPosition="0"/>
    </format>
    <format dxfId="2293">
      <pivotArea grandRow="1" outline="0" collapsedLevelsAreSubtotals="1" fieldPosition="0"/>
    </format>
    <format dxfId="2294">
      <pivotArea type="all" dataOnly="0" outline="0" fieldPosition="0"/>
    </format>
    <format dxfId="2295">
      <pivotArea field="8" type="button" dataOnly="0" labelOnly="1" outline="0"/>
    </format>
    <format dxfId="2296">
      <pivotArea type="all" dataOnly="0" outline="0" fieldPosition="0"/>
    </format>
    <format dxfId="2297">
      <pivotArea field="9" type="button" dataOnly="0" labelOnly="1" outline="0"/>
    </format>
    <format dxfId="2298">
      <pivotArea outline="0" fieldPosition="0">
        <references count="1">
          <reference field="4294967294" count="1">
            <x v="0"/>
          </reference>
        </references>
      </pivotArea>
    </format>
    <format dxfId="2299">
      <pivotArea type="all" dataOnly="0" outline="0" fieldPosition="0"/>
    </format>
    <format dxfId="2300">
      <pivotArea outline="0" collapsedLevelsAreSubtotals="1" fieldPosition="0"/>
    </format>
    <format dxfId="2301">
      <pivotArea field="4" type="button" dataOnly="0" labelOnly="1" outline="0" axis="axisRow" fieldPosition="0"/>
    </format>
    <format dxfId="2302">
      <pivotArea dataOnly="0" labelOnly="1" fieldPosition="0">
        <references count="1">
          <reference field="4" count="0"/>
        </references>
      </pivotArea>
    </format>
    <format dxfId="2303">
      <pivotArea dataOnly="0" labelOnly="1" grandRow="1" outline="0" fieldPosition="0"/>
    </format>
    <format dxfId="2304">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CB026D-2BEB-4BA4-A365-F7F1F43C456E}" name="Job by attri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8:B98"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2"/>
    </i>
    <i>
      <x v="7"/>
    </i>
    <i>
      <x v="6"/>
    </i>
    <i>
      <x v="8"/>
    </i>
    <i>
      <x v="1"/>
    </i>
    <i>
      <x v="4"/>
    </i>
    <i>
      <x/>
    </i>
    <i>
      <x v="3"/>
    </i>
    <i>
      <x v="5"/>
    </i>
    <i t="grand">
      <x/>
    </i>
  </rowItems>
  <colItems count="1">
    <i/>
  </colItems>
  <dataFields count="1">
    <dataField name="Sum of CF_attrition count" fld="17" baseField="0" baseItem="0"/>
  </dataFields>
  <formats count="16">
    <format dxfId="2305">
      <pivotArea type="all" dataOnly="0" outline="0" fieldPosition="0"/>
    </format>
    <format dxfId="2306">
      <pivotArea outline="0" collapsedLevelsAreSubtotals="1" fieldPosition="0"/>
    </format>
    <format dxfId="2307">
      <pivotArea outline="0" collapsedLevelsAreSubtotals="1" fieldPosition="0"/>
    </format>
    <format dxfId="2308">
      <pivotArea type="all" dataOnly="0" outline="0" fieldPosition="0"/>
    </format>
    <format dxfId="2309">
      <pivotArea outline="0" collapsedLevelsAreSubtotals="1" fieldPosition="0"/>
    </format>
    <format dxfId="2310">
      <pivotArea outline="0" collapsedLevelsAreSubtotals="1" fieldPosition="0"/>
    </format>
    <format dxfId="2311">
      <pivotArea grandRow="1" outline="0" collapsedLevelsAreSubtotals="1" fieldPosition="0"/>
    </format>
    <format dxfId="2312">
      <pivotArea type="all" dataOnly="0" outline="0" fieldPosition="0"/>
    </format>
    <format dxfId="2313">
      <pivotArea field="8" type="button" dataOnly="0" labelOnly="1" outline="0"/>
    </format>
    <format dxfId="2314">
      <pivotArea collapsedLevelsAreSubtotals="1" fieldPosition="0">
        <references count="1">
          <reference field="9" count="0"/>
        </references>
      </pivotArea>
    </format>
    <format dxfId="2315">
      <pivotArea type="all" dataOnly="0" outline="0" fieldPosition="0"/>
    </format>
    <format dxfId="2316">
      <pivotArea outline="0" collapsedLevelsAreSubtotals="1" fieldPosition="0"/>
    </format>
    <format dxfId="2317">
      <pivotArea field="9" type="button" dataOnly="0" labelOnly="1" outline="0" axis="axisRow" fieldPosition="0"/>
    </format>
    <format dxfId="2318">
      <pivotArea dataOnly="0" labelOnly="1" fieldPosition="0">
        <references count="1">
          <reference field="9" count="0"/>
        </references>
      </pivotArea>
    </format>
    <format dxfId="2319">
      <pivotArea dataOnly="0" labelOnly="1" grandRow="1" outline="0" fieldPosition="0"/>
    </format>
    <format dxfId="23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399667-2A4B-4344-8EE3-C0958199D8C7}" name="Education by attri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1:B77"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formats count="13">
    <format dxfId="2321">
      <pivotArea type="all" dataOnly="0" outline="0" fieldPosition="0"/>
    </format>
    <format dxfId="2322">
      <pivotArea outline="0" collapsedLevelsAreSubtotals="1" fieldPosition="0"/>
    </format>
    <format dxfId="2323">
      <pivotArea outline="0" collapsedLevelsAreSubtotals="1" fieldPosition="0"/>
    </format>
    <format dxfId="2324">
      <pivotArea type="all" dataOnly="0" outline="0" fieldPosition="0"/>
    </format>
    <format dxfId="2325">
      <pivotArea outline="0" collapsedLevelsAreSubtotals="1" fieldPosition="0"/>
    </format>
    <format dxfId="2326">
      <pivotArea outline="0" collapsedLevelsAreSubtotals="1" fieldPosition="0"/>
    </format>
    <format dxfId="2327">
      <pivotArea grandRow="1" outline="0" collapsedLevelsAreSubtotals="1" fieldPosition="0"/>
    </format>
    <format dxfId="2328">
      <pivotArea type="all" dataOnly="0" outline="0" fieldPosition="0"/>
    </format>
    <format dxfId="2329">
      <pivotArea outline="0" collapsedLevelsAreSubtotals="1" fieldPosition="0"/>
    </format>
    <format dxfId="2330">
      <pivotArea field="23" type="button" dataOnly="0" labelOnly="1" outline="0" axis="axisRow" fieldPosition="0"/>
    </format>
    <format dxfId="2331">
      <pivotArea dataOnly="0" labelOnly="1" fieldPosition="0">
        <references count="1">
          <reference field="23" count="0"/>
        </references>
      </pivotArea>
    </format>
    <format dxfId="2332">
      <pivotArea dataOnly="0" labelOnly="1" grandRow="1" outline="0" fieldPosition="0"/>
    </format>
    <format dxfId="23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5F470D-6639-488A-9D53-3F1ECEBE5315}" name="Count by Gender"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1"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formats count="15">
    <format dxfId="2334">
      <pivotArea type="all" dataOnly="0" outline="0" fieldPosition="0"/>
    </format>
    <format dxfId="2335">
      <pivotArea outline="0" collapsedLevelsAreSubtotals="1" fieldPosition="0"/>
    </format>
    <format dxfId="2336">
      <pivotArea outline="0" collapsedLevelsAreSubtotals="1" fieldPosition="0"/>
    </format>
    <format dxfId="2337">
      <pivotArea type="all" dataOnly="0" outline="0" fieldPosition="0"/>
    </format>
    <format dxfId="2338">
      <pivotArea outline="0" collapsedLevelsAreSubtotals="1" fieldPosition="0"/>
    </format>
    <format dxfId="2339">
      <pivotArea outline="0" collapsedLevelsAreSubtotals="1" fieldPosition="0"/>
    </format>
    <format dxfId="2340">
      <pivotArea collapsedLevelsAreSubtotals="1" fieldPosition="0">
        <references count="1">
          <reference field="8" count="1">
            <x v="0"/>
          </reference>
        </references>
      </pivotArea>
    </format>
    <format dxfId="2341">
      <pivotArea collapsedLevelsAreSubtotals="1" fieldPosition="0">
        <references count="1">
          <reference field="8" count="1">
            <x v="1"/>
          </reference>
        </references>
      </pivotArea>
    </format>
    <format dxfId="2342">
      <pivotArea grandRow="1" outline="0" collapsedLevelsAreSubtotals="1" fieldPosition="0"/>
    </format>
    <format dxfId="2343">
      <pivotArea type="all" dataOnly="0" outline="0" fieldPosition="0"/>
    </format>
    <format dxfId="2344">
      <pivotArea outline="0" collapsedLevelsAreSubtotals="1" fieldPosition="0"/>
    </format>
    <format dxfId="2345">
      <pivotArea field="8" type="button" dataOnly="0" labelOnly="1" outline="0" axis="axisRow" fieldPosition="0"/>
    </format>
    <format dxfId="2346">
      <pivotArea dataOnly="0" labelOnly="1" fieldPosition="0">
        <references count="1">
          <reference field="8" count="0"/>
        </references>
      </pivotArea>
    </format>
    <format dxfId="2347">
      <pivotArea dataOnly="0" labelOnly="1" grandRow="1" outline="0" fieldPosition="0"/>
    </format>
    <format dxfId="2348">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D5CD8E-5A66-48E4-BA04-1575DE0A5044}"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A31" firstHeaderRow="1" firstDataRow="1" firstDataCol="0"/>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3"/>
  </dataFields>
  <formats count="9">
    <format dxfId="2349">
      <pivotArea type="all" dataOnly="0" outline="0" fieldPosition="0"/>
    </format>
    <format dxfId="2350">
      <pivotArea outline="0" collapsedLevelsAreSubtotals="1" fieldPosition="0"/>
    </format>
    <format dxfId="2351">
      <pivotArea outline="0" collapsedLevelsAreSubtotals="1" fieldPosition="0"/>
    </format>
    <format dxfId="2352">
      <pivotArea type="all" dataOnly="0" outline="0" fieldPosition="0"/>
    </format>
    <format dxfId="2353">
      <pivotArea outline="0" collapsedLevelsAreSubtotals="1" fieldPosition="0"/>
    </format>
    <format dxfId="2354">
      <pivotArea outline="0" collapsedLevelsAreSubtotals="1" fieldPosition="0"/>
    </format>
    <format dxfId="2355">
      <pivotArea type="all" dataOnly="0" outline="0" fieldPosition="0"/>
    </format>
    <format dxfId="2356">
      <pivotArea outline="0" collapsedLevelsAreSubtotals="1" fieldPosition="0"/>
    </format>
    <format dxfId="2357">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D8846C-E22E-4C54-B543-48371870C79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7">
    <format dxfId="2237">
      <pivotArea type="all" dataOnly="0" outline="0" fieldPosition="0"/>
    </format>
    <format dxfId="2238">
      <pivotArea outline="0" collapsedLevelsAreSubtotals="1" fieldPosition="0"/>
    </format>
    <format dxfId="2239">
      <pivotArea dataOnly="0" labelOnly="1" outline="0" axis="axisValues" fieldPosition="0"/>
    </format>
    <format dxfId="2240">
      <pivotArea outline="0" collapsedLevelsAreSubtotals="1" fieldPosition="0"/>
    </format>
    <format dxfId="2241">
      <pivotArea type="all" dataOnly="0" outline="0" fieldPosition="0"/>
    </format>
    <format dxfId="2242">
      <pivotArea outline="0" collapsedLevelsAreSubtotals="1" fieldPosition="0"/>
    </format>
    <format dxfId="224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852523-C911-45C6-9A0B-2010CB41611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formats count="3">
    <format dxfId="2244">
      <pivotArea type="all" dataOnly="0" outline="0" fieldPosition="0"/>
    </format>
    <format dxfId="2245">
      <pivotArea outline="0" collapsedLevelsAreSubtotals="1" fieldPosition="0"/>
    </format>
    <format dxfId="224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778465-AE1A-479F-B67E-338BD7086F0E}"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formats count="3">
    <format dxfId="2234">
      <pivotArea type="all" dataOnly="0" outline="0" fieldPosition="0"/>
    </format>
    <format dxfId="2235">
      <pivotArea outline="0" collapsedLevelsAreSubtotals="1" fieldPosition="0"/>
    </format>
    <format dxfId="223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96E8B5-12D5-48C7-9DC6-3F92EBEB9F44}" sourceName="Gender">
  <pivotTables>
    <pivotTable tabId="7" name="PivotTable4"/>
    <pivotTable tabId="7" name="PivotTable2"/>
    <pivotTable tabId="7" name="PivotTable3"/>
    <pivotTable tabId="7" name="PivotTable5"/>
    <pivotTable tabId="7" name="Count by Gender"/>
    <pivotTable tabId="7" name="Education by attrition"/>
    <pivotTable tabId="7" name="Job by attrition"/>
    <pivotTable tabId="7" name="PivotTable10"/>
    <pivotTable tabId="7" name="PivotTable11"/>
    <pivotTable tabId="7" name="PivotTable12"/>
  </pivotTables>
  <data>
    <tabular pivotCacheId="2311585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302EE43-B04D-40C7-A22D-4771CC9A18D5}" sourceName="Education Field">
  <pivotTables>
    <pivotTable tabId="7" name="PivotTable5"/>
    <pivotTable tabId="7" name="Count by Gender"/>
    <pivotTable tabId="7" name="Education by attrition"/>
    <pivotTable tabId="7" name="Job by attrition"/>
    <pivotTable tabId="7" name="PivotTable10"/>
    <pivotTable tabId="7" name="PivotTable11"/>
    <pivotTable tabId="7" name="PivotTable12"/>
    <pivotTable tabId="7" name="PivotTable2"/>
    <pivotTable tabId="7" name="PivotTable3"/>
    <pivotTable tabId="7" name="PivotTable4"/>
  </pivotTables>
  <data>
    <tabular pivotCacheId="231158573">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114B49E-2946-41D0-94E4-AB3EF4E63AD4}" sourceName="Department">
  <pivotTables>
    <pivotTable tabId="7" name="PivotTable12"/>
    <pivotTable tabId="7" name="Count by Gender"/>
    <pivotTable tabId="7" name="Education by attrition"/>
    <pivotTable tabId="7" name="Job by attrition"/>
    <pivotTable tabId="7" name="PivotTable10"/>
    <pivotTable tabId="7" name="PivotTable11"/>
    <pivotTable tabId="7" name="PivotTable2"/>
    <pivotTable tabId="7" name="PivotTable3"/>
    <pivotTable tabId="7" name="PivotTable4"/>
    <pivotTable tabId="7" name="PivotTable5"/>
  </pivotTables>
  <data>
    <tabular pivotCacheId="23115857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5BEF740-F872-49CF-B4B2-D23BD46BF5EA}" cache="Slicer_Gender" caption="Gender" rowHeight="260350"/>
  <slicer name="Education Field" xr10:uid="{73C062C3-C7D9-4463-8360-944F42D57796}" cache="Slicer_Education_Field" caption="Education Field" rowHeight="260350"/>
  <slicer name="Education Field 1" xr10:uid="{47CC899B-3716-4DF2-A103-F6C3E1A64FAD}" cache="Slicer_Education_Field" caption="Education Field" rowHeight="260350"/>
  <slicer name="Department" xr10:uid="{7BA095E8-DA21-44F2-8991-4099AD8E34A3}" cache="Slicer_Department" caption="Depart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D8EE83D-602E-40BA-9CEA-C73CE656C77B}" cache="Slicer_Gender" columnCount="2" style="goodslicer" rowHeight="260350"/>
  <slicer name="Education Field 2" xr10:uid="{C22A4F1C-04A5-4E8D-918D-8489CAA19630}" cache="Slicer_Education_Field" style="goodslicer" rowHeight="260350"/>
  <slicer name="Department 1" xr10:uid="{5C0EC4B9-98AF-470F-ACD8-1DCB466F99E1}" cache="Slicer_Department" style="good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E1BE-1F52-4742-8DFC-6EEA975A6BE8}">
  <dimension ref="A1:J153"/>
  <sheetViews>
    <sheetView topLeftCell="A139" workbookViewId="0">
      <selection activeCell="Q38" sqref="Q38"/>
    </sheetView>
  </sheetViews>
  <sheetFormatPr defaultColWidth="23.5" defaultRowHeight="15.6" x14ac:dyDescent="0.3"/>
  <cols>
    <col min="1" max="1" width="12.19921875" bestFit="1" customWidth="1"/>
    <col min="2" max="2" width="22.796875" bestFit="1" customWidth="1"/>
    <col min="3" max="3" width="13.296875" bestFit="1" customWidth="1"/>
    <col min="4" max="4" width="23.296875" bestFit="1" customWidth="1"/>
    <col min="5" max="5" width="7.8984375" bestFit="1" customWidth="1"/>
    <col min="6" max="6" width="11" bestFit="1" customWidth="1"/>
    <col min="7" max="7" width="11.796875" bestFit="1" customWidth="1"/>
  </cols>
  <sheetData>
    <row r="1" spans="1:4" ht="16.2" thickBot="1" x14ac:dyDescent="0.35"/>
    <row r="2" spans="1:4" ht="16.2" thickBot="1" x14ac:dyDescent="0.35">
      <c r="A2" s="2" t="s">
        <v>1555</v>
      </c>
      <c r="D2" s="1" t="s">
        <v>1560</v>
      </c>
    </row>
    <row r="3" spans="1:4" ht="16.2" thickBot="1" x14ac:dyDescent="0.35">
      <c r="A3" s="4" t="s">
        <v>1554</v>
      </c>
      <c r="D3">
        <f>GETPIVOTDATA("Employee Number",$A$3)</f>
        <v>1470</v>
      </c>
    </row>
    <row r="4" spans="1:4" ht="16.2" thickBot="1" x14ac:dyDescent="0.35">
      <c r="A4" s="7">
        <v>1470</v>
      </c>
    </row>
    <row r="5" spans="1:4" ht="16.2" thickBot="1" x14ac:dyDescent="0.35">
      <c r="A5" s="3"/>
    </row>
    <row r="8" spans="1:4" ht="16.2" thickBot="1" x14ac:dyDescent="0.35">
      <c r="A8" s="1" t="s">
        <v>0</v>
      </c>
      <c r="D8" s="1" t="s">
        <v>0</v>
      </c>
    </row>
    <row r="9" spans="1:4" ht="16.2" thickBot="1" x14ac:dyDescent="0.35">
      <c r="A9" s="4" t="s">
        <v>1556</v>
      </c>
      <c r="D9">
        <f>GETPIVOTDATA("CF_attrition count",$A$9)</f>
        <v>237</v>
      </c>
    </row>
    <row r="10" spans="1:4" ht="16.2" thickBot="1" x14ac:dyDescent="0.35">
      <c r="A10" s="7">
        <v>237</v>
      </c>
    </row>
    <row r="13" spans="1:4" ht="16.2" thickBot="1" x14ac:dyDescent="0.35"/>
    <row r="14" spans="1:4" ht="16.2" thickBot="1" x14ac:dyDescent="0.35">
      <c r="A14" s="2" t="s">
        <v>1558</v>
      </c>
      <c r="D14" s="1" t="s">
        <v>1561</v>
      </c>
    </row>
    <row r="15" spans="1:4" ht="16.2" thickBot="1" x14ac:dyDescent="0.35">
      <c r="A15" s="4" t="s">
        <v>1557</v>
      </c>
      <c r="D15" s="9">
        <f>GETPIVOTDATA("Age",$A$15)</f>
        <v>36.923809523809524</v>
      </c>
    </row>
    <row r="16" spans="1:4" ht="16.2" thickBot="1" x14ac:dyDescent="0.35">
      <c r="A16" s="5">
        <v>36.923809523809524</v>
      </c>
    </row>
    <row r="17" spans="1:10" x14ac:dyDescent="0.3">
      <c r="A17" s="1"/>
    </row>
    <row r="19" spans="1:10" x14ac:dyDescent="0.3">
      <c r="D19" s="1" t="s">
        <v>1559</v>
      </c>
    </row>
    <row r="20" spans="1:10" x14ac:dyDescent="0.3">
      <c r="D20">
        <f>D3-D9</f>
        <v>1233</v>
      </c>
    </row>
    <row r="22" spans="1:10" x14ac:dyDescent="0.3">
      <c r="D22" s="1" t="s">
        <v>1562</v>
      </c>
    </row>
    <row r="23" spans="1:10" x14ac:dyDescent="0.3">
      <c r="D23" s="10">
        <f>D9/D3</f>
        <v>0.16122448979591836</v>
      </c>
    </row>
    <row r="28" spans="1:10" ht="16.2" thickBot="1" x14ac:dyDescent="0.35"/>
    <row r="29" spans="1:10" ht="16.2" thickBot="1" x14ac:dyDescent="0.35">
      <c r="A29" s="12"/>
      <c r="B29" s="24"/>
      <c r="C29" s="24"/>
      <c r="D29" s="24"/>
      <c r="E29" s="24"/>
      <c r="F29" s="24"/>
      <c r="G29" s="24"/>
      <c r="H29" s="24"/>
      <c r="I29" s="24"/>
      <c r="J29" s="25"/>
    </row>
    <row r="30" spans="1:10" ht="16.2" thickBot="1" x14ac:dyDescent="0.35">
      <c r="A30" s="4" t="s">
        <v>1563</v>
      </c>
      <c r="B30" s="27"/>
      <c r="C30" s="27"/>
      <c r="D30" s="27"/>
      <c r="E30" s="27"/>
      <c r="F30" s="27"/>
      <c r="G30" s="27"/>
      <c r="H30" s="27"/>
      <c r="I30" s="27"/>
      <c r="J30" s="28"/>
    </row>
    <row r="31" spans="1:10" ht="16.2" thickBot="1" x14ac:dyDescent="0.35">
      <c r="A31" s="13">
        <v>2.6265306122448981</v>
      </c>
      <c r="B31" s="27"/>
      <c r="C31" s="29" t="s">
        <v>1564</v>
      </c>
      <c r="D31" s="34">
        <f>GETPIVOTDATA("Job Satisfaction",$A$30)</f>
        <v>2.6265306122448981</v>
      </c>
      <c r="E31" s="35">
        <f>D31/4</f>
        <v>0.65663265306122454</v>
      </c>
      <c r="F31" s="27"/>
      <c r="G31" s="27"/>
      <c r="H31" s="27"/>
      <c r="I31" s="27"/>
      <c r="J31" s="28"/>
    </row>
    <row r="32" spans="1:10" x14ac:dyDescent="0.3">
      <c r="A32" s="26"/>
      <c r="B32" s="27"/>
      <c r="C32" s="29" t="s">
        <v>1565</v>
      </c>
      <c r="D32" s="34">
        <f>4-D31</f>
        <v>1.3734693877551019</v>
      </c>
      <c r="E32" s="35">
        <f>D32/4</f>
        <v>0.34336734693877546</v>
      </c>
      <c r="F32" s="27"/>
      <c r="G32" s="27"/>
      <c r="H32" s="27"/>
      <c r="I32" s="27"/>
      <c r="J32" s="28"/>
    </row>
    <row r="33" spans="1:10" x14ac:dyDescent="0.3">
      <c r="A33" s="26"/>
      <c r="B33" s="27"/>
      <c r="C33" s="27"/>
      <c r="D33" s="27"/>
      <c r="E33" s="27"/>
      <c r="F33" s="27"/>
      <c r="G33" s="27"/>
      <c r="H33" s="27"/>
      <c r="I33" s="27"/>
      <c r="J33" s="28"/>
    </row>
    <row r="34" spans="1:10" x14ac:dyDescent="0.3">
      <c r="A34" s="26"/>
      <c r="B34" s="27"/>
      <c r="C34" s="27"/>
      <c r="D34" s="27"/>
      <c r="E34" s="27"/>
      <c r="F34" s="27"/>
      <c r="G34" s="27"/>
      <c r="H34" s="27"/>
      <c r="I34" s="27"/>
      <c r="J34" s="28"/>
    </row>
    <row r="35" spans="1:10" x14ac:dyDescent="0.3">
      <c r="A35" s="26"/>
      <c r="B35" s="27"/>
      <c r="C35" s="27"/>
      <c r="D35" s="27"/>
      <c r="E35" s="27"/>
      <c r="F35" s="27"/>
      <c r="G35" s="27"/>
      <c r="H35" s="27"/>
      <c r="I35" s="27"/>
      <c r="J35" s="28"/>
    </row>
    <row r="36" spans="1:10" x14ac:dyDescent="0.3">
      <c r="A36" s="26"/>
      <c r="B36" s="27"/>
      <c r="C36" s="27"/>
      <c r="D36" s="27"/>
      <c r="E36" s="27"/>
      <c r="F36" s="27"/>
      <c r="G36" s="27"/>
      <c r="H36" s="27"/>
      <c r="I36" s="27"/>
      <c r="J36" s="28"/>
    </row>
    <row r="37" spans="1:10" x14ac:dyDescent="0.3">
      <c r="A37" s="26"/>
      <c r="B37" s="27"/>
      <c r="C37" s="27"/>
      <c r="D37" s="27"/>
      <c r="E37" s="27"/>
      <c r="F37" s="27"/>
      <c r="G37" s="27"/>
      <c r="H37" s="27"/>
      <c r="I37" s="27"/>
      <c r="J37" s="28"/>
    </row>
    <row r="38" spans="1:10" x14ac:dyDescent="0.3">
      <c r="A38" s="26"/>
      <c r="B38" s="27"/>
      <c r="C38" s="27"/>
      <c r="D38" s="27"/>
      <c r="E38" s="27"/>
      <c r="F38" s="27"/>
      <c r="G38" s="27"/>
      <c r="H38" s="27"/>
      <c r="I38" s="27"/>
      <c r="J38" s="28"/>
    </row>
    <row r="39" spans="1:10" x14ac:dyDescent="0.3">
      <c r="A39" s="26"/>
      <c r="B39" s="27"/>
      <c r="C39" s="27"/>
      <c r="D39" s="27"/>
      <c r="E39" s="27"/>
      <c r="F39" s="27"/>
      <c r="G39" s="27"/>
      <c r="H39" s="27"/>
      <c r="I39" s="27"/>
      <c r="J39" s="28"/>
    </row>
    <row r="40" spans="1:10" x14ac:dyDescent="0.3">
      <c r="A40" s="26"/>
      <c r="B40" s="27"/>
      <c r="C40" s="27"/>
      <c r="D40" s="27"/>
      <c r="E40" s="27"/>
      <c r="F40" s="27"/>
      <c r="G40" s="27"/>
      <c r="H40" s="27"/>
      <c r="I40" s="27"/>
      <c r="J40" s="28"/>
    </row>
    <row r="41" spans="1:10" x14ac:dyDescent="0.3">
      <c r="A41" s="26"/>
      <c r="B41" s="27"/>
      <c r="C41" s="27"/>
      <c r="D41" s="27"/>
      <c r="E41" s="27"/>
      <c r="F41" s="27"/>
      <c r="G41" s="27"/>
      <c r="H41" s="27"/>
      <c r="I41" s="27"/>
      <c r="J41" s="28"/>
    </row>
    <row r="42" spans="1:10" x14ac:dyDescent="0.3">
      <c r="A42" s="26"/>
      <c r="B42" s="27"/>
      <c r="C42" s="27"/>
      <c r="D42" s="27"/>
      <c r="E42" s="27"/>
      <c r="F42" s="27"/>
      <c r="G42" s="27"/>
      <c r="H42" s="27"/>
      <c r="I42" s="27"/>
      <c r="J42" s="28"/>
    </row>
    <row r="43" spans="1:10" x14ac:dyDescent="0.3">
      <c r="A43" s="26"/>
      <c r="B43" s="27"/>
      <c r="C43" s="27"/>
      <c r="D43" s="27"/>
      <c r="E43" s="27"/>
      <c r="F43" s="27"/>
      <c r="G43" s="27"/>
      <c r="H43" s="27"/>
      <c r="I43" s="27"/>
      <c r="J43" s="28"/>
    </row>
    <row r="44" spans="1:10" ht="16.2" thickBot="1" x14ac:dyDescent="0.35">
      <c r="A44" s="31"/>
      <c r="B44" s="32"/>
      <c r="C44" s="32"/>
      <c r="D44" s="32"/>
      <c r="E44" s="32"/>
      <c r="F44" s="32"/>
      <c r="G44" s="32"/>
      <c r="H44" s="32"/>
      <c r="I44" s="32"/>
      <c r="J44" s="33"/>
    </row>
    <row r="47" spans="1:10" ht="16.2" thickBot="1" x14ac:dyDescent="0.35"/>
    <row r="54" spans="1:10" ht="16.2" thickBot="1" x14ac:dyDescent="0.35"/>
    <row r="55" spans="1:10" x14ac:dyDescent="0.3">
      <c r="A55" s="23" t="s">
        <v>1566</v>
      </c>
      <c r="B55" s="24"/>
      <c r="C55" s="24"/>
      <c r="D55" s="24"/>
      <c r="E55" s="24"/>
      <c r="F55" s="24"/>
      <c r="G55" s="24"/>
      <c r="H55" s="24"/>
      <c r="I55" s="24"/>
      <c r="J55" s="25"/>
    </row>
    <row r="56" spans="1:10" x14ac:dyDescent="0.3">
      <c r="A56" s="26"/>
      <c r="B56" s="27"/>
      <c r="C56" s="27"/>
      <c r="D56" s="27"/>
      <c r="E56" s="27"/>
      <c r="F56" s="27"/>
      <c r="G56" s="27"/>
      <c r="H56" s="27"/>
      <c r="I56" s="27"/>
      <c r="J56" s="28"/>
    </row>
    <row r="57" spans="1:10" ht="16.2" thickBot="1" x14ac:dyDescent="0.35">
      <c r="A57" s="26"/>
      <c r="B57" s="27"/>
      <c r="C57" s="27"/>
      <c r="D57" s="27"/>
      <c r="E57" s="27"/>
      <c r="F57" s="27"/>
      <c r="G57" s="27"/>
      <c r="H57" s="27"/>
      <c r="I57" s="27"/>
      <c r="J57" s="28"/>
    </row>
    <row r="58" spans="1:10" ht="16.2" thickBot="1" x14ac:dyDescent="0.35">
      <c r="A58" s="11" t="s">
        <v>1567</v>
      </c>
      <c r="B58" s="4" t="s">
        <v>1569</v>
      </c>
      <c r="C58" s="27"/>
      <c r="D58" s="29" t="s">
        <v>51</v>
      </c>
      <c r="E58" s="22" t="s">
        <v>62</v>
      </c>
      <c r="F58" s="22" t="s">
        <v>1570</v>
      </c>
      <c r="G58" s="22" t="s">
        <v>1571</v>
      </c>
      <c r="H58" s="27"/>
      <c r="I58" s="27"/>
      <c r="J58" s="28"/>
    </row>
    <row r="59" spans="1:10" x14ac:dyDescent="0.3">
      <c r="A59" s="36" t="s">
        <v>51</v>
      </c>
      <c r="B59" s="17">
        <v>588</v>
      </c>
      <c r="C59" s="27"/>
      <c r="D59" s="27">
        <f>IFERROR(GETPIVOTDATA("Employee Count",$A$58,"Gender","Female"),0)</f>
        <v>588</v>
      </c>
      <c r="E59" s="27">
        <f>IFERROR(GETPIVOTDATA("Employee Count",$A$58,"Gender","Male"),0)</f>
        <v>882</v>
      </c>
      <c r="F59" s="30">
        <f>IFERROR(D59/($D$59+$E$59),0)</f>
        <v>0.4</v>
      </c>
      <c r="G59" s="30">
        <f>IFERROR(E59/($E$59+$D$59),0)</f>
        <v>0.6</v>
      </c>
      <c r="H59" s="27"/>
      <c r="I59" s="27"/>
      <c r="J59" s="28"/>
    </row>
    <row r="60" spans="1:10" ht="16.2" thickBot="1" x14ac:dyDescent="0.35">
      <c r="A60" s="37" t="s">
        <v>62</v>
      </c>
      <c r="B60" s="18">
        <v>882</v>
      </c>
      <c r="C60" s="27"/>
      <c r="D60" s="27"/>
      <c r="E60" s="27"/>
      <c r="F60" s="27"/>
      <c r="G60" s="27"/>
      <c r="H60" s="27"/>
      <c r="I60" s="27"/>
      <c r="J60" s="28"/>
    </row>
    <row r="61" spans="1:10" ht="16.2" thickBot="1" x14ac:dyDescent="0.35">
      <c r="A61" s="38" t="s">
        <v>1568</v>
      </c>
      <c r="B61" s="8">
        <v>1470</v>
      </c>
      <c r="C61" s="27"/>
      <c r="D61" s="27"/>
      <c r="E61" s="27"/>
      <c r="F61" s="27"/>
      <c r="G61" s="27"/>
      <c r="H61" s="27"/>
      <c r="I61" s="27"/>
      <c r="J61" s="28"/>
    </row>
    <row r="62" spans="1:10" x14ac:dyDescent="0.3">
      <c r="A62" s="26"/>
      <c r="B62" s="27"/>
      <c r="C62" s="27"/>
      <c r="D62" s="27"/>
      <c r="E62" s="27"/>
      <c r="F62" s="27"/>
      <c r="G62" s="27"/>
      <c r="H62" s="27"/>
      <c r="I62" s="27"/>
      <c r="J62" s="28"/>
    </row>
    <row r="63" spans="1:10" x14ac:dyDescent="0.3">
      <c r="A63" s="26"/>
      <c r="B63" s="27"/>
      <c r="C63" s="27"/>
      <c r="D63" s="27"/>
      <c r="E63" s="27"/>
      <c r="F63" s="27"/>
      <c r="G63" s="27"/>
      <c r="H63" s="27"/>
      <c r="I63" s="27"/>
      <c r="J63" s="28"/>
    </row>
    <row r="64" spans="1:10" x14ac:dyDescent="0.3">
      <c r="A64" s="26"/>
      <c r="B64" s="27"/>
      <c r="C64" s="27"/>
      <c r="D64" s="27"/>
      <c r="E64" s="27"/>
      <c r="F64" s="27"/>
      <c r="G64" s="27"/>
      <c r="H64" s="27"/>
      <c r="I64" s="27"/>
      <c r="J64" s="28"/>
    </row>
    <row r="65" spans="1:10" x14ac:dyDescent="0.3">
      <c r="A65" s="26"/>
      <c r="B65" s="27"/>
      <c r="C65" s="27"/>
      <c r="D65" s="27"/>
      <c r="E65" s="27"/>
      <c r="F65" s="27"/>
      <c r="G65" s="27"/>
      <c r="H65" s="27"/>
      <c r="I65" s="27"/>
      <c r="J65" s="28"/>
    </row>
    <row r="66" spans="1:10" ht="16.2" thickBot="1" x14ac:dyDescent="0.35">
      <c r="A66" s="31"/>
      <c r="B66" s="32"/>
      <c r="C66" s="32"/>
      <c r="D66" s="32"/>
      <c r="E66" s="32"/>
      <c r="F66" s="32"/>
      <c r="G66" s="32"/>
      <c r="H66" s="32"/>
      <c r="I66" s="32"/>
      <c r="J66" s="33"/>
    </row>
    <row r="68" spans="1:10" ht="16.2" thickBot="1" x14ac:dyDescent="0.35"/>
    <row r="69" spans="1:10" x14ac:dyDescent="0.3">
      <c r="A69" s="23" t="s">
        <v>1572</v>
      </c>
      <c r="B69" s="24"/>
      <c r="C69" s="24"/>
      <c r="D69" s="24"/>
      <c r="E69" s="24"/>
      <c r="F69" s="24"/>
      <c r="G69" s="25"/>
    </row>
    <row r="70" spans="1:10" ht="16.2" thickBot="1" x14ac:dyDescent="0.35">
      <c r="A70" s="26"/>
      <c r="B70" s="27"/>
      <c r="C70" s="27"/>
      <c r="D70" s="27"/>
      <c r="E70" s="27"/>
      <c r="F70" s="27"/>
      <c r="G70" s="28"/>
    </row>
    <row r="71" spans="1:10" ht="16.2" thickBot="1" x14ac:dyDescent="0.35">
      <c r="A71" s="11" t="s">
        <v>1567</v>
      </c>
      <c r="B71" s="4" t="s">
        <v>1556</v>
      </c>
      <c r="C71" s="27"/>
      <c r="D71" s="27"/>
      <c r="E71" s="27"/>
      <c r="F71" s="27"/>
      <c r="G71" s="28"/>
    </row>
    <row r="72" spans="1:10" x14ac:dyDescent="0.3">
      <c r="A72" s="36" t="s">
        <v>134</v>
      </c>
      <c r="B72" s="19">
        <v>5</v>
      </c>
      <c r="C72" s="27"/>
      <c r="D72" s="27"/>
      <c r="E72" s="27"/>
      <c r="F72" s="27"/>
      <c r="G72" s="28"/>
    </row>
    <row r="73" spans="1:10" x14ac:dyDescent="0.3">
      <c r="A73" s="21" t="s">
        <v>65</v>
      </c>
      <c r="B73" s="20">
        <v>31</v>
      </c>
      <c r="C73" s="27"/>
      <c r="D73" s="27"/>
      <c r="E73" s="27"/>
      <c r="F73" s="27"/>
      <c r="G73" s="28"/>
    </row>
    <row r="74" spans="1:10" x14ac:dyDescent="0.3">
      <c r="A74" s="21" t="s">
        <v>55</v>
      </c>
      <c r="B74" s="20">
        <v>44</v>
      </c>
      <c r="C74" s="27"/>
      <c r="D74" s="27"/>
      <c r="E74" s="27"/>
      <c r="F74" s="27"/>
      <c r="G74" s="28"/>
    </row>
    <row r="75" spans="1:10" x14ac:dyDescent="0.3">
      <c r="A75" s="21" t="s">
        <v>71</v>
      </c>
      <c r="B75" s="20">
        <v>58</v>
      </c>
      <c r="C75" s="27"/>
      <c r="D75" s="27"/>
      <c r="E75" s="27"/>
      <c r="F75" s="27"/>
      <c r="G75" s="28"/>
    </row>
    <row r="76" spans="1:10" ht="16.2" thickBot="1" x14ac:dyDescent="0.35">
      <c r="A76" s="37" t="s">
        <v>77</v>
      </c>
      <c r="B76" s="20">
        <v>99</v>
      </c>
      <c r="C76" s="27"/>
      <c r="D76" s="27"/>
      <c r="E76" s="27"/>
      <c r="F76" s="27"/>
      <c r="G76" s="28"/>
    </row>
    <row r="77" spans="1:10" ht="16.2" thickBot="1" x14ac:dyDescent="0.35">
      <c r="A77" s="38" t="s">
        <v>1568</v>
      </c>
      <c r="B77" s="8">
        <v>237</v>
      </c>
      <c r="C77" s="27"/>
      <c r="D77" s="27"/>
      <c r="E77" s="27"/>
      <c r="F77" s="27"/>
      <c r="G77" s="28"/>
    </row>
    <row r="78" spans="1:10" x14ac:dyDescent="0.3">
      <c r="A78" s="26"/>
      <c r="B78" s="27"/>
      <c r="C78" s="27"/>
      <c r="D78" s="27"/>
      <c r="E78" s="27"/>
      <c r="F78" s="27"/>
      <c r="G78" s="28"/>
    </row>
    <row r="79" spans="1:10" x14ac:dyDescent="0.3">
      <c r="A79" s="26"/>
      <c r="B79" s="27"/>
      <c r="C79" s="27"/>
      <c r="D79" s="27"/>
      <c r="E79" s="27"/>
      <c r="F79" s="27"/>
      <c r="G79" s="28"/>
    </row>
    <row r="80" spans="1:10" x14ac:dyDescent="0.3">
      <c r="A80" s="26"/>
      <c r="B80" s="27"/>
      <c r="C80" s="27"/>
      <c r="D80" s="27"/>
      <c r="E80" s="27"/>
      <c r="F80" s="27"/>
      <c r="G80" s="28"/>
    </row>
    <row r="81" spans="1:7" ht="16.2" thickBot="1" x14ac:dyDescent="0.35">
      <c r="A81" s="31"/>
      <c r="B81" s="32"/>
      <c r="C81" s="32"/>
      <c r="D81" s="32"/>
      <c r="E81" s="32"/>
      <c r="F81" s="32"/>
      <c r="G81" s="33"/>
    </row>
    <row r="86" spans="1:7" ht="16.2" thickBot="1" x14ac:dyDescent="0.35"/>
    <row r="87" spans="1:7" ht="16.2" thickBot="1" x14ac:dyDescent="0.35">
      <c r="A87" s="12"/>
      <c r="B87" s="24"/>
      <c r="C87" s="24"/>
      <c r="D87" s="24"/>
      <c r="E87" s="25"/>
    </row>
    <row r="88" spans="1:7" ht="16.2" thickBot="1" x14ac:dyDescent="0.35">
      <c r="A88" s="11" t="s">
        <v>1567</v>
      </c>
      <c r="B88" s="4" t="s">
        <v>1556</v>
      </c>
      <c r="C88" s="27"/>
      <c r="D88" s="29" t="s">
        <v>1573</v>
      </c>
      <c r="E88" s="41" t="s">
        <v>1574</v>
      </c>
    </row>
    <row r="89" spans="1:7" x14ac:dyDescent="0.3">
      <c r="A89" s="36" t="s">
        <v>68</v>
      </c>
      <c r="B89" s="17">
        <v>62</v>
      </c>
      <c r="C89" s="27"/>
      <c r="D89" s="39" t="s">
        <v>68</v>
      </c>
      <c r="E89" s="25">
        <f>GETPIVOTDATA("CF_attrition count",$A$88,"Job Role",A89)</f>
        <v>62</v>
      </c>
    </row>
    <row r="90" spans="1:7" x14ac:dyDescent="0.3">
      <c r="A90" s="21" t="s">
        <v>52</v>
      </c>
      <c r="B90" s="18">
        <v>57</v>
      </c>
      <c r="C90" s="27"/>
      <c r="D90" s="14" t="s">
        <v>52</v>
      </c>
      <c r="E90" s="28">
        <f t="shared" ref="E90:E97" si="0">GETPIVOTDATA("CF_attrition count",$A$88,"Job Role",A90)</f>
        <v>57</v>
      </c>
    </row>
    <row r="91" spans="1:7" x14ac:dyDescent="0.3">
      <c r="A91" s="21" t="s">
        <v>63</v>
      </c>
      <c r="B91" s="18">
        <v>47</v>
      </c>
      <c r="C91" s="27"/>
      <c r="D91" s="14" t="s">
        <v>63</v>
      </c>
      <c r="E91" s="28">
        <f t="shared" si="0"/>
        <v>47</v>
      </c>
    </row>
    <row r="92" spans="1:7" x14ac:dyDescent="0.3">
      <c r="A92" s="21" t="s">
        <v>99</v>
      </c>
      <c r="B92" s="18">
        <v>33</v>
      </c>
      <c r="C92" s="27"/>
      <c r="D92" s="14" t="s">
        <v>99</v>
      </c>
      <c r="E92" s="28">
        <f t="shared" si="0"/>
        <v>33</v>
      </c>
    </row>
    <row r="93" spans="1:7" x14ac:dyDescent="0.3">
      <c r="A93" s="21" t="s">
        <v>163</v>
      </c>
      <c r="B93" s="18">
        <v>12</v>
      </c>
      <c r="C93" s="27"/>
      <c r="D93" s="14" t="s">
        <v>163</v>
      </c>
      <c r="E93" s="28">
        <f t="shared" si="0"/>
        <v>12</v>
      </c>
    </row>
    <row r="94" spans="1:7" x14ac:dyDescent="0.3">
      <c r="A94" s="21" t="s">
        <v>81</v>
      </c>
      <c r="B94" s="18">
        <v>10</v>
      </c>
      <c r="C94" s="27"/>
      <c r="D94" s="14" t="s">
        <v>81</v>
      </c>
      <c r="E94" s="28">
        <f t="shared" si="0"/>
        <v>10</v>
      </c>
    </row>
    <row r="95" spans="1:7" x14ac:dyDescent="0.3">
      <c r="A95" s="21" t="s">
        <v>83</v>
      </c>
      <c r="B95" s="18">
        <v>9</v>
      </c>
      <c r="C95" s="27"/>
      <c r="D95" s="14" t="s">
        <v>83</v>
      </c>
      <c r="E95" s="28">
        <f t="shared" si="0"/>
        <v>9</v>
      </c>
    </row>
    <row r="96" spans="1:7" x14ac:dyDescent="0.3">
      <c r="A96" s="21" t="s">
        <v>95</v>
      </c>
      <c r="B96" s="18">
        <v>5</v>
      </c>
      <c r="C96" s="27"/>
      <c r="D96" s="14" t="s">
        <v>95</v>
      </c>
      <c r="E96" s="28">
        <f t="shared" si="0"/>
        <v>5</v>
      </c>
    </row>
    <row r="97" spans="1:5" ht="16.2" thickBot="1" x14ac:dyDescent="0.35">
      <c r="A97" s="37" t="s">
        <v>101</v>
      </c>
      <c r="B97" s="18">
        <v>2</v>
      </c>
      <c r="C97" s="27"/>
      <c r="D97" s="40" t="s">
        <v>101</v>
      </c>
      <c r="E97" s="33">
        <f t="shared" si="0"/>
        <v>2</v>
      </c>
    </row>
    <row r="98" spans="1:5" ht="16.2" thickBot="1" x14ac:dyDescent="0.35">
      <c r="A98" s="38" t="s">
        <v>1568</v>
      </c>
      <c r="B98" s="8">
        <v>237</v>
      </c>
      <c r="C98" s="27"/>
      <c r="D98" s="27"/>
      <c r="E98" s="28"/>
    </row>
    <row r="99" spans="1:5" x14ac:dyDescent="0.3">
      <c r="A99" s="26"/>
      <c r="B99" s="27"/>
      <c r="C99" s="27"/>
      <c r="D99" s="27"/>
      <c r="E99" s="28"/>
    </row>
    <row r="100" spans="1:5" x14ac:dyDescent="0.3">
      <c r="A100" s="26"/>
      <c r="B100" s="27"/>
      <c r="C100" s="27"/>
      <c r="D100" s="27"/>
      <c r="E100" s="28"/>
    </row>
    <row r="101" spans="1:5" x14ac:dyDescent="0.3">
      <c r="A101" s="26"/>
      <c r="B101" s="27"/>
      <c r="C101" s="27"/>
      <c r="D101" s="27"/>
      <c r="E101" s="28"/>
    </row>
    <row r="102" spans="1:5" x14ac:dyDescent="0.3">
      <c r="A102" s="26"/>
      <c r="B102" s="27"/>
      <c r="C102" s="27"/>
      <c r="D102" s="27"/>
      <c r="E102" s="28"/>
    </row>
    <row r="103" spans="1:5" x14ac:dyDescent="0.3">
      <c r="A103" s="26"/>
      <c r="B103" s="27"/>
      <c r="C103" s="27"/>
      <c r="D103" s="27"/>
      <c r="E103" s="28"/>
    </row>
    <row r="104" spans="1:5" x14ac:dyDescent="0.3">
      <c r="A104" s="26"/>
      <c r="B104" s="27"/>
      <c r="C104" s="27"/>
      <c r="D104" s="27"/>
      <c r="E104" s="28"/>
    </row>
    <row r="105" spans="1:5" x14ac:dyDescent="0.3">
      <c r="A105" s="26"/>
      <c r="B105" s="27"/>
      <c r="C105" s="27"/>
      <c r="D105" s="27"/>
      <c r="E105" s="28"/>
    </row>
    <row r="106" spans="1:5" x14ac:dyDescent="0.3">
      <c r="A106" s="26"/>
      <c r="B106" s="27"/>
      <c r="C106" s="27"/>
      <c r="D106" s="27"/>
      <c r="E106" s="28"/>
    </row>
    <row r="107" spans="1:5" x14ac:dyDescent="0.3">
      <c r="A107" s="26"/>
      <c r="B107" s="27"/>
      <c r="C107" s="27"/>
      <c r="D107" s="27"/>
      <c r="E107" s="28"/>
    </row>
    <row r="108" spans="1:5" x14ac:dyDescent="0.3">
      <c r="A108" s="26"/>
      <c r="B108" s="27"/>
      <c r="C108" s="27"/>
      <c r="D108" s="27"/>
      <c r="E108" s="28"/>
    </row>
    <row r="109" spans="1:5" ht="16.2" thickBot="1" x14ac:dyDescent="0.35">
      <c r="A109" s="31"/>
      <c r="B109" s="32"/>
      <c r="C109" s="32"/>
      <c r="D109" s="32"/>
      <c r="E109" s="33"/>
    </row>
    <row r="110" spans="1:5" ht="16.2" thickBot="1" x14ac:dyDescent="0.35"/>
    <row r="111" spans="1:5" x14ac:dyDescent="0.3">
      <c r="A111" s="23" t="s">
        <v>1575</v>
      </c>
      <c r="B111" s="24"/>
      <c r="C111" s="24"/>
      <c r="D111" s="24"/>
      <c r="E111" s="25"/>
    </row>
    <row r="112" spans="1:5" ht="16.2" thickBot="1" x14ac:dyDescent="0.35">
      <c r="A112" s="26"/>
      <c r="B112" s="27"/>
      <c r="C112" s="27"/>
      <c r="D112" s="27"/>
      <c r="E112" s="28"/>
    </row>
    <row r="113" spans="1:5" ht="16.2" thickBot="1" x14ac:dyDescent="0.35">
      <c r="A113" s="11" t="s">
        <v>1567</v>
      </c>
      <c r="B113" s="4" t="s">
        <v>1556</v>
      </c>
      <c r="C113" s="27"/>
      <c r="D113" s="27"/>
      <c r="E113" s="28"/>
    </row>
    <row r="114" spans="1:5" x14ac:dyDescent="0.3">
      <c r="A114" s="36" t="s">
        <v>161</v>
      </c>
      <c r="B114" s="42">
        <v>5.0632911392405063E-2</v>
      </c>
      <c r="C114" s="27"/>
      <c r="D114" s="27"/>
      <c r="E114" s="28"/>
    </row>
    <row r="115" spans="1:5" x14ac:dyDescent="0.3">
      <c r="A115" s="21" t="s">
        <v>60</v>
      </c>
      <c r="B115" s="43">
        <v>0.56118143459915615</v>
      </c>
      <c r="C115" s="27"/>
      <c r="D115" s="27"/>
      <c r="E115" s="28"/>
    </row>
    <row r="116" spans="1:5" ht="16.2" thickBot="1" x14ac:dyDescent="0.35">
      <c r="A116" s="37" t="s">
        <v>48</v>
      </c>
      <c r="B116" s="43">
        <v>0.3881856540084388</v>
      </c>
      <c r="C116" s="27"/>
      <c r="D116" s="27"/>
      <c r="E116" s="28"/>
    </row>
    <row r="117" spans="1:5" ht="16.2" thickBot="1" x14ac:dyDescent="0.35">
      <c r="A117" s="38" t="s">
        <v>1568</v>
      </c>
      <c r="B117" s="44">
        <v>1</v>
      </c>
      <c r="C117" s="27"/>
      <c r="D117" s="27"/>
      <c r="E117" s="28"/>
    </row>
    <row r="118" spans="1:5" x14ac:dyDescent="0.3">
      <c r="A118" s="26"/>
      <c r="B118" s="27"/>
      <c r="C118" s="27"/>
      <c r="D118" s="27"/>
      <c r="E118" s="28"/>
    </row>
    <row r="119" spans="1:5" x14ac:dyDescent="0.3">
      <c r="A119" s="26"/>
      <c r="B119" s="27"/>
      <c r="C119" s="27"/>
      <c r="D119" s="27"/>
      <c r="E119" s="28"/>
    </row>
    <row r="120" spans="1:5" ht="16.2" thickBot="1" x14ac:dyDescent="0.35">
      <c r="A120" s="31"/>
      <c r="B120" s="32"/>
      <c r="C120" s="32"/>
      <c r="D120" s="32"/>
      <c r="E120" s="33"/>
    </row>
    <row r="124" spans="1:5" ht="16.2" thickBot="1" x14ac:dyDescent="0.35"/>
    <row r="125" spans="1:5" x14ac:dyDescent="0.3">
      <c r="A125" s="12"/>
      <c r="B125" s="24"/>
      <c r="C125" s="24"/>
      <c r="D125" s="24"/>
      <c r="E125" s="25"/>
    </row>
    <row r="126" spans="1:5" x14ac:dyDescent="0.3">
      <c r="A126" s="26"/>
      <c r="B126" s="27"/>
      <c r="C126" s="27"/>
      <c r="D126" s="27"/>
      <c r="E126" s="28"/>
    </row>
    <row r="127" spans="1:5" x14ac:dyDescent="0.3">
      <c r="A127" s="26"/>
      <c r="B127" s="27"/>
      <c r="C127" s="27"/>
      <c r="D127" s="27"/>
      <c r="E127" s="28"/>
    </row>
    <row r="128" spans="1:5" ht="16.2" thickBot="1" x14ac:dyDescent="0.35">
      <c r="A128" s="45" t="s">
        <v>1576</v>
      </c>
      <c r="B128" s="27"/>
      <c r="C128" s="27"/>
      <c r="D128" s="27"/>
      <c r="E128" s="28"/>
    </row>
    <row r="129" spans="1:9" ht="16.2" thickBot="1" x14ac:dyDescent="0.35">
      <c r="A129" s="11" t="s">
        <v>1567</v>
      </c>
      <c r="B129" s="4" t="s">
        <v>1556</v>
      </c>
      <c r="C129" s="27"/>
      <c r="D129" s="27"/>
      <c r="E129" s="28"/>
    </row>
    <row r="130" spans="1:9" x14ac:dyDescent="0.3">
      <c r="A130" s="36" t="s">
        <v>69</v>
      </c>
      <c r="B130" s="15">
        <v>112</v>
      </c>
      <c r="C130" s="27"/>
      <c r="D130" s="27"/>
      <c r="E130" s="28"/>
    </row>
    <row r="131" spans="1:9" x14ac:dyDescent="0.3">
      <c r="A131" s="21" t="s">
        <v>46</v>
      </c>
      <c r="B131" s="16">
        <v>51</v>
      </c>
      <c r="C131" s="27"/>
      <c r="D131" s="27"/>
      <c r="E131" s="28"/>
    </row>
    <row r="132" spans="1:9" x14ac:dyDescent="0.3">
      <c r="A132" s="21" t="s">
        <v>92</v>
      </c>
      <c r="B132" s="16">
        <v>38</v>
      </c>
      <c r="C132" s="27"/>
      <c r="D132" s="27"/>
      <c r="E132" s="28"/>
    </row>
    <row r="133" spans="1:9" x14ac:dyDescent="0.3">
      <c r="A133" s="21" t="s">
        <v>58</v>
      </c>
      <c r="B133" s="16">
        <v>25</v>
      </c>
      <c r="C133" s="27"/>
      <c r="D133" s="27"/>
      <c r="E133" s="28"/>
    </row>
    <row r="134" spans="1:9" ht="16.2" thickBot="1" x14ac:dyDescent="0.35">
      <c r="A134" s="37" t="s">
        <v>75</v>
      </c>
      <c r="B134" s="16">
        <v>11</v>
      </c>
      <c r="C134" s="27"/>
      <c r="D134" s="27"/>
      <c r="E134" s="28"/>
    </row>
    <row r="135" spans="1:9" ht="16.2" thickBot="1" x14ac:dyDescent="0.35">
      <c r="A135" s="38" t="s">
        <v>1568</v>
      </c>
      <c r="B135" s="6">
        <v>237</v>
      </c>
      <c r="C135" s="27"/>
      <c r="D135" s="27"/>
      <c r="E135" s="28"/>
    </row>
    <row r="136" spans="1:9" x14ac:dyDescent="0.3">
      <c r="A136" s="26"/>
      <c r="B136" s="27"/>
      <c r="C136" s="27"/>
      <c r="D136" s="27"/>
      <c r="E136" s="28"/>
    </row>
    <row r="137" spans="1:9" ht="16.2" thickBot="1" x14ac:dyDescent="0.35">
      <c r="A137" s="31"/>
      <c r="B137" s="32"/>
      <c r="C137" s="32"/>
      <c r="D137" s="32"/>
      <c r="E137" s="33"/>
    </row>
    <row r="139" spans="1:9" ht="16.2" thickBot="1" x14ac:dyDescent="0.35"/>
    <row r="140" spans="1:9" x14ac:dyDescent="0.3">
      <c r="A140" s="12"/>
      <c r="B140" s="24"/>
      <c r="C140" s="24"/>
      <c r="D140" s="24"/>
      <c r="E140" s="24"/>
      <c r="F140" s="24"/>
      <c r="G140" s="24"/>
      <c r="H140" s="24"/>
      <c r="I140" s="25"/>
    </row>
    <row r="141" spans="1:9" x14ac:dyDescent="0.3">
      <c r="A141" s="26"/>
      <c r="B141" s="27"/>
      <c r="C141" s="27"/>
      <c r="D141" s="27"/>
      <c r="E141" s="27"/>
      <c r="F141" s="27"/>
      <c r="G141" s="27"/>
      <c r="H141" s="27"/>
      <c r="I141" s="28"/>
    </row>
    <row r="142" spans="1:9" x14ac:dyDescent="0.3">
      <c r="A142" s="45" t="s">
        <v>1577</v>
      </c>
      <c r="B142" s="27"/>
      <c r="C142" s="27"/>
      <c r="D142" s="27"/>
      <c r="E142" s="27"/>
      <c r="F142" s="27"/>
      <c r="G142" s="27"/>
      <c r="H142" s="27"/>
      <c r="I142" s="28"/>
    </row>
    <row r="143" spans="1:9" ht="16.2" thickBot="1" x14ac:dyDescent="0.35">
      <c r="A143" s="26"/>
      <c r="B143" s="27"/>
      <c r="C143" s="27"/>
      <c r="D143" s="27"/>
      <c r="E143" s="27"/>
      <c r="F143" s="27"/>
      <c r="G143" s="27"/>
      <c r="H143" s="27"/>
      <c r="I143" s="28"/>
    </row>
    <row r="144" spans="1:9" ht="16.2" thickBot="1" x14ac:dyDescent="0.35">
      <c r="A144" s="11" t="s">
        <v>1567</v>
      </c>
      <c r="B144" s="4" t="s">
        <v>1556</v>
      </c>
      <c r="C144" s="27"/>
      <c r="D144" s="29" t="s">
        <v>10</v>
      </c>
      <c r="E144" s="22" t="s">
        <v>0</v>
      </c>
      <c r="F144" s="27"/>
      <c r="G144" s="27"/>
      <c r="H144" s="27"/>
      <c r="I144" s="28"/>
    </row>
    <row r="145" spans="1:9" x14ac:dyDescent="0.3">
      <c r="A145" s="36" t="s">
        <v>79</v>
      </c>
      <c r="B145" s="15">
        <v>33</v>
      </c>
      <c r="C145" s="27"/>
      <c r="D145" s="27" t="str">
        <f>A145</f>
        <v>Divorced</v>
      </c>
      <c r="E145" s="27">
        <f>GETPIVOTDATA("CF_attrition count",$A$144,"Marital Status",A145)</f>
        <v>33</v>
      </c>
      <c r="F145" s="27"/>
      <c r="G145" s="27"/>
      <c r="H145" s="27"/>
      <c r="I145" s="28"/>
    </row>
    <row r="146" spans="1:9" x14ac:dyDescent="0.3">
      <c r="A146" s="21" t="s">
        <v>64</v>
      </c>
      <c r="B146" s="16">
        <v>84</v>
      </c>
      <c r="C146" s="27"/>
      <c r="D146" s="27" t="str">
        <f>A146</f>
        <v>Married</v>
      </c>
      <c r="E146" s="27">
        <f>GETPIVOTDATA("CF_attrition count",$A$144,"Marital Status",A146)</f>
        <v>84</v>
      </c>
      <c r="F146" s="27"/>
      <c r="G146" s="27"/>
      <c r="H146" s="27"/>
      <c r="I146" s="28"/>
    </row>
    <row r="147" spans="1:9" ht="16.2" thickBot="1" x14ac:dyDescent="0.35">
      <c r="A147" s="37" t="s">
        <v>53</v>
      </c>
      <c r="B147" s="16">
        <v>120</v>
      </c>
      <c r="C147" s="27"/>
      <c r="D147" s="27" t="str">
        <f>A147</f>
        <v>Single</v>
      </c>
      <c r="E147" s="27">
        <f>GETPIVOTDATA("CF_attrition count",$A$144,"Marital Status",A147)</f>
        <v>120</v>
      </c>
      <c r="F147" s="27"/>
      <c r="G147" s="27"/>
      <c r="H147" s="27"/>
      <c r="I147" s="28"/>
    </row>
    <row r="148" spans="1:9" ht="16.2" thickBot="1" x14ac:dyDescent="0.35">
      <c r="A148" s="38" t="s">
        <v>1568</v>
      </c>
      <c r="B148" s="6">
        <v>237</v>
      </c>
      <c r="C148" s="27"/>
      <c r="D148" s="27"/>
      <c r="E148" s="27"/>
      <c r="F148" s="27"/>
      <c r="G148" s="27"/>
      <c r="H148" s="27"/>
      <c r="I148" s="28"/>
    </row>
    <row r="149" spans="1:9" x14ac:dyDescent="0.3">
      <c r="A149" s="26"/>
      <c r="B149" s="27"/>
      <c r="C149" s="27"/>
      <c r="D149" s="27"/>
      <c r="E149" s="27"/>
      <c r="F149" s="27"/>
      <c r="G149" s="27"/>
      <c r="H149" s="27"/>
      <c r="I149" s="28"/>
    </row>
    <row r="150" spans="1:9" x14ac:dyDescent="0.3">
      <c r="A150" s="26"/>
      <c r="B150" s="27"/>
      <c r="C150" s="27"/>
      <c r="D150" s="27"/>
      <c r="E150" s="27"/>
      <c r="F150" s="27"/>
      <c r="G150" s="27"/>
      <c r="H150" s="27"/>
      <c r="I150" s="28"/>
    </row>
    <row r="151" spans="1:9" x14ac:dyDescent="0.3">
      <c r="A151" s="26"/>
      <c r="B151" s="27"/>
      <c r="C151" s="27"/>
      <c r="D151" s="27"/>
      <c r="E151" s="27"/>
      <c r="F151" s="27"/>
      <c r="G151" s="27"/>
      <c r="H151" s="27"/>
      <c r="I151" s="28"/>
    </row>
    <row r="152" spans="1:9" x14ac:dyDescent="0.3">
      <c r="A152" s="26"/>
      <c r="B152" s="27"/>
      <c r="C152" s="27"/>
      <c r="D152" s="27"/>
      <c r="E152" s="27"/>
      <c r="F152" s="27"/>
      <c r="G152" s="27"/>
      <c r="H152" s="27"/>
      <c r="I152" s="28"/>
    </row>
    <row r="153" spans="1:9" ht="16.2" thickBot="1" x14ac:dyDescent="0.35">
      <c r="A153" s="31"/>
      <c r="B153" s="32"/>
      <c r="C153" s="32"/>
      <c r="D153" s="32"/>
      <c r="E153" s="32"/>
      <c r="F153" s="32"/>
      <c r="G153" s="32"/>
      <c r="H153" s="32"/>
      <c r="I153" s="33"/>
    </row>
  </sheetData>
  <sortState xmlns:xlrd2="http://schemas.microsoft.com/office/spreadsheetml/2017/richdata2" ref="D145:E147">
    <sortCondition descending="1" ref="E146:E147"/>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activeCell="H10" sqref="H10"/>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1C85-086F-4032-B28D-71BAFDA2E0AE}">
  <dimension ref="A1"/>
  <sheetViews>
    <sheetView showGridLines="0" tabSelected="1" topLeftCell="A4" workbookViewId="0">
      <selection activeCell="V20" sqref="V2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J21" sqref="J21"/>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dESIGN</vt:lpstr>
      <vt:lpstr>Data</vt:lpstr>
      <vt:lpstr>DASHBOARD</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Fecioru .</cp:lastModifiedBy>
  <dcterms:created xsi:type="dcterms:W3CDTF">2022-12-29T16:02:46Z</dcterms:created>
  <dcterms:modified xsi:type="dcterms:W3CDTF">2025-11-26T14:11:25Z</dcterms:modified>
</cp:coreProperties>
</file>