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Program Files (x86)\vcodestuff\EXCEL\SLA_KEY_Metrics\"/>
    </mc:Choice>
  </mc:AlternateContent>
  <xr:revisionPtr revIDLastSave="0" documentId="13_ncr:1_{BDD38F00-44AF-4C53-AB5D-300C4BB2B2B2}" xr6:coauthVersionLast="47" xr6:coauthVersionMax="47" xr10:uidLastSave="{00000000-0000-0000-0000-000000000000}"/>
  <bookViews>
    <workbookView xWindow="-108" yWindow="-108" windowWidth="23256" windowHeight="12456" activeTab="2" xr2:uid="{4BE2F9DD-5687-405C-B566-5F728A5945AD}"/>
  </bookViews>
  <sheets>
    <sheet name="Dataset" sheetId="1" r:id="rId1"/>
    <sheet name="Pivot Table" sheetId="2" r:id="rId2"/>
    <sheet name="Dashboard" sheetId="3" r:id="rId3"/>
  </sheets>
  <externalReferences>
    <externalReference r:id="rId4"/>
  </externalReferences>
  <definedNames>
    <definedName name="_xlnm._FilterDatabase" localSheetId="0" hidden="1">Dataset!$A$1:$L$1127</definedName>
    <definedName name="Slicer_Assigned_To">#N/A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2" l="1"/>
  <c r="I9" i="2"/>
  <c r="I10" i="2"/>
  <c r="I11" i="2"/>
  <c r="I12" i="2"/>
  <c r="I13" i="2"/>
  <c r="I14" i="2"/>
  <c r="I15" i="2"/>
  <c r="I16" i="2"/>
  <c r="I17" i="2"/>
  <c r="I18" i="2"/>
  <c r="I7" i="2"/>
  <c r="G28"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2" i="1"/>
  <c r="I1103" i="1"/>
  <c r="I1072" i="1"/>
  <c r="I1048" i="1"/>
  <c r="I1030" i="1"/>
  <c r="I1015" i="1"/>
  <c r="I1008" i="1"/>
  <c r="I1004" i="1"/>
  <c r="I997" i="1"/>
  <c r="I948" i="1"/>
  <c r="I936" i="1"/>
  <c r="I931" i="1"/>
  <c r="I901" i="1"/>
  <c r="I894" i="1"/>
  <c r="I890" i="1"/>
  <c r="I873" i="1"/>
  <c r="I816" i="1"/>
  <c r="I788" i="1"/>
  <c r="I777" i="1"/>
  <c r="I768" i="1"/>
  <c r="I751" i="1"/>
  <c r="I739" i="1"/>
  <c r="I734" i="1"/>
  <c r="I705" i="1"/>
  <c r="I698" i="1"/>
  <c r="I694" i="1"/>
  <c r="I620" i="1"/>
  <c r="B607" i="1"/>
  <c r="I605" i="1"/>
  <c r="I591" i="1"/>
  <c r="I588" i="1"/>
  <c r="I580" i="1"/>
  <c r="I571" i="1"/>
  <c r="B44" i="1"/>
  <c r="N73" i="2"/>
  <c r="N76" i="2"/>
  <c r="N77" i="2"/>
  <c r="N56" i="2"/>
  <c r="O43" i="2"/>
  <c r="N78" i="2"/>
  <c r="N60" i="2"/>
  <c r="N84" i="2"/>
  <c r="N57" i="2"/>
  <c r="N79" i="2"/>
  <c r="D68" i="2"/>
  <c r="D69" i="2"/>
  <c r="N80" i="2"/>
  <c r="N81" i="2"/>
  <c r="N71" i="2"/>
  <c r="N83" i="2"/>
  <c r="O44" i="2"/>
  <c r="N55" i="2"/>
  <c r="O39" i="2"/>
  <c r="N82" i="2"/>
  <c r="N59" i="2"/>
  <c r="C70" i="2"/>
  <c r="N74" i="2"/>
  <c r="O40" i="2"/>
  <c r="N58" i="2"/>
  <c r="N72" i="2"/>
  <c r="O41" i="2"/>
  <c r="O42" i="2"/>
  <c r="N75" i="2"/>
  <c r="D67" i="2"/>
  <c r="N70" i="2"/>
  <c r="K16" i="2"/>
  <c r="K15" i="2"/>
  <c r="K17" i="2"/>
  <c r="K18" i="2"/>
  <c r="K7" i="2"/>
  <c r="K8" i="2"/>
  <c r="K14" i="2"/>
  <c r="K9" i="2"/>
  <c r="K10" i="2"/>
  <c r="F26" i="2"/>
  <c r="K11" i="2"/>
  <c r="K12" i="2"/>
  <c r="K13" i="2"/>
  <c r="M13" i="2" l="1"/>
  <c r="L13" i="2"/>
  <c r="M12" i="2"/>
  <c r="L12" i="2"/>
  <c r="M11" i="2"/>
  <c r="L11" i="2"/>
  <c r="M10" i="2"/>
  <c r="L10" i="2"/>
  <c r="M9" i="2"/>
  <c r="L9" i="2"/>
  <c r="M14" i="2"/>
  <c r="L14" i="2"/>
  <c r="M8" i="2"/>
  <c r="L8" i="2"/>
  <c r="L7" i="2"/>
  <c r="M7" i="2"/>
  <c r="L18" i="2"/>
  <c r="M18" i="2"/>
  <c r="M17" i="2"/>
  <c r="L17" i="2"/>
  <c r="M15" i="2"/>
  <c r="L15" i="2"/>
  <c r="M16" i="2"/>
  <c r="L16" i="2"/>
  <c r="P71" i="2"/>
  <c r="O71" i="2"/>
  <c r="O81" i="2"/>
  <c r="P81" i="2"/>
  <c r="O80" i="2"/>
  <c r="P80" i="2"/>
  <c r="O79" i="2"/>
  <c r="P79" i="2"/>
  <c r="P78" i="2"/>
  <c r="O78" i="2"/>
  <c r="P77" i="2"/>
  <c r="O77" i="2"/>
  <c r="P76" i="2"/>
  <c r="O76" i="2"/>
  <c r="P75" i="2"/>
  <c r="O75" i="2"/>
  <c r="P74" i="2"/>
  <c r="O74" i="2"/>
  <c r="P73" i="2"/>
  <c r="O73" i="2"/>
  <c r="P84" i="2"/>
  <c r="O84" i="2"/>
  <c r="P70" i="2"/>
  <c r="O70" i="2"/>
  <c r="P72" i="2"/>
  <c r="O72" i="2"/>
  <c r="P82" i="2"/>
  <c r="O82" i="2"/>
  <c r="P83" i="2"/>
  <c r="O83" i="2"/>
  <c r="G25" i="2"/>
  <c r="F27" i="2"/>
  <c r="G27" i="2" s="1"/>
  <c r="P39" i="2"/>
  <c r="Q39" i="2"/>
  <c r="P44" i="2"/>
  <c r="Q44" i="2"/>
  <c r="P43" i="2"/>
  <c r="Q43" i="2"/>
  <c r="P42" i="2"/>
  <c r="Q42" i="2"/>
  <c r="P41" i="2"/>
  <c r="Q41" i="2"/>
  <c r="Q40" i="2"/>
  <c r="P40" i="2"/>
  <c r="M55" i="2"/>
  <c r="M59" i="2"/>
  <c r="M58" i="2"/>
  <c r="M57" i="2"/>
  <c r="M56" i="2"/>
  <c r="C69" i="2"/>
  <c r="C68" i="2"/>
  <c r="C67" i="2"/>
</calcChain>
</file>

<file path=xl/sharedStrings.xml><?xml version="1.0" encoding="utf-8"?>
<sst xmlns="http://schemas.openxmlformats.org/spreadsheetml/2006/main" count="8053" uniqueCount="1410">
  <si>
    <t>Ticket ID</t>
  </si>
  <si>
    <t>Region</t>
  </si>
  <si>
    <t>Country</t>
  </si>
  <si>
    <t>Request Type</t>
  </si>
  <si>
    <t>Request Description</t>
  </si>
  <si>
    <t>Priority</t>
  </si>
  <si>
    <t>Assigned To</t>
  </si>
  <si>
    <t>Open Date</t>
  </si>
  <si>
    <t>Close Date</t>
  </si>
  <si>
    <t>Actual Days</t>
  </si>
  <si>
    <t>Status</t>
  </si>
  <si>
    <t>Month</t>
  </si>
  <si>
    <t>T001</t>
  </si>
  <si>
    <t>Asia</t>
  </si>
  <si>
    <t>India</t>
  </si>
  <si>
    <t>Password Reset</t>
  </si>
  <si>
    <t>Reduce discuss specific answer provide.</t>
  </si>
  <si>
    <t>High</t>
  </si>
  <si>
    <t>Robert</t>
  </si>
  <si>
    <t>T002</t>
  </si>
  <si>
    <t>Europe</t>
  </si>
  <si>
    <t>Germany</t>
  </si>
  <si>
    <t>Server Downtime</t>
  </si>
  <si>
    <t>Wait result relationship create throughout behind would.</t>
  </si>
  <si>
    <t>Low</t>
  </si>
  <si>
    <t>Alice</t>
  </si>
  <si>
    <t>T003</t>
  </si>
  <si>
    <t>North America</t>
  </si>
  <si>
    <t>USA</t>
  </si>
  <si>
    <t>VPN Access</t>
  </si>
  <si>
    <t>Away only happy quality even we take consider.</t>
  </si>
  <si>
    <t>Nina</t>
  </si>
  <si>
    <t>T004</t>
  </si>
  <si>
    <t>South America</t>
  </si>
  <si>
    <t>Argentina</t>
  </si>
  <si>
    <t>Access Request</t>
  </si>
  <si>
    <t>Claim not expert information really course get politics region human.</t>
  </si>
  <si>
    <t>Medium</t>
  </si>
  <si>
    <t>T005</t>
  </si>
  <si>
    <t>Africa</t>
  </si>
  <si>
    <t>Kenya</t>
  </si>
  <si>
    <t>Top executive lead speak wrong choose decide.</t>
  </si>
  <si>
    <t>Mike</t>
  </si>
  <si>
    <t>T006</t>
  </si>
  <si>
    <t>Home memory would as evening attorney amount.</t>
  </si>
  <si>
    <t>Sarah</t>
  </si>
  <si>
    <t>T007</t>
  </si>
  <si>
    <t>Mexico</t>
  </si>
  <si>
    <t>Teach pick expect on director go wide agent thousand force.</t>
  </si>
  <si>
    <t>T008</t>
  </si>
  <si>
    <t>Those too car yard early ever only such fall necessary.</t>
  </si>
  <si>
    <t>T009</t>
  </si>
  <si>
    <t>Final military play push make interview few approach professor this.</t>
  </si>
  <si>
    <t>John</t>
  </si>
  <si>
    <t>T010</t>
  </si>
  <si>
    <t>Chile</t>
  </si>
  <si>
    <t>Source per out arm tax all since seem animal.</t>
  </si>
  <si>
    <t>T011</t>
  </si>
  <si>
    <t>China</t>
  </si>
  <si>
    <t>Third focus consider teacher also.</t>
  </si>
  <si>
    <t>T012</t>
  </si>
  <si>
    <t>Japan</t>
  </si>
  <si>
    <t>Foreign conference data poor I somebody her ok relationship.</t>
  </si>
  <si>
    <t>T013</t>
  </si>
  <si>
    <t>Space customer social organization budget.</t>
  </si>
  <si>
    <t>T014</t>
  </si>
  <si>
    <t>Software Install</t>
  </si>
  <si>
    <t>Point improve road people street laugh conference myself us keep adult.</t>
  </si>
  <si>
    <t>T015</t>
  </si>
  <si>
    <t>Brazil</t>
  </si>
  <si>
    <t>Black guess argue especially perform.</t>
  </si>
  <si>
    <t>T016</t>
  </si>
  <si>
    <t>Miss what plant again ready.</t>
  </si>
  <si>
    <t>T017</t>
  </si>
  <si>
    <t>Mean often miss student coach how whose really everybody.</t>
  </si>
  <si>
    <t>T018</t>
  </si>
  <si>
    <t>UK</t>
  </si>
  <si>
    <t>Fire require economy wear already arrive.</t>
  </si>
  <si>
    <t>T019</t>
  </si>
  <si>
    <t>Printer Issue</t>
  </si>
  <si>
    <t>Draw certainly where several discussion lay.</t>
  </si>
  <si>
    <t>T020</t>
  </si>
  <si>
    <t>Traditional public reduce party guess.</t>
  </si>
  <si>
    <t>T021</t>
  </si>
  <si>
    <t>Lose prove tax thousand son.</t>
  </si>
  <si>
    <t>T022</t>
  </si>
  <si>
    <t>Email Setup</t>
  </si>
  <si>
    <t>Rule company beat station building executive purpose bar choose week.</t>
  </si>
  <si>
    <t>T023</t>
  </si>
  <si>
    <t>Serve radio toward kind fall or prevent protect able.</t>
  </si>
  <si>
    <t>T024</t>
  </si>
  <si>
    <t>Energy upon compare my ahead where matter.</t>
  </si>
  <si>
    <t>T025</t>
  </si>
  <si>
    <t>France</t>
  </si>
  <si>
    <t>Near marriage stuff later option determine.</t>
  </si>
  <si>
    <t>T026</t>
  </si>
  <si>
    <t>Nigeria</t>
  </si>
  <si>
    <t>She community worry improve response result get its fly box.</t>
  </si>
  <si>
    <t>T027</t>
  </si>
  <si>
    <t>South Africa</t>
  </si>
  <si>
    <t>Contain area start each reason.</t>
  </si>
  <si>
    <t>T028</t>
  </si>
  <si>
    <t>Image enough reach her staff everyone minute shake.</t>
  </si>
  <si>
    <t>T029</t>
  </si>
  <si>
    <t>Myself turn message catch use activity president reality age ago consider.</t>
  </si>
  <si>
    <t>T030</t>
  </si>
  <si>
    <t>Usually former stay age both safe.</t>
  </si>
  <si>
    <t>T031</t>
  </si>
  <si>
    <t>Kid almost establish explain record operation.</t>
  </si>
  <si>
    <t>T032</t>
  </si>
  <si>
    <t>Maybe shoulder either tend church ago city.</t>
  </si>
  <si>
    <t>T033</t>
  </si>
  <si>
    <t>Discuss lead miss run paper.</t>
  </si>
  <si>
    <t>T034</t>
  </si>
  <si>
    <t>Well arm exactly action.</t>
  </si>
  <si>
    <t>T035</t>
  </si>
  <si>
    <t>Energy care policy manage political customer tree dinner behavior region.</t>
  </si>
  <si>
    <t>T036</t>
  </si>
  <si>
    <t>Growth enjoy program ground charge parent listen so.</t>
  </si>
  <si>
    <t>T037</t>
  </si>
  <si>
    <t>About guess reality vote task any right.</t>
  </si>
  <si>
    <t>T038</t>
  </si>
  <si>
    <t>Upon again fund yet customer plant job.</t>
  </si>
  <si>
    <t>T039</t>
  </si>
  <si>
    <t>Must leader benefit phone nothing authority civil PM game.</t>
  </si>
  <si>
    <t>T040</t>
  </si>
  <si>
    <t>Husband majority perhaps seven ground strong focus.</t>
  </si>
  <si>
    <t>T041</t>
  </si>
  <si>
    <t>Mention identify meet condition produce agent none authority travel attack.</t>
  </si>
  <si>
    <t>T042</t>
  </si>
  <si>
    <t>Director so decade improve property social.</t>
  </si>
  <si>
    <t>T043</t>
  </si>
  <si>
    <t>Expert fund remain meet view without seven rich.</t>
  </si>
  <si>
    <t>T044</t>
  </si>
  <si>
    <t>Assume whom political according way over other.</t>
  </si>
  <si>
    <t>T045</t>
  </si>
  <si>
    <t>Employee view computer particularly successful.</t>
  </si>
  <si>
    <t>T046</t>
  </si>
  <si>
    <t>Theory type break picture choose son professor.</t>
  </si>
  <si>
    <t>T047</t>
  </si>
  <si>
    <t>Under woman individual baby do.</t>
  </si>
  <si>
    <t>T048</t>
  </si>
  <si>
    <t>Available represent notice subject knowledge.</t>
  </si>
  <si>
    <t>T049</t>
  </si>
  <si>
    <t>View wind small share energy fire arrive.</t>
  </si>
  <si>
    <t>T050</t>
  </si>
  <si>
    <t>College top with especially type how fire station four throughout.</t>
  </si>
  <si>
    <t>T051</t>
  </si>
  <si>
    <t>Network Issue</t>
  </si>
  <si>
    <t>Region career speak figure role someone doctor young itself.</t>
  </si>
  <si>
    <t>T052</t>
  </si>
  <si>
    <t>All page he she decision protect head.</t>
  </si>
  <si>
    <t>T053</t>
  </si>
  <si>
    <t>Canada</t>
  </si>
  <si>
    <t>Week act of piece kitchen technology drive blood.</t>
  </si>
  <si>
    <t>T054</t>
  </si>
  <si>
    <t>Back study similar what paper job church energy.</t>
  </si>
  <si>
    <t>T055</t>
  </si>
  <si>
    <t>Manager PM recent yes example word wide source far.</t>
  </si>
  <si>
    <t>T056</t>
  </si>
  <si>
    <t>Clearly around yeah network top available another save dog.</t>
  </si>
  <si>
    <t>T057</t>
  </si>
  <si>
    <t>Present style baby street board popular onto seven technology.</t>
  </si>
  <si>
    <t>T058</t>
  </si>
  <si>
    <t>Nature something president seven person between board hand myself they.</t>
  </si>
  <si>
    <t>T059</t>
  </si>
  <si>
    <t>Adult either work amount its other theory instead.</t>
  </si>
  <si>
    <t>T060</t>
  </si>
  <si>
    <t>Main model hand attorney mind parent guess or.</t>
  </si>
  <si>
    <t>T061</t>
  </si>
  <si>
    <t>Society front yourself sister data although.</t>
  </si>
  <si>
    <t>T062</t>
  </si>
  <si>
    <t>Put issue window late audience Congress friend available impact.</t>
  </si>
  <si>
    <t>T063</t>
  </si>
  <si>
    <t>Success summer off really public pull.</t>
  </si>
  <si>
    <t>T064</t>
  </si>
  <si>
    <t>Else support number prevent hand church win help.</t>
  </si>
  <si>
    <t>T065</t>
  </si>
  <si>
    <t>Interesting image protect early trip fine manage.</t>
  </si>
  <si>
    <t>T066</t>
  </si>
  <si>
    <t>More foot culture right happen.</t>
  </si>
  <si>
    <t>T067</t>
  </si>
  <si>
    <t>Choice become knowledge once until try media inside.</t>
  </si>
  <si>
    <t>T068</t>
  </si>
  <si>
    <t>Both modern any item small information according full side risk.</t>
  </si>
  <si>
    <t>T069</t>
  </si>
  <si>
    <t>Physical threat purpose these quality key rich.</t>
  </si>
  <si>
    <t>T070</t>
  </si>
  <si>
    <t>Firm during notice investment draw safe wind party.</t>
  </si>
  <si>
    <t>T071</t>
  </si>
  <si>
    <t>Sport look forget feel property less kid.</t>
  </si>
  <si>
    <t>T072</t>
  </si>
  <si>
    <t>Notice age how social camera personal.</t>
  </si>
  <si>
    <t>T073</t>
  </si>
  <si>
    <t>Address individual doctor fine.</t>
  </si>
  <si>
    <t>T074</t>
  </si>
  <si>
    <t>Window international always cause break set suffer thank order.</t>
  </si>
  <si>
    <t>T075</t>
  </si>
  <si>
    <t>Nothing manage nice move action those here.</t>
  </si>
  <si>
    <t>T076</t>
  </si>
  <si>
    <t>Rather end it employee.</t>
  </si>
  <si>
    <t>T077</t>
  </si>
  <si>
    <t>Themselves easy picture third share individual do now.</t>
  </si>
  <si>
    <t>T078</t>
  </si>
  <si>
    <t>Occur dream one late character pressure.</t>
  </si>
  <si>
    <t>T079</t>
  </si>
  <si>
    <t>Simply company choice recently least cover crime.</t>
  </si>
  <si>
    <t>T080</t>
  </si>
  <si>
    <t>Hit they you store.</t>
  </si>
  <si>
    <t>T081</t>
  </si>
  <si>
    <t>Administration opportunity education represent here.</t>
  </si>
  <si>
    <t>T082</t>
  </si>
  <si>
    <t>Reason new discover decide buy free contain any eat make he.</t>
  </si>
  <si>
    <t>T083</t>
  </si>
  <si>
    <t>Such act sort decision lose card history many.</t>
  </si>
  <si>
    <t>T084</t>
  </si>
  <si>
    <t>Coach everybody meet red fire nothing parent like here.</t>
  </si>
  <si>
    <t>T085</t>
  </si>
  <si>
    <t>Operation citizen rich environmental wrong example prepare.</t>
  </si>
  <si>
    <t>T086</t>
  </si>
  <si>
    <t>Rather about give dinner when instead since seven.</t>
  </si>
  <si>
    <t>T087</t>
  </si>
  <si>
    <t>Paper rich particularly country pay.</t>
  </si>
  <si>
    <t>T088</t>
  </si>
  <si>
    <t>Without use peace good apply activity make.</t>
  </si>
  <si>
    <t>T089</t>
  </si>
  <si>
    <t>Change concern factor green store worry well.</t>
  </si>
  <si>
    <t>T090</t>
  </si>
  <si>
    <t>Nature why once number idea owner power wait.</t>
  </si>
  <si>
    <t>T091</t>
  </si>
  <si>
    <t>Treatment clearly teach argue.</t>
  </si>
  <si>
    <t>T092</t>
  </si>
  <si>
    <t>Prepare effect strong sure sister yes.</t>
  </si>
  <si>
    <t>T093</t>
  </si>
  <si>
    <t>The scene employee of area stop them character southern.</t>
  </si>
  <si>
    <t>T094</t>
  </si>
  <si>
    <t>Activity drug agreement western hold himself very.</t>
  </si>
  <si>
    <t>T095</t>
  </si>
  <si>
    <t>Book degree new data night last focus it during into blood.</t>
  </si>
  <si>
    <t>T096</t>
  </si>
  <si>
    <t>Material ok ask attorney end simply image summer oil.</t>
  </si>
  <si>
    <t>T097</t>
  </si>
  <si>
    <t>Against manager reveal you down sing floor finally meeting main.</t>
  </si>
  <si>
    <t>T098</t>
  </si>
  <si>
    <t>Might bit group two court manage particularly meeting station relate.</t>
  </si>
  <si>
    <t>T099</t>
  </si>
  <si>
    <t>Six local itself size commercial.</t>
  </si>
  <si>
    <t>T100</t>
  </si>
  <si>
    <t>Democrat sound pattern how author include design bill poor television.</t>
  </si>
  <si>
    <t>T101</t>
  </si>
  <si>
    <t>Special effort provide interview word fight.</t>
  </si>
  <si>
    <t>T102</t>
  </si>
  <si>
    <t>Church like half activity first chance bad head standard kitchen.</t>
  </si>
  <si>
    <t>T103</t>
  </si>
  <si>
    <t>Entire necessary without front throughout office political.</t>
  </si>
  <si>
    <t>T104</t>
  </si>
  <si>
    <t>Traditional major already husband with follow sign purpose.</t>
  </si>
  <si>
    <t>T105</t>
  </si>
  <si>
    <t>Thus camera mother structure will society tell whom amount should campaign.</t>
  </si>
  <si>
    <t>T106</t>
  </si>
  <si>
    <t>Action year argue usually ground clear war interview garden brother.</t>
  </si>
  <si>
    <t>T107</t>
  </si>
  <si>
    <t>Thus red senior term movie fall less.</t>
  </si>
  <si>
    <t>T108</t>
  </si>
  <si>
    <t>Stand reveal story compare mean last war stock happen book.</t>
  </si>
  <si>
    <t>T109</t>
  </si>
  <si>
    <t>Pull official father political marriage traditional can perhaps.</t>
  </si>
  <si>
    <t>T110</t>
  </si>
  <si>
    <t>Worry time notice happen close daughter case.</t>
  </si>
  <si>
    <t>T111</t>
  </si>
  <si>
    <t>Parent outside fact base clear.</t>
  </si>
  <si>
    <t>T112</t>
  </si>
  <si>
    <t>Different interesting who both board lot course road drop around.</t>
  </si>
  <si>
    <t>T113</t>
  </si>
  <si>
    <t>Call exactly protect order their lose organization money.</t>
  </si>
  <si>
    <t>T114</t>
  </si>
  <si>
    <t>Describe account run hope turn run organization employee.</t>
  </si>
  <si>
    <t>T115</t>
  </si>
  <si>
    <t>Their shoulder involve opportunity present he market positive.</t>
  </si>
  <si>
    <t>T116</t>
  </si>
  <si>
    <t>Drop employee religious too age tell word size up.</t>
  </si>
  <si>
    <t>T117</t>
  </si>
  <si>
    <t>Control force be sell contain.</t>
  </si>
  <si>
    <t>T118</t>
  </si>
  <si>
    <t>Well town month should bag.</t>
  </si>
  <si>
    <t>T119</t>
  </si>
  <si>
    <t>North goal only since specific major just theory seek.</t>
  </si>
  <si>
    <t>T120</t>
  </si>
  <si>
    <t>City should discuss election rate.</t>
  </si>
  <si>
    <t>T121</t>
  </si>
  <si>
    <t>Model hand recent image around since history order.</t>
  </si>
  <si>
    <t>T122</t>
  </si>
  <si>
    <t>Word member certain policy no.</t>
  </si>
  <si>
    <t>T123</t>
  </si>
  <si>
    <t>Everybody late feeling lot sort follow investment figure other maintain.</t>
  </si>
  <si>
    <t>T125</t>
  </si>
  <si>
    <t>Build interesting interest little level often national.</t>
  </si>
  <si>
    <t>T126</t>
  </si>
  <si>
    <t>Find board region draw reflect goal event special way along.</t>
  </si>
  <si>
    <t>T127</t>
  </si>
  <si>
    <t>Debate history art know either.</t>
  </si>
  <si>
    <t>T128</t>
  </si>
  <si>
    <t>Attention road physical imagine drop eight writer wind middle of.</t>
  </si>
  <si>
    <t>T129</t>
  </si>
  <si>
    <t>Through nothing money recognize.</t>
  </si>
  <si>
    <t>T130</t>
  </si>
  <si>
    <t>Far these him easy girl street.</t>
  </si>
  <si>
    <t>T131</t>
  </si>
  <si>
    <t>Week when future region travel.</t>
  </si>
  <si>
    <t>T132</t>
  </si>
  <si>
    <t>Call despite for American whether call during may.</t>
  </si>
  <si>
    <t>T133</t>
  </si>
  <si>
    <t>Himself benefit food true skill add on.</t>
  </si>
  <si>
    <t>T134</t>
  </si>
  <si>
    <t>Suddenly figure again but keep leave form real threat.</t>
  </si>
  <si>
    <t>T135</t>
  </si>
  <si>
    <t>Home word worry east that.</t>
  </si>
  <si>
    <t>T136</t>
  </si>
  <si>
    <t>Stay money education can debate care traditional left.</t>
  </si>
  <si>
    <t>T137</t>
  </si>
  <si>
    <t>Often offer he box road they inside huge animal.</t>
  </si>
  <si>
    <t>T138</t>
  </si>
  <si>
    <t>Central data year recently one former television how financial describe type.</t>
  </si>
  <si>
    <t>T139</t>
  </si>
  <si>
    <t>Simply fact like alone cover yeah listen rather.</t>
  </si>
  <si>
    <t>T140</t>
  </si>
  <si>
    <t>People billion through resource meet believe rather build huge establish.</t>
  </si>
  <si>
    <t>T141</t>
  </si>
  <si>
    <t>Fire administration notice voice address much student play send.</t>
  </si>
  <si>
    <t>T142</t>
  </si>
  <si>
    <t>Behavior tonight also day fill.</t>
  </si>
  <si>
    <t>T143</t>
  </si>
  <si>
    <t>Practice throw protect good without note reach pull.</t>
  </si>
  <si>
    <t>T144</t>
  </si>
  <si>
    <t>Suffer end lay north move again.</t>
  </si>
  <si>
    <t>T145</t>
  </si>
  <si>
    <t>Only than who know.</t>
  </si>
  <si>
    <t>T146</t>
  </si>
  <si>
    <t>Big once who suggest either.</t>
  </si>
  <si>
    <t>T148</t>
  </si>
  <si>
    <t>Price yourself entire price pull another safe gas.</t>
  </si>
  <si>
    <t>T149</t>
  </si>
  <si>
    <t>Fill research kid left wonder send difference seven.</t>
  </si>
  <si>
    <t>T150</t>
  </si>
  <si>
    <t>Activity let law economy body couple ever possible past career.</t>
  </si>
  <si>
    <t>T151</t>
  </si>
  <si>
    <t>Full we keep member total find none.</t>
  </si>
  <si>
    <t>T152</t>
  </si>
  <si>
    <t>That feeling end second happy week impact clear.</t>
  </si>
  <si>
    <t>T153</t>
  </si>
  <si>
    <t>Maybe four character end product.</t>
  </si>
  <si>
    <t>T154</t>
  </si>
  <si>
    <t>No should most social open nice form recognize east have.</t>
  </si>
  <si>
    <t>T155</t>
  </si>
  <si>
    <t>Work successful your walk the with class million determine attention it.</t>
  </si>
  <si>
    <t>T156</t>
  </si>
  <si>
    <t>Before note could discuss officer.</t>
  </si>
  <si>
    <t>T157</t>
  </si>
  <si>
    <t>Career protect college us discussion.</t>
  </si>
  <si>
    <t>T158</t>
  </si>
  <si>
    <t>Collection subject response peace add something.</t>
  </si>
  <si>
    <t>T159</t>
  </si>
  <si>
    <t>Individual also claim ask hit avoid day already.</t>
  </si>
  <si>
    <t>T160</t>
  </si>
  <si>
    <t>Bad lay apply affect watch religious development commercial.</t>
  </si>
  <si>
    <t>T161</t>
  </si>
  <si>
    <t>Pm game cup international important those everyone term start management.</t>
  </si>
  <si>
    <t>T162</t>
  </si>
  <si>
    <t>Boy standard ahead before first point page than.</t>
  </si>
  <si>
    <t>T163</t>
  </si>
  <si>
    <t>Himself nothing public season why.</t>
  </si>
  <si>
    <t>T164</t>
  </si>
  <si>
    <t>Share miss everyone structure sign change.</t>
  </si>
  <si>
    <t>T165</t>
  </si>
  <si>
    <t>History cold account attack lawyer unit peace although film onto run.</t>
  </si>
  <si>
    <t>T166</t>
  </si>
  <si>
    <t>What continue help cut situation Democrat.</t>
  </si>
  <si>
    <t>T167</t>
  </si>
  <si>
    <t>Bed reduce major feel seem federal reality concern movement table clear.</t>
  </si>
  <si>
    <t>T168</t>
  </si>
  <si>
    <t>Western off where hold hotel public least.</t>
  </si>
  <si>
    <t>T169</t>
  </si>
  <si>
    <t>Reduce truth without medical hand.</t>
  </si>
  <si>
    <t>T170</t>
  </si>
  <si>
    <t>Task personal community various and room build present fund big.</t>
  </si>
  <si>
    <t>T171</t>
  </si>
  <si>
    <t>Sure couple consider service really discussion look responsibility lead.</t>
  </si>
  <si>
    <t>T172</t>
  </si>
  <si>
    <t>Final seem financial appear represent chance.</t>
  </si>
  <si>
    <t>T173</t>
  </si>
  <si>
    <t>Research far not detail opportunity instead.</t>
  </si>
  <si>
    <t>T174</t>
  </si>
  <si>
    <t>Wear play marriage age window player her risk meet.</t>
  </si>
  <si>
    <t>T175</t>
  </si>
  <si>
    <t>Service total story daughter ready arm.</t>
  </si>
  <si>
    <t>T177</t>
  </si>
  <si>
    <t>Else arrive physical prove example what prevent impact his PM.</t>
  </si>
  <si>
    <t>T178</t>
  </si>
  <si>
    <t>Catch machine computer author prevent bring in force.</t>
  </si>
  <si>
    <t>T179</t>
  </si>
  <si>
    <t>Face director represent executive sense price phone style choose.</t>
  </si>
  <si>
    <t>T180</t>
  </si>
  <si>
    <t>Thousand whole building appear collection structure color walk right.</t>
  </si>
  <si>
    <t>T181</t>
  </si>
  <si>
    <t>Accept soon any fill seek may.</t>
  </si>
  <si>
    <t>T182</t>
  </si>
  <si>
    <t>Trouble certain happen imagine throughout Democrat goal crime also above.</t>
  </si>
  <si>
    <t>T183</t>
  </si>
  <si>
    <t>Concern charge opportunity against challenge Congress someone else late.</t>
  </si>
  <si>
    <t>T184</t>
  </si>
  <si>
    <t>Move well cause reveal improve include business.</t>
  </si>
  <si>
    <t>T185</t>
  </si>
  <si>
    <t>Push heart discussion however receive film each past its I near.</t>
  </si>
  <si>
    <t>T186</t>
  </si>
  <si>
    <t>Whom run note send hold first build serious.</t>
  </si>
  <si>
    <t>T187</t>
  </si>
  <si>
    <t>Condition spring foot far avoid many wear line president.</t>
  </si>
  <si>
    <t>T188</t>
  </si>
  <si>
    <t>Likely view see important paper.</t>
  </si>
  <si>
    <t>T189</t>
  </si>
  <si>
    <t>Behind foreign after serve good skin knowledge hope.</t>
  </si>
  <si>
    <t>T190</t>
  </si>
  <si>
    <t>Item fund own as feel source way.</t>
  </si>
  <si>
    <t>T191</t>
  </si>
  <si>
    <t>Education through produce series last several record likely me.</t>
  </si>
  <si>
    <t>T192</t>
  </si>
  <si>
    <t>Yes explain why morning voice Republican again step old.</t>
  </si>
  <si>
    <t>T193</t>
  </si>
  <si>
    <t>Toward since civil away.</t>
  </si>
  <si>
    <t>T194</t>
  </si>
  <si>
    <t>Sport her radio look marriage.</t>
  </si>
  <si>
    <t>T195</t>
  </si>
  <si>
    <t>Against they event which whose.</t>
  </si>
  <si>
    <t>T196</t>
  </si>
  <si>
    <t>Top act about police fill.</t>
  </si>
  <si>
    <t>T197</t>
  </si>
  <si>
    <t>Soon especially expect he today entire protect risk radio.</t>
  </si>
  <si>
    <t>T198</t>
  </si>
  <si>
    <t>Decade natural stock hard someone.</t>
  </si>
  <si>
    <t>T199</t>
  </si>
  <si>
    <t>I what question until sister media receive list sound project floor.</t>
  </si>
  <si>
    <t>T200</t>
  </si>
  <si>
    <t>Drive that stay why imagine partner country care employee.</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</si>
  <si>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</si>
  <si>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</si>
  <si>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</si>
  <si>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</si>
  <si>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</si>
  <si>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</si>
  <si>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</si>
  <si>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</si>
  <si>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</si>
  <si>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</si>
  <si>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</si>
  <si>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</si>
  <si>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</si>
  <si>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</si>
  <si>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</si>
  <si>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</si>
  <si>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</si>
  <si>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</si>
  <si>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</si>
  <si>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</si>
  <si>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</si>
  <si>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</si>
  <si>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</si>
  <si>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</si>
  <si>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</si>
  <si>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</si>
  <si>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</si>
  <si>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</si>
  <si>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</si>
  <si>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</si>
  <si>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</si>
  <si>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</si>
  <si>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</si>
  <si>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</si>
  <si>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</si>
  <si>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</si>
  <si>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</si>
  <si>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</si>
  <si>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</si>
  <si>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</si>
  <si>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</si>
  <si>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</si>
  <si>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</si>
  <si>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</si>
  <si>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</si>
  <si>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</si>
  <si>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</si>
  <si>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</si>
  <si>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</si>
  <si>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</si>
  <si>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</si>
  <si>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</si>
  <si>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</si>
  <si>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</si>
  <si>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</si>
  <si>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</si>
  <si>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</si>
  <si>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</si>
  <si>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</si>
  <si>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</si>
  <si>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</si>
  <si>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</si>
  <si>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</si>
  <si>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</si>
  <si>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</si>
  <si>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</si>
  <si>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</si>
  <si>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</si>
  <si>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</si>
  <si>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</si>
  <si>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</si>
  <si>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</si>
  <si>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</si>
  <si>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</si>
  <si>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</si>
  <si>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</si>
  <si>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</si>
  <si>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</si>
  <si>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</si>
  <si>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</si>
  <si>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</si>
  <si>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</si>
  <si>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</si>
  <si>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</si>
  <si>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</si>
  <si>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</si>
  <si>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</si>
  <si>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</si>
  <si>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</si>
  <si>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</si>
  <si>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</si>
  <si>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</si>
  <si>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</si>
  <si>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</si>
  <si>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</si>
  <si>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</si>
  <si>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</si>
  <si>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</si>
  <si>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</si>
  <si>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</si>
  <si>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</si>
  <si>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</si>
  <si>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</si>
  <si>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</si>
  <si>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</si>
  <si>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</si>
  <si>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</si>
  <si>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</si>
  <si>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</si>
  <si>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</si>
  <si>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</si>
  <si>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</si>
  <si>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</si>
  <si>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</si>
  <si>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</si>
  <si>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</si>
  <si>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</si>
  <si>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</si>
  <si>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</si>
  <si>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</si>
  <si>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</si>
  <si>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</si>
  <si>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</si>
  <si>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</si>
  <si>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</si>
  <si>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</si>
  <si>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</si>
  <si>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</si>
  <si>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</si>
  <si>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</si>
  <si>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</si>
  <si>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</si>
  <si>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</si>
  <si>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</si>
  <si>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</si>
  <si>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</si>
  <si>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</si>
  <si>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</si>
  <si>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</si>
  <si>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</si>
  <si>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</si>
  <si>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</si>
  <si>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</si>
  <si>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</si>
  <si>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</si>
  <si>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Short practice easy front left what owner condition.</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</si>
  <si>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</si>
  <si>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</si>
  <si>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</si>
  <si>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</si>
  <si>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</si>
  <si>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</si>
  <si>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</si>
  <si>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</si>
  <si>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</si>
  <si>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</si>
  <si>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</si>
  <si>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</si>
  <si>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</si>
  <si>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</si>
  <si>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</si>
  <si>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</si>
  <si>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</si>
  <si>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</si>
  <si>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</si>
  <si>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</si>
  <si>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</si>
  <si>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</si>
  <si>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</si>
  <si>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</si>
  <si>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</si>
  <si>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</si>
  <si>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</si>
  <si>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</si>
  <si>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</si>
  <si>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</si>
  <si>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</si>
  <si>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</si>
  <si>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</si>
  <si>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</si>
  <si>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</si>
  <si>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</si>
  <si>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</si>
  <si>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</si>
  <si>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</si>
  <si>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</si>
  <si>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</si>
  <si>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</si>
  <si>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</si>
  <si>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</si>
  <si>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</si>
  <si>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</si>
  <si>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</si>
  <si>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</si>
  <si>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</si>
  <si>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</si>
  <si>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</si>
  <si>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</si>
  <si>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</si>
  <si>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</si>
  <si>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</si>
  <si>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</si>
  <si>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</si>
  <si>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</si>
  <si>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</si>
  <si>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</si>
  <si>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</si>
  <si>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</si>
  <si>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</si>
  <si>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</si>
  <si>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</si>
  <si>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</si>
  <si>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</si>
  <si>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</si>
  <si>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</si>
  <si>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</si>
  <si>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</si>
  <si>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</si>
  <si>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</si>
  <si>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</si>
  <si>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</si>
  <si>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</si>
  <si>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</si>
  <si>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</si>
  <si>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</si>
  <si>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</si>
  <si>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</si>
  <si>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</si>
  <si>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</si>
  <si>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</si>
  <si>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</si>
  <si>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</si>
  <si>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</si>
  <si>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</si>
  <si>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</si>
  <si>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</si>
  <si>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</si>
  <si>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Huge yourself just amount list.</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</si>
  <si>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</si>
  <si>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</si>
  <si>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</si>
  <si>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</si>
  <si>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</si>
  <si>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</si>
  <si>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</si>
  <si>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</si>
  <si>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</si>
  <si>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</si>
  <si>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</si>
  <si>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</si>
  <si>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</si>
  <si>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</si>
  <si>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</si>
  <si>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</si>
  <si>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</si>
  <si>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</si>
  <si>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</si>
  <si>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</si>
  <si>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</si>
  <si>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</si>
  <si>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</si>
  <si>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</si>
  <si>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</si>
  <si>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</si>
  <si>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</si>
  <si>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</si>
  <si>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</si>
  <si>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</si>
  <si>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</si>
  <si>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</si>
  <si>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</si>
  <si>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</si>
  <si>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</si>
  <si>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</si>
  <si>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</si>
  <si>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</si>
  <si>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</si>
  <si>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</si>
  <si>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</si>
  <si>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</si>
  <si>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</si>
  <si>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</si>
  <si>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</si>
  <si>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</si>
  <si>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</si>
  <si>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</si>
  <si>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</si>
  <si>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</si>
  <si>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</si>
  <si>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</si>
  <si>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</si>
  <si>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</si>
  <si>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</si>
  <si>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</si>
  <si>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</si>
  <si>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</si>
  <si>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</si>
  <si>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</si>
  <si>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</si>
  <si>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</si>
  <si>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</si>
  <si>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</si>
  <si>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</si>
  <si>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</si>
  <si>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</si>
  <si>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</si>
  <si>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</si>
  <si>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</si>
  <si>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</si>
  <si>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</si>
  <si>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</si>
  <si>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</si>
  <si>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</si>
  <si>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</si>
  <si>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</si>
  <si>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</si>
  <si>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</si>
  <si>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</si>
  <si>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</si>
  <si>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</si>
  <si>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</si>
  <si>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</si>
  <si>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</si>
  <si>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</si>
  <si>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</si>
  <si>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</si>
  <si>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</si>
  <si>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</si>
  <si>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</si>
  <si>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</si>
  <si>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</si>
  <si>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</si>
  <si>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</si>
  <si>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</si>
  <si>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</si>
  <si>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</si>
  <si>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</si>
  <si>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</si>
  <si>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</si>
  <si>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</si>
  <si>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</si>
  <si>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</si>
  <si>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</si>
  <si>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</si>
  <si>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</si>
  <si>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</si>
  <si>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</si>
  <si>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</si>
  <si>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</si>
  <si>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</si>
  <si>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</si>
  <si>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</si>
  <si>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</si>
  <si>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</si>
  <si>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</si>
  <si>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</si>
  <si>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</si>
  <si>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</si>
  <si>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</si>
  <si>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</si>
  <si>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</si>
  <si>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</si>
  <si>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</si>
  <si>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</si>
  <si>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</si>
  <si>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</si>
  <si>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</si>
  <si>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</si>
  <si>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</si>
  <si>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</si>
  <si>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</si>
  <si>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</si>
  <si>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</si>
  <si>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</si>
  <si>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</si>
  <si>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</si>
  <si>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</si>
  <si>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</si>
  <si>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</si>
  <si>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</si>
  <si>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</si>
  <si>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</si>
  <si>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</si>
  <si>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</si>
  <si>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</si>
  <si>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</si>
  <si>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</si>
  <si>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</si>
  <si>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</si>
  <si>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</si>
  <si>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</si>
  <si>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</si>
  <si>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</si>
  <si>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</si>
  <si>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</si>
  <si>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</si>
  <si>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</si>
  <si>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</si>
  <si>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</si>
  <si>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</si>
  <si>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</si>
  <si>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</si>
  <si>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</si>
  <si>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</si>
  <si>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</si>
  <si>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</si>
  <si>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</si>
  <si>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</si>
  <si>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</si>
  <si>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</si>
  <si>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</si>
  <si>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</si>
  <si>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</si>
  <si>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</si>
  <si>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</si>
  <si>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</si>
  <si>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</si>
  <si>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</si>
  <si>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</si>
  <si>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</si>
  <si>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</si>
  <si>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</si>
  <si>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</si>
  <si>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</si>
  <si>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</si>
  <si>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</si>
  <si>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</si>
  <si>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</si>
  <si>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</si>
  <si>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</si>
  <si>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</si>
  <si>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</si>
  <si>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</si>
  <si>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</si>
  <si>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</si>
  <si>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</si>
  <si>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</si>
  <si>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</si>
  <si>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</si>
  <si>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</si>
  <si>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</si>
  <si>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</si>
  <si>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</si>
  <si>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</si>
  <si>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</si>
  <si>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</si>
  <si>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</si>
  <si>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</si>
  <si>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</si>
  <si>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</si>
  <si>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</si>
  <si>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</si>
  <si>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</si>
  <si>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</si>
  <si>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</si>
  <si>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</si>
  <si>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</si>
  <si>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</si>
  <si>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</si>
  <si>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</si>
  <si>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</si>
  <si>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</si>
  <si>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</si>
  <si>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</si>
  <si>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</si>
  <si>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</si>
  <si>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</si>
  <si>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</si>
  <si>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</si>
  <si>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</si>
  <si>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</si>
  <si>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</si>
  <si>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</si>
  <si>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</si>
  <si>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</si>
  <si>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</si>
  <si>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</si>
  <si>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</si>
  <si>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</si>
  <si>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</si>
  <si>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</si>
  <si>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</si>
  <si>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</si>
  <si>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</si>
  <si>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</si>
  <si>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</si>
  <si>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</si>
  <si>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</si>
  <si>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</si>
  <si>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</si>
  <si>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</si>
  <si>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</si>
  <si>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</si>
  <si>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</si>
  <si>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</si>
  <si>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</si>
  <si>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</si>
  <si>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</si>
  <si>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</si>
  <si>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</si>
  <si>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</si>
  <si>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</si>
  <si>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</si>
  <si>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</si>
  <si>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</si>
  <si>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</si>
  <si>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</si>
  <si>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</si>
  <si>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</si>
  <si>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</si>
  <si>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</si>
  <si>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</si>
  <si>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</si>
  <si>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</si>
  <si>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</si>
  <si>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</si>
  <si>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</si>
  <si>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</si>
  <si>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</si>
  <si>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</si>
  <si>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</si>
  <si>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</si>
  <si>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</si>
  <si>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</si>
  <si>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</si>
  <si>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</si>
  <si>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</si>
  <si>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</si>
  <si>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</si>
  <si>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</si>
  <si>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</si>
  <si>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</si>
  <si>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</si>
  <si>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</si>
  <si>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</si>
  <si>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</si>
  <si>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</si>
  <si>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</si>
  <si>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</si>
  <si>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</si>
  <si>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</si>
  <si>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</si>
  <si>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</si>
  <si>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</si>
  <si>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</si>
  <si>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</si>
  <si>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</si>
  <si>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</si>
  <si>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</si>
  <si>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</si>
  <si>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</si>
  <si>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</si>
  <si>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</si>
  <si>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</si>
  <si>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</si>
  <si>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</si>
  <si>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</si>
  <si>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</si>
  <si>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</si>
  <si>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</si>
  <si>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</si>
  <si>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</si>
  <si>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</si>
  <si>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</si>
  <si>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</si>
  <si>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</si>
  <si>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</si>
  <si>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</si>
  <si>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</si>
  <si>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</si>
  <si>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</si>
  <si>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</si>
  <si>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</si>
  <si>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</si>
  <si>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</si>
  <si>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</si>
  <si>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</si>
  <si>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</si>
  <si>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</si>
  <si>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</si>
  <si>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</si>
  <si>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</si>
  <si>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</si>
  <si>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</si>
  <si>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</si>
  <si>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</si>
  <si>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</si>
  <si>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</si>
  <si>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</si>
  <si>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</si>
  <si>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</si>
  <si>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</si>
  <si>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</si>
  <si>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</si>
  <si>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</si>
  <si>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</si>
  <si>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</si>
  <si>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</si>
  <si>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</si>
  <si>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</si>
  <si>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</si>
  <si>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</si>
  <si>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</si>
  <si>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</si>
  <si>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</si>
  <si>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</si>
  <si>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</si>
  <si>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</si>
  <si>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</si>
  <si>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</si>
  <si>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</si>
  <si>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</si>
  <si>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</si>
  <si>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</si>
  <si>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</si>
  <si>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</si>
  <si>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</si>
  <si>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</si>
  <si>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</si>
  <si>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</si>
  <si>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</si>
  <si>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</si>
  <si>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</si>
  <si>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</si>
  <si>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</si>
  <si>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</si>
  <si>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</si>
  <si>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</si>
  <si>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</si>
  <si>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</si>
  <si>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</si>
  <si>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</si>
  <si>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</si>
  <si>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</si>
  <si>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</si>
  <si>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</si>
  <si>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</si>
  <si>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</si>
  <si>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</si>
  <si>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</si>
  <si>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</si>
  <si>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</si>
  <si>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</si>
  <si>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</si>
  <si>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</si>
  <si>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</si>
  <si>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</si>
  <si>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</si>
  <si>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</si>
  <si>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</si>
  <si>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</si>
  <si>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</si>
  <si>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</si>
  <si>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</si>
  <si>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</si>
  <si>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</si>
  <si>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</si>
  <si>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</si>
  <si>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</si>
  <si>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</si>
  <si>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</si>
  <si>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</si>
  <si>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</si>
  <si>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</si>
  <si>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</si>
  <si>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</si>
  <si>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</si>
  <si>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</si>
  <si>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</si>
  <si>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</si>
  <si>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</si>
  <si>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</si>
  <si>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</si>
  <si>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</si>
  <si>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</si>
  <si>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</si>
  <si>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</si>
  <si>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</si>
  <si>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</si>
  <si>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</si>
  <si>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</si>
  <si>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</si>
  <si>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</si>
  <si>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</si>
  <si>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</si>
  <si>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</si>
  <si>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</si>
  <si>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</si>
  <si>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</si>
  <si>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</si>
  <si>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</si>
  <si>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</si>
  <si>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</si>
  <si>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</si>
  <si>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</si>
  <si>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</si>
  <si>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</si>
  <si>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</si>
  <si>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</si>
  <si>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</si>
  <si>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</si>
  <si>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</si>
  <si>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</si>
  <si>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</si>
  <si>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</si>
  <si>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</si>
  <si>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</si>
  <si>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</si>
  <si>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</si>
  <si>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</si>
  <si>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</si>
  <si>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</si>
  <si>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</si>
  <si>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</si>
  <si>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</si>
  <si>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</si>
  <si>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</si>
  <si>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</si>
  <si>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</si>
  <si>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</si>
  <si>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</si>
  <si>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</si>
  <si>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</si>
  <si>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</si>
  <si>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</si>
  <si>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</si>
  <si>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</si>
  <si>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</si>
  <si>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</si>
  <si>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</si>
  <si>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</si>
  <si>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</si>
  <si>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</si>
  <si>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</si>
  <si>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</si>
  <si>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</si>
  <si>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</si>
  <si>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</si>
  <si>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</si>
  <si>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</si>
  <si>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</si>
  <si>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</si>
  <si>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</si>
  <si>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</si>
  <si>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</si>
  <si>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</si>
  <si>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</si>
  <si>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</si>
  <si>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</si>
  <si>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</si>
  <si>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</si>
  <si>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</si>
  <si>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</si>
  <si>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</si>
  <si>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</si>
  <si>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</si>
  <si>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</si>
  <si>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</si>
  <si>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</si>
  <si>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</si>
  <si>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</si>
  <si>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</si>
  <si>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</si>
  <si>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</si>
  <si>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</si>
  <si>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</si>
  <si>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</si>
  <si>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</si>
  <si>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</si>
  <si>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</si>
  <si>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</si>
  <si>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</si>
  <si>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</si>
  <si>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</si>
  <si>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</si>
  <si>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</si>
  <si>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</si>
  <si>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</si>
  <si>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</si>
  <si>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</si>
  <si>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</si>
  <si>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</si>
  <si>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</si>
  <si>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</si>
  <si>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</si>
  <si>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</si>
  <si>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</si>
  <si>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</si>
  <si>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</si>
  <si>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</si>
  <si>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</si>
  <si>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</si>
  <si>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</si>
  <si>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</si>
  <si>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</si>
  <si>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</si>
  <si>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</si>
  <si>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</si>
  <si>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</si>
  <si>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</si>
  <si>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</si>
  <si>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</si>
  <si>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</si>
  <si>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</si>
  <si>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</si>
  <si>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</si>
  <si>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</si>
  <si>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</si>
  <si>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</si>
  <si>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</si>
  <si>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</si>
  <si>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</si>
  <si>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</si>
  <si>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</si>
  <si>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</si>
  <si>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</si>
  <si>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</si>
  <si>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</si>
  <si>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</si>
  <si>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</si>
  <si>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</si>
  <si>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</si>
  <si>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</si>
  <si>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</si>
  <si>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</si>
  <si>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</si>
  <si>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</si>
  <si>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</si>
  <si>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</si>
  <si>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</si>
  <si>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</si>
  <si>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</si>
  <si>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</si>
  <si>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</si>
  <si>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</si>
  <si>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</si>
  <si>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</si>
  <si>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</si>
  <si>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</si>
  <si>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</si>
  <si>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</si>
  <si>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</si>
  <si>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</si>
  <si>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</si>
  <si>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</si>
  <si>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</si>
  <si>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</si>
  <si>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</si>
  <si>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</si>
  <si>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</si>
  <si>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</si>
  <si>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</si>
  <si>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</si>
  <si>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</si>
  <si>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</si>
  <si>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</si>
  <si>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</si>
  <si>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</si>
  <si>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</si>
  <si>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</si>
  <si>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</si>
  <si>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</si>
  <si>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</si>
  <si>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</si>
  <si>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</si>
  <si>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</si>
  <si>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</si>
  <si>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</si>
  <si>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</si>
  <si>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</si>
  <si>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</si>
  <si>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</si>
  <si>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</si>
  <si>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</si>
  <si>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</si>
  <si>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</si>
  <si>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</si>
  <si>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</si>
  <si>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</si>
  <si>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</si>
  <si>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</si>
  <si>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</si>
  <si>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</si>
  <si>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</si>
  <si>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</si>
  <si>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</si>
  <si>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</si>
  <si>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</si>
  <si>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</si>
  <si>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</si>
  <si>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</si>
  <si>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</si>
  <si>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</si>
  <si>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</si>
  <si>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</si>
  <si>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</si>
  <si>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</si>
  <si>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</si>
  <si>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</si>
  <si>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</si>
  <si>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</si>
  <si>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</si>
  <si>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</si>
  <si>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</si>
  <si>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</si>
  <si>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</si>
  <si>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</si>
  <si>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</si>
  <si>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</si>
  <si>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</si>
  <si>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</si>
  <si>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</si>
  <si>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</si>
  <si>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</si>
  <si>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</si>
  <si>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</si>
  <si>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</si>
  <si>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</si>
  <si>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</si>
  <si>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</si>
  <si>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</si>
  <si>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</si>
  <si>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</si>
  <si>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</si>
  <si>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</si>
  <si>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</si>
  <si>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</si>
  <si>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</si>
  <si>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</si>
  <si>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</si>
  <si>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</si>
  <si>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Row Labels</t>
  </si>
  <si>
    <t>Jan</t>
  </si>
  <si>
    <t>Feb</t>
  </si>
  <si>
    <t>Mar</t>
  </si>
  <si>
    <t>Apr</t>
  </si>
  <si>
    <t>May</t>
  </si>
  <si>
    <t>Jun</t>
  </si>
  <si>
    <t>Jul</t>
  </si>
  <si>
    <t>Aug</t>
  </si>
  <si>
    <t>Sep</t>
  </si>
  <si>
    <t>Oct</t>
  </si>
  <si>
    <t>Nov</t>
  </si>
  <si>
    <t>Dec</t>
  </si>
  <si>
    <t>Grand Total</t>
  </si>
  <si>
    <t>Count of Ticket ID</t>
  </si>
  <si>
    <t>Met</t>
  </si>
  <si>
    <t>Not Met</t>
  </si>
  <si>
    <t>(All)</t>
  </si>
  <si>
    <t>Number of tickets only met trend</t>
  </si>
  <si>
    <t>Target</t>
  </si>
  <si>
    <t>Actual</t>
  </si>
  <si>
    <t>SLA</t>
  </si>
  <si>
    <t>Pending</t>
  </si>
  <si>
    <t>Total</t>
  </si>
  <si>
    <t>SLA Impact Request Type</t>
  </si>
  <si>
    <t>Column Labels</t>
  </si>
  <si>
    <t>SLA by Assigned Person</t>
  </si>
  <si>
    <t>Prority</t>
  </si>
  <si>
    <t>Count %</t>
  </si>
  <si>
    <t>Count</t>
  </si>
  <si>
    <t>Count of tickets by status NOT MET</t>
  </si>
  <si>
    <t>Number of tickets by region</t>
  </si>
  <si>
    <t>Non-Met</t>
  </si>
  <si>
    <t>Number of tickets by Coutnry</t>
  </si>
  <si>
    <t>SLA Not Met</t>
  </si>
  <si>
    <t>SLA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</si>
</sst>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5"/>
        <bgColor indexed="64"/>
      </patternFill>
    </fill>
    <fill>
      <patternFill patternType="solid">
        <fgColor theme="9" tint="0.79998168889431442"/>
        <bgColor theme="9" tint="0.79998168889431442"/>
      </patternFill>
    </fill>
  </fills>
  <borders count="18">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0" fontId="1" fillId="2" borderId="1" xfId="0" applyFont="1" applyFill="1" applyBorder="1" applyAlignment="1">
      <alignment horizontal="left" vertical="top"/>
    </xf>
    <xf numFmtId="14" fontId="1" fillId="2" borderId="1" xfId="0" applyNumberFormat="1" applyFont="1" applyFill="1" applyBorder="1" applyAlignment="1">
      <alignment horizontal="left" vertical="top"/>
    </xf>
    <xf numFmtId="14" fontId="1" fillId="3" borderId="1" xfId="0" applyNumberFormat="1" applyFont="1" applyFill="1" applyBorder="1" applyAlignment="1">
      <alignment horizontal="left" vertical="top"/>
    </xf>
    <xf numFmtId="0" fontId="0" fillId="4" borderId="2" xfId="0" applyFill="1" applyBorder="1"/>
    <xf numFmtId="0" fontId="0" fillId="4" borderId="3" xfId="0" applyFill="1" applyBorder="1"/>
    <xf numFmtId="15" fontId="0" fillId="4" borderId="3" xfId="0" applyNumberFormat="1" applyFill="1" applyBorder="1"/>
    <xf numFmtId="15" fontId="2" fillId="4" borderId="3" xfId="0" applyNumberFormat="1" applyFont="1" applyFill="1" applyBorder="1"/>
    <xf numFmtId="0" fontId="0" fillId="0" borderId="2" xfId="0" applyBorder="1"/>
    <xf numFmtId="0" fontId="0" fillId="0" borderId="3" xfId="0" applyBorder="1"/>
    <xf numFmtId="15" fontId="0" fillId="0" borderId="3" xfId="0" applyNumberFormat="1" applyBorder="1"/>
    <xf numFmtId="15" fontId="2" fillId="0" borderId="3" xfId="0" applyNumberFormat="1" applyFont="1" applyBorder="1"/>
    <xf numFmtId="0" fontId="2" fillId="0" borderId="3" xfId="0" applyFont="1" applyBorder="1"/>
    <xf numFmtId="0" fontId="2" fillId="4" borderId="3" xfId="0" applyFont="1" applyFill="1" applyBorder="1"/>
    <xf numFmtId="9" fontId="0" fillId="0" borderId="0" xfId="0" applyNumberFormat="1"/>
    <xf numFmtId="9" fontId="0" fillId="0" borderId="0" xfId="1" applyFont="1" applyBorder="1"/>
    <xf numFmtId="0" fontId="0" fillId="0" borderId="5" xfId="0" applyBorder="1"/>
    <xf numFmtId="0" fontId="0" fillId="0" borderId="6" xfId="0" applyBorder="1"/>
    <xf numFmtId="0" fontId="0" fillId="0" borderId="7" xfId="0" applyBorder="1"/>
    <xf numFmtId="9" fontId="0" fillId="0" borderId="9" xfId="1" applyFont="1" applyBorder="1"/>
    <xf numFmtId="9" fontId="0" fillId="0" borderId="11" xfId="1" applyFont="1" applyBorder="1"/>
    <xf numFmtId="9" fontId="0" fillId="0" borderId="12" xfId="1" applyFont="1" applyBorder="1"/>
    <xf numFmtId="9" fontId="0" fillId="0" borderId="7" xfId="0" applyNumberFormat="1" applyBorder="1"/>
    <xf numFmtId="0" fontId="0" fillId="0" borderId="8" xfId="0" applyBorder="1"/>
    <xf numFmtId="9" fontId="0" fillId="0" borderId="9" xfId="0" applyNumberFormat="1" applyBorder="1"/>
    <xf numFmtId="0" fontId="0" fillId="0" borderId="10" xfId="0" applyBorder="1"/>
    <xf numFmtId="9" fontId="0" fillId="0" borderId="11" xfId="0" applyNumberFormat="1" applyBorder="1"/>
    <xf numFmtId="9" fontId="0" fillId="0" borderId="12" xfId="0" applyNumberFormat="1" applyBorder="1"/>
    <xf numFmtId="0" fontId="0" fillId="0" borderId="9" xfId="0" applyBorder="1"/>
    <xf numFmtId="0" fontId="0" fillId="0" borderId="11" xfId="0" applyBorder="1"/>
    <xf numFmtId="0" fontId="0" fillId="0" borderId="12" xfId="0" applyBorder="1"/>
    <xf numFmtId="0" fontId="0" fillId="0" borderId="13" xfId="0" pivotButton="1" applyBorder="1"/>
    <xf numFmtId="0" fontId="0" fillId="0" borderId="14" xfId="0" applyBorder="1"/>
    <xf numFmtId="0" fontId="0" fillId="0" borderId="4" xfId="0" applyBorder="1"/>
    <xf numFmtId="0" fontId="0" fillId="0" borderId="4" xfId="0" applyBorder="1" applyAlignment="1">
      <alignment horizontal="left"/>
    </xf>
    <xf numFmtId="0" fontId="0" fillId="0" borderId="4" xfId="0" pivotButton="1" applyBorder="1"/>
    <xf numFmtId="0" fontId="0" fillId="0" borderId="1" xfId="0" applyBorder="1"/>
    <xf numFmtId="9" fontId="0" fillId="0" borderId="1" xfId="0" applyNumberFormat="1" applyBorder="1"/>
    <xf numFmtId="9" fontId="0" fillId="0" borderId="1" xfId="1" applyFont="1" applyBorder="1"/>
    <xf numFmtId="0" fontId="0" fillId="0" borderId="15" xfId="0" applyBorder="1"/>
    <xf numFmtId="0" fontId="0" fillId="0" borderId="17" xfId="0" applyBorder="1"/>
    <xf numFmtId="0" fontId="0" fillId="0" borderId="16" xfId="0" applyBorder="1"/>
    <xf numFmtId="0" fontId="0" fillId="0" borderId="15" xfId="0" applyBorder="1" applyAlignment="1">
      <alignment horizontal="left"/>
    </xf>
    <xf numFmtId="0" fontId="0" fillId="0" borderId="17" xfId="0" applyBorder="1" applyAlignment="1">
      <alignment horizontal="left"/>
    </xf>
    <xf numFmtId="0" fontId="0" fillId="0" borderId="16" xfId="0" applyBorder="1" applyAlignment="1">
      <alignment horizontal="left"/>
    </xf>
    <xf numFmtId="0" fontId="0" fillId="0" borderId="13" xfId="0" applyBorder="1"/>
  </cellXfs>
  <cellStyles count="2">
    <cellStyle name="Normal" xfId="0" builtinId="0"/>
    <cellStyle name="Percent" xfId="1" builtinId="5"/>
  </cellStyles>
  <dxfs count="5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8DCE7E"/>
        </patternFill>
      </fill>
    </dxf>
  </dxfs>
  <tableStyles count="1" defaultTableStyle="TableStyleMedium2" defaultPivotStyle="PivotStyleLight16">
    <tableStyle name="Slicer Style 1" pivot="0" table="0" count="4" xr9:uid="{1393D54D-B405-4961-8953-182E7DA94195}">
      <tableStyleElement type="wholeTable" dxfId="50"/>
    </tableStyle>
  </tableStyles>
  <colors>
    <mruColors>
      <color rgb="FF478020"/>
      <color rgb="FF61E937"/>
      <color rgb="FF77D24E"/>
      <color rgb="FFAACF7D"/>
      <color rgb="FF8DCE7E"/>
    </mruColors>
  </colors>
  <extLst>
    <ext xmlns:x14="http://schemas.microsoft.com/office/spreadsheetml/2009/9/main" uri="{46F421CA-312F-682f-3DD2-61675219B42D}">
      <x14:dxfs count="3">
        <dxf>
          <fill>
            <patternFill>
              <bgColor theme="6" tint="0.39994506668294322"/>
            </patternFill>
          </fill>
        </dxf>
        <dxf>
          <fill>
            <patternFill>
              <bgColor theme="9" tint="-0.24994659260841701"/>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43-47C0-B254-FAB1E609F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43-47C0-B254-FAB1E609FE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43-47C0-B254-FAB1E609FE2C}"/>
              </c:ext>
            </c:extLst>
          </c:dPt>
          <c:val>
            <c:numRef>
              <c:f>'Pivot Table'!$F$26:$F$28</c:f>
              <c:numCache>
                <c:formatCode>0%</c:formatCode>
                <c:ptCount val="3"/>
                <c:pt idx="0">
                  <c:v>0.94049733570159855</c:v>
                </c:pt>
                <c:pt idx="1">
                  <c:v>0.25950266429840141</c:v>
                </c:pt>
                <c:pt idx="2">
                  <c:v>1.2</c:v>
                </c:pt>
              </c:numCache>
            </c:numRef>
          </c:val>
          <c:extLst>
            <c:ext xmlns:c16="http://schemas.microsoft.com/office/drawing/2014/chart" uri="{C3380CC4-5D6E-409C-BE32-E72D297353CC}">
              <c16:uniqueId val="{00000000-E90D-4846-83A7-C7C8F210DD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5F-4AEA-8F26-72BACF2582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5F-4AEA-8F26-72BACF2582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5F-4AEA-8F26-72BACF2582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5F-4AEA-8F26-72BACF258246}"/>
              </c:ext>
            </c:extLst>
          </c:dPt>
          <c:val>
            <c:numRef>
              <c:f>'Pivot Table'!$G$25:$G$28</c:f>
              <c:numCache>
                <c:formatCode>0%</c:formatCode>
                <c:ptCount val="4"/>
                <c:pt idx="0">
                  <c:v>0.94049733570159855</c:v>
                </c:pt>
                <c:pt idx="1">
                  <c:v>0.02</c:v>
                </c:pt>
                <c:pt idx="2">
                  <c:v>0.25950266429840141</c:v>
                </c:pt>
                <c:pt idx="3">
                  <c:v>1.2</c:v>
                </c:pt>
              </c:numCache>
            </c:numRef>
          </c:val>
          <c:extLst>
            <c:ext xmlns:c16="http://schemas.microsoft.com/office/drawing/2014/chart" uri="{C3380CC4-5D6E-409C-BE32-E72D297353CC}">
              <c16:uniqueId val="{00000000-72A4-45BA-ADC7-7E43AEAEB3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 Key Metrics Performance.xlsx]Pivot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Table'!$C$37</c:f>
              <c:strCache>
                <c:ptCount val="1"/>
                <c:pt idx="0">
                  <c:v>Total</c:v>
                </c:pt>
              </c:strCache>
            </c:strRef>
          </c:tx>
          <c:spPr>
            <a:solidFill>
              <a:schemeClr val="accent1"/>
            </a:solidFill>
            <a:ln>
              <a:noFill/>
            </a:ln>
            <a:effectLst/>
          </c:spPr>
          <c:invertIfNegative val="0"/>
          <c:cat>
            <c:strRef>
              <c:f>'Pivot Table'!$B$38:$B$46</c:f>
              <c:strCache>
                <c:ptCount val="8"/>
                <c:pt idx="0">
                  <c:v>Access Request</c:v>
                </c:pt>
                <c:pt idx="1">
                  <c:v>Email Setup</c:v>
                </c:pt>
                <c:pt idx="2">
                  <c:v>Network Issue</c:v>
                </c:pt>
                <c:pt idx="3">
                  <c:v>Password Reset</c:v>
                </c:pt>
                <c:pt idx="4">
                  <c:v>Printer Issue</c:v>
                </c:pt>
                <c:pt idx="5">
                  <c:v>Server Downtime</c:v>
                </c:pt>
                <c:pt idx="6">
                  <c:v>Software Install</c:v>
                </c:pt>
                <c:pt idx="7">
                  <c:v>VPN Access</c:v>
                </c:pt>
              </c:strCache>
            </c:strRef>
          </c:cat>
          <c:val>
            <c:numRef>
              <c:f>'Pivot Table'!$C$38:$C$46</c:f>
              <c:numCache>
                <c:formatCode>General</c:formatCode>
                <c:ptCount val="8"/>
                <c:pt idx="0">
                  <c:v>24</c:v>
                </c:pt>
                <c:pt idx="1">
                  <c:v>3</c:v>
                </c:pt>
                <c:pt idx="2">
                  <c:v>5</c:v>
                </c:pt>
                <c:pt idx="3">
                  <c:v>10</c:v>
                </c:pt>
                <c:pt idx="4">
                  <c:v>2</c:v>
                </c:pt>
                <c:pt idx="5">
                  <c:v>8</c:v>
                </c:pt>
                <c:pt idx="6">
                  <c:v>5</c:v>
                </c:pt>
                <c:pt idx="7">
                  <c:v>10</c:v>
                </c:pt>
              </c:numCache>
            </c:numRef>
          </c:val>
          <c:extLst>
            <c:ext xmlns:c16="http://schemas.microsoft.com/office/drawing/2014/chart" uri="{C3380CC4-5D6E-409C-BE32-E72D297353CC}">
              <c16:uniqueId val="{00000000-5616-4ACD-9DFC-BE66A2C7BF08}"/>
            </c:ext>
          </c:extLst>
        </c:ser>
        <c:dLbls>
          <c:showLegendKey val="0"/>
          <c:showVal val="0"/>
          <c:showCatName val="0"/>
          <c:showSerName val="0"/>
          <c:showPercent val="0"/>
          <c:showBubbleSize val="0"/>
        </c:dLbls>
        <c:gapWidth val="182"/>
        <c:axId val="174186288"/>
        <c:axId val="174169968"/>
      </c:barChart>
      <c:catAx>
        <c:axId val="17418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9968"/>
        <c:crosses val="autoZero"/>
        <c:auto val="1"/>
        <c:lblAlgn val="ctr"/>
        <c:lblOffset val="100"/>
        <c:noMultiLvlLbl val="0"/>
      </c:catAx>
      <c:valAx>
        <c:axId val="174169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Table'!$J$6</c:f>
              <c:strCache>
                <c:ptCount val="1"/>
                <c:pt idx="0">
                  <c:v>Target</c:v>
                </c:pt>
              </c:strCache>
            </c:strRef>
          </c:tx>
          <c:spPr>
            <a:solidFill>
              <a:schemeClr val="accent1"/>
            </a:solidFill>
            <a:ln>
              <a:noFill/>
            </a:ln>
            <a:effectLst/>
          </c:spPr>
          <c:invertIfNegative val="0"/>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Table'!$J$7:$J$18</c:f>
              <c:numCache>
                <c:formatCode>0%</c:formatCode>
                <c:ptCount val="12"/>
                <c:pt idx="0">
                  <c:v>0.94</c:v>
                </c:pt>
                <c:pt idx="1">
                  <c:v>0.94</c:v>
                </c:pt>
                <c:pt idx="2">
                  <c:v>0.94</c:v>
                </c:pt>
                <c:pt idx="3">
                  <c:v>0.94</c:v>
                </c:pt>
                <c:pt idx="4">
                  <c:v>0.94</c:v>
                </c:pt>
                <c:pt idx="5">
                  <c:v>0.94</c:v>
                </c:pt>
                <c:pt idx="6">
                  <c:v>0.94</c:v>
                </c:pt>
                <c:pt idx="7">
                  <c:v>0.94</c:v>
                </c:pt>
                <c:pt idx="8">
                  <c:v>0.94</c:v>
                </c:pt>
                <c:pt idx="9">
                  <c:v>0.94</c:v>
                </c:pt>
                <c:pt idx="10">
                  <c:v>0.94</c:v>
                </c:pt>
                <c:pt idx="11">
                  <c:v>0.94</c:v>
                </c:pt>
              </c:numCache>
            </c:numRef>
          </c:val>
          <c:extLst>
            <c:ext xmlns:c16="http://schemas.microsoft.com/office/drawing/2014/chart" uri="{C3380CC4-5D6E-409C-BE32-E72D297353CC}">
              <c16:uniqueId val="{00000000-2A1C-4566-8B99-7F239BBEBA25}"/>
            </c:ext>
          </c:extLst>
        </c:ser>
        <c:ser>
          <c:idx val="1"/>
          <c:order val="1"/>
          <c:tx>
            <c:strRef>
              <c:f>'Pivot Table'!$K$6</c:f>
              <c:strCache>
                <c:ptCount val="1"/>
                <c:pt idx="0">
                  <c:v>Actual</c:v>
                </c:pt>
              </c:strCache>
            </c:strRef>
          </c:tx>
          <c:spPr>
            <a:solidFill>
              <a:schemeClr val="accent2"/>
            </a:solidFill>
            <a:ln>
              <a:noFill/>
            </a:ln>
            <a:effectLst/>
          </c:spPr>
          <c:invertIfNegative val="0"/>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Table'!$K$7:$K$18</c:f>
              <c:numCache>
                <c:formatCode>0%</c:formatCode>
                <c:ptCount val="12"/>
                <c:pt idx="0">
                  <c:v>0.81355932203389836</c:v>
                </c:pt>
                <c:pt idx="1">
                  <c:v>0.94117647058823528</c:v>
                </c:pt>
                <c:pt idx="2">
                  <c:v>0.92233009708737868</c:v>
                </c:pt>
                <c:pt idx="3">
                  <c:v>0.98347107438016534</c:v>
                </c:pt>
                <c:pt idx="4">
                  <c:v>0.94594594594594594</c:v>
                </c:pt>
                <c:pt idx="5">
                  <c:v>0.97619047619047616</c:v>
                </c:pt>
                <c:pt idx="6">
                  <c:v>1</c:v>
                </c:pt>
                <c:pt idx="7">
                  <c:v>0.94117647058823528</c:v>
                </c:pt>
                <c:pt idx="8">
                  <c:v>0.89320388349514568</c:v>
                </c:pt>
                <c:pt idx="9">
                  <c:v>0.98347107438016534</c:v>
                </c:pt>
                <c:pt idx="10">
                  <c:v>0.94594594594594594</c:v>
                </c:pt>
                <c:pt idx="11">
                  <c:v>0.97619047619047616</c:v>
                </c:pt>
              </c:numCache>
            </c:numRef>
          </c:val>
          <c:extLst>
            <c:ext xmlns:c16="http://schemas.microsoft.com/office/drawing/2014/chart" uri="{C3380CC4-5D6E-409C-BE32-E72D297353CC}">
              <c16:uniqueId val="{00000001-2A1C-4566-8B99-7F239BBEBA25}"/>
            </c:ext>
          </c:extLst>
        </c:ser>
        <c:ser>
          <c:idx val="2"/>
          <c:order val="2"/>
          <c:tx>
            <c:strRef>
              <c:f>'Pivot Table'!$L$6</c:f>
              <c:strCache>
                <c:ptCount val="1"/>
                <c:pt idx="0">
                  <c:v>SLA Not Met</c:v>
                </c:pt>
              </c:strCache>
            </c:strRef>
          </c:tx>
          <c:spPr>
            <a:solidFill>
              <a:schemeClr val="accent3"/>
            </a:solidFill>
            <a:ln>
              <a:noFill/>
            </a:ln>
            <a:effectLst/>
          </c:spPr>
          <c:invertIfNegative val="0"/>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Table'!$L$7:$L$18</c:f>
              <c:numCache>
                <c:formatCode>0%</c:formatCode>
                <c:ptCount val="12"/>
                <c:pt idx="0">
                  <c:v>0.81355932203389836</c:v>
                </c:pt>
                <c:pt idx="1">
                  <c:v>0</c:v>
                </c:pt>
                <c:pt idx="2">
                  <c:v>0.92233009708737868</c:v>
                </c:pt>
                <c:pt idx="3">
                  <c:v>0</c:v>
                </c:pt>
                <c:pt idx="4">
                  <c:v>0</c:v>
                </c:pt>
                <c:pt idx="5">
                  <c:v>0</c:v>
                </c:pt>
                <c:pt idx="6">
                  <c:v>0</c:v>
                </c:pt>
                <c:pt idx="7">
                  <c:v>0</c:v>
                </c:pt>
                <c:pt idx="8">
                  <c:v>0.89320388349514568</c:v>
                </c:pt>
                <c:pt idx="9">
                  <c:v>0</c:v>
                </c:pt>
                <c:pt idx="10">
                  <c:v>0</c:v>
                </c:pt>
                <c:pt idx="11">
                  <c:v>0</c:v>
                </c:pt>
              </c:numCache>
            </c:numRef>
          </c:val>
          <c:extLst>
            <c:ext xmlns:c16="http://schemas.microsoft.com/office/drawing/2014/chart" uri="{C3380CC4-5D6E-409C-BE32-E72D297353CC}">
              <c16:uniqueId val="{00000002-2A1C-4566-8B99-7F239BBEBA25}"/>
            </c:ext>
          </c:extLst>
        </c:ser>
        <c:ser>
          <c:idx val="3"/>
          <c:order val="3"/>
          <c:tx>
            <c:strRef>
              <c:f>'Pivot Table'!$M$6</c:f>
              <c:strCache>
                <c:ptCount val="1"/>
                <c:pt idx="0">
                  <c:v>SLA Met</c:v>
                </c:pt>
              </c:strCache>
            </c:strRef>
          </c:tx>
          <c:spPr>
            <a:solidFill>
              <a:schemeClr val="accent4"/>
            </a:solidFill>
            <a:ln>
              <a:noFill/>
            </a:ln>
            <a:effectLst/>
          </c:spPr>
          <c:invertIfNegative val="0"/>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Table'!$M$7:$M$18</c:f>
              <c:numCache>
                <c:formatCode>0%</c:formatCode>
                <c:ptCount val="12"/>
                <c:pt idx="0">
                  <c:v>0</c:v>
                </c:pt>
                <c:pt idx="1">
                  <c:v>0.94117647058823528</c:v>
                </c:pt>
                <c:pt idx="2">
                  <c:v>0</c:v>
                </c:pt>
                <c:pt idx="3">
                  <c:v>0.98347107438016534</c:v>
                </c:pt>
                <c:pt idx="4">
                  <c:v>0.94594594594594594</c:v>
                </c:pt>
                <c:pt idx="5">
                  <c:v>0.97619047619047616</c:v>
                </c:pt>
                <c:pt idx="6">
                  <c:v>1</c:v>
                </c:pt>
                <c:pt idx="7">
                  <c:v>0.94117647058823528</c:v>
                </c:pt>
                <c:pt idx="8">
                  <c:v>0</c:v>
                </c:pt>
                <c:pt idx="9">
                  <c:v>0.98347107438016534</c:v>
                </c:pt>
                <c:pt idx="10">
                  <c:v>0.94594594594594594</c:v>
                </c:pt>
                <c:pt idx="11">
                  <c:v>0.97619047619047616</c:v>
                </c:pt>
              </c:numCache>
            </c:numRef>
          </c:val>
          <c:extLst>
            <c:ext xmlns:c16="http://schemas.microsoft.com/office/drawing/2014/chart" uri="{C3380CC4-5D6E-409C-BE32-E72D297353CC}">
              <c16:uniqueId val="{00000003-2A1C-4566-8B99-7F239BBEBA25}"/>
            </c:ext>
          </c:extLst>
        </c:ser>
        <c:dLbls>
          <c:showLegendKey val="0"/>
          <c:showVal val="0"/>
          <c:showCatName val="0"/>
          <c:showSerName val="0"/>
          <c:showPercent val="0"/>
          <c:showBubbleSize val="0"/>
        </c:dLbls>
        <c:gapWidth val="219"/>
        <c:overlap val="-27"/>
        <c:axId val="224004048"/>
        <c:axId val="224009328"/>
      </c:barChart>
      <c:catAx>
        <c:axId val="22400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009328"/>
        <c:crosses val="autoZero"/>
        <c:auto val="1"/>
        <c:lblAlgn val="ctr"/>
        <c:lblOffset val="100"/>
        <c:noMultiLvlLbl val="0"/>
      </c:catAx>
      <c:valAx>
        <c:axId val="224009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00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 Key Metrics Performance.xlsx]Pivot Table!PivotTable4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Table'!$G$37:$G$38</c:f>
              <c:strCache>
                <c:ptCount val="1"/>
                <c:pt idx="0">
                  <c:v>Met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Table'!$F$39:$F$45</c:f>
              <c:strCache>
                <c:ptCount val="6"/>
                <c:pt idx="0">
                  <c:v>Alice</c:v>
                </c:pt>
                <c:pt idx="1">
                  <c:v>John</c:v>
                </c:pt>
                <c:pt idx="2">
                  <c:v>Mike</c:v>
                </c:pt>
                <c:pt idx="3">
                  <c:v>Nina</c:v>
                </c:pt>
                <c:pt idx="4">
                  <c:v>Robert</c:v>
                </c:pt>
                <c:pt idx="5">
                  <c:v>Sarah</c:v>
                </c:pt>
              </c:strCache>
            </c:strRef>
          </c:cat>
          <c:val>
            <c:numRef>
              <c:f>'Pivot Table'!$G$39:$G$45</c:f>
              <c:numCache>
                <c:formatCode>General</c:formatCode>
                <c:ptCount val="6"/>
                <c:pt idx="0">
                  <c:v>165</c:v>
                </c:pt>
                <c:pt idx="1">
                  <c:v>176</c:v>
                </c:pt>
                <c:pt idx="2">
                  <c:v>175</c:v>
                </c:pt>
                <c:pt idx="3">
                  <c:v>182</c:v>
                </c:pt>
                <c:pt idx="4">
                  <c:v>212</c:v>
                </c:pt>
                <c:pt idx="5">
                  <c:v>149</c:v>
                </c:pt>
              </c:numCache>
            </c:numRef>
          </c:val>
          <c:extLst>
            <c:ext xmlns:c16="http://schemas.microsoft.com/office/drawing/2014/chart" uri="{C3380CC4-5D6E-409C-BE32-E72D297353CC}">
              <c16:uniqueId val="{00000000-BF72-4E70-BF9A-860A449DAF0A}"/>
            </c:ext>
          </c:extLst>
        </c:ser>
        <c:ser>
          <c:idx val="1"/>
          <c:order val="1"/>
          <c:tx>
            <c:strRef>
              <c:f>'Pivot Table'!$H$37:$H$38</c:f>
              <c:strCache>
                <c:ptCount val="1"/>
                <c:pt idx="0">
                  <c:v>Not Met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Table'!$F$39:$F$45</c:f>
              <c:strCache>
                <c:ptCount val="6"/>
                <c:pt idx="0">
                  <c:v>Alice</c:v>
                </c:pt>
                <c:pt idx="1">
                  <c:v>John</c:v>
                </c:pt>
                <c:pt idx="2">
                  <c:v>Mike</c:v>
                </c:pt>
                <c:pt idx="3">
                  <c:v>Nina</c:v>
                </c:pt>
                <c:pt idx="4">
                  <c:v>Robert</c:v>
                </c:pt>
                <c:pt idx="5">
                  <c:v>Sarah</c:v>
                </c:pt>
              </c:strCache>
            </c:strRef>
          </c:cat>
          <c:val>
            <c:numRef>
              <c:f>'Pivot Table'!$H$39:$H$45</c:f>
              <c:numCache>
                <c:formatCode>General</c:formatCode>
                <c:ptCount val="6"/>
                <c:pt idx="0">
                  <c:v>9</c:v>
                </c:pt>
                <c:pt idx="1">
                  <c:v>8</c:v>
                </c:pt>
                <c:pt idx="2">
                  <c:v>5</c:v>
                </c:pt>
                <c:pt idx="3">
                  <c:v>14</c:v>
                </c:pt>
                <c:pt idx="4">
                  <c:v>2</c:v>
                </c:pt>
                <c:pt idx="5">
                  <c:v>29</c:v>
                </c:pt>
              </c:numCache>
            </c:numRef>
          </c:val>
          <c:extLst>
            <c:ext xmlns:c16="http://schemas.microsoft.com/office/drawing/2014/chart" uri="{C3380CC4-5D6E-409C-BE32-E72D297353CC}">
              <c16:uniqueId val="{00000001-BF72-4E70-BF9A-860A449DAF0A}"/>
            </c:ext>
          </c:extLst>
        </c:ser>
        <c:dLbls>
          <c:showLegendKey val="0"/>
          <c:showVal val="0"/>
          <c:showCatName val="0"/>
          <c:showSerName val="0"/>
          <c:showPercent val="0"/>
          <c:showBubbleSize val="0"/>
        </c:dLbls>
        <c:gapWidth val="115"/>
        <c:overlap val="-20"/>
        <c:axId val="272372959"/>
        <c:axId val="272363839"/>
      </c:barChart>
      <c:catAx>
        <c:axId val="272372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63839"/>
        <c:crosses val="autoZero"/>
        <c:auto val="1"/>
        <c:lblAlgn val="ctr"/>
        <c:lblOffset val="100"/>
        <c:noMultiLvlLbl val="0"/>
      </c:catAx>
      <c:valAx>
        <c:axId val="27236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7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Table'!$C$66</c:f>
              <c:strCache>
                <c:ptCount val="1"/>
                <c:pt idx="0">
                  <c:v>Count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2.2222222222222223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C9-43DA-A1BE-FDA85F20188A}"/>
                </c:ext>
              </c:extLst>
            </c:dLbl>
            <c:dLbl>
              <c:idx val="1"/>
              <c:layout>
                <c:manualLayout>
                  <c:x val="-5.0925337632079971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C9-43DA-A1BE-FDA85F20188A}"/>
                </c:ext>
              </c:extLst>
            </c:dLbl>
            <c:dLbl>
              <c:idx val="2"/>
              <c:layout>
                <c:manualLayout>
                  <c:x val="1.6666666666666566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C9-43DA-A1BE-FDA85F2018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Table'!$B$67:$B$69</c:f>
              <c:strCache>
                <c:ptCount val="3"/>
                <c:pt idx="0">
                  <c:v>High</c:v>
                </c:pt>
                <c:pt idx="1">
                  <c:v>Low</c:v>
                </c:pt>
                <c:pt idx="2">
                  <c:v>Medium</c:v>
                </c:pt>
              </c:strCache>
            </c:strRef>
          </c:cat>
          <c:val>
            <c:numRef>
              <c:f>'Pivot Table'!$C$67:$C$69</c:f>
              <c:numCache>
                <c:formatCode>0%</c:formatCode>
                <c:ptCount val="3"/>
                <c:pt idx="0">
                  <c:v>0.23880597014925373</c:v>
                </c:pt>
                <c:pt idx="1">
                  <c:v>0.32835820895522388</c:v>
                </c:pt>
                <c:pt idx="2">
                  <c:v>0.43283582089552236</c:v>
                </c:pt>
              </c:numCache>
            </c:numRef>
          </c:val>
          <c:extLst>
            <c:ext xmlns:c16="http://schemas.microsoft.com/office/drawing/2014/chart" uri="{C3380CC4-5D6E-409C-BE32-E72D297353CC}">
              <c16:uniqueId val="{00000000-23C9-43DA-A1BE-FDA85F20188A}"/>
            </c:ext>
          </c:extLst>
        </c:ser>
        <c:dLbls>
          <c:showLegendKey val="0"/>
          <c:showVal val="1"/>
          <c:showCatName val="0"/>
          <c:showSerName val="0"/>
          <c:showPercent val="0"/>
          <c:showBubbleSize val="0"/>
        </c:dLbls>
        <c:gapWidth val="150"/>
        <c:shape val="box"/>
        <c:axId val="1558521935"/>
        <c:axId val="1558526735"/>
        <c:axId val="1743585935"/>
        <c:extLst>
          <c:ext xmlns:c15="http://schemas.microsoft.com/office/drawing/2012/chart" uri="{02D57815-91ED-43cb-92C2-25804820EDAC}">
            <c15:filteredBarSeries>
              <c15:ser>
                <c:idx val="1"/>
                <c:order val="1"/>
                <c:tx>
                  <c:strRef>
                    <c:extLst>
                      <c:ext uri="{02D57815-91ED-43cb-92C2-25804820EDAC}">
                        <c15:formulaRef>
                          <c15:sqref>'Pivot Table'!$D$66</c15:sqref>
                        </c15:formulaRef>
                      </c:ext>
                    </c:extLst>
                    <c:strCache>
                      <c:ptCount val="1"/>
                      <c:pt idx="0">
                        <c:v>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Table'!$B$67:$B$69</c15:sqref>
                        </c15:formulaRef>
                      </c:ext>
                    </c:extLst>
                    <c:strCache>
                      <c:ptCount val="3"/>
                      <c:pt idx="0">
                        <c:v>High</c:v>
                      </c:pt>
                      <c:pt idx="1">
                        <c:v>Low</c:v>
                      </c:pt>
                      <c:pt idx="2">
                        <c:v>Medium</c:v>
                      </c:pt>
                    </c:strCache>
                  </c:strRef>
                </c:cat>
                <c:val>
                  <c:numRef>
                    <c:extLst>
                      <c:ext uri="{02D57815-91ED-43cb-92C2-25804820EDAC}">
                        <c15:formulaRef>
                          <c15:sqref>'Pivot Table'!$D$67:$D$69</c15:sqref>
                        </c15:formulaRef>
                      </c:ext>
                    </c:extLst>
                    <c:numCache>
                      <c:formatCode>General</c:formatCode>
                      <c:ptCount val="3"/>
                      <c:pt idx="0">
                        <c:v>16</c:v>
                      </c:pt>
                      <c:pt idx="1">
                        <c:v>22</c:v>
                      </c:pt>
                      <c:pt idx="2">
                        <c:v>29</c:v>
                      </c:pt>
                    </c:numCache>
                  </c:numRef>
                </c:val>
                <c:extLst>
                  <c:ext xmlns:c16="http://schemas.microsoft.com/office/drawing/2014/chart" uri="{C3380CC4-5D6E-409C-BE32-E72D297353CC}">
                    <c16:uniqueId val="{00000001-23C9-43DA-A1BE-FDA85F20188A}"/>
                  </c:ext>
                </c:extLst>
              </c15:ser>
            </c15:filteredBarSeries>
          </c:ext>
        </c:extLst>
      </c:bar3DChart>
      <c:catAx>
        <c:axId val="1558521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26735"/>
        <c:crosses val="autoZero"/>
        <c:auto val="1"/>
        <c:lblAlgn val="ctr"/>
        <c:lblOffset val="100"/>
        <c:noMultiLvlLbl val="0"/>
      </c:catAx>
      <c:valAx>
        <c:axId val="155852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21935"/>
        <c:crosses val="autoZero"/>
        <c:crossBetween val="between"/>
      </c:valAx>
      <c:serAx>
        <c:axId val="1743585935"/>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26735"/>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1"/>
          <c:order val="1"/>
          <c:tx>
            <c:strRef>
              <c:f>'Pivot Table'!$D$66</c:f>
              <c:strCache>
                <c:ptCount val="1"/>
                <c:pt idx="0">
                  <c:v>Count</c:v>
                </c:pt>
              </c:strCache>
            </c:strRef>
          </c:tx>
          <c:spPr>
            <a:solidFill>
              <a:schemeClr val="accent2"/>
            </a:solidFill>
            <a:ln>
              <a:noFill/>
            </a:ln>
            <a:effectLst/>
            <a:sp3d/>
          </c:spPr>
          <c:invertIfNegative val="0"/>
          <c:cat>
            <c:strRef>
              <c:f>'Pivot Table'!$B$67:$B$69</c:f>
              <c:strCache>
                <c:ptCount val="3"/>
                <c:pt idx="0">
                  <c:v>High</c:v>
                </c:pt>
                <c:pt idx="1">
                  <c:v>Low</c:v>
                </c:pt>
                <c:pt idx="2">
                  <c:v>Medium</c:v>
                </c:pt>
              </c:strCache>
            </c:strRef>
          </c:cat>
          <c:val>
            <c:numRef>
              <c:f>'Pivot Table'!$D$67:$D$69</c:f>
              <c:numCache>
                <c:formatCode>General</c:formatCode>
                <c:ptCount val="3"/>
                <c:pt idx="0">
                  <c:v>16</c:v>
                </c:pt>
                <c:pt idx="1">
                  <c:v>22</c:v>
                </c:pt>
                <c:pt idx="2">
                  <c:v>29</c:v>
                </c:pt>
              </c:numCache>
            </c:numRef>
          </c:val>
          <c:extLst>
            <c:ext xmlns:c16="http://schemas.microsoft.com/office/drawing/2014/chart" uri="{C3380CC4-5D6E-409C-BE32-E72D297353CC}">
              <c16:uniqueId val="{00000001-2773-4B8D-B245-3EA38022DFEC}"/>
            </c:ext>
          </c:extLst>
        </c:ser>
        <c:dLbls>
          <c:showLegendKey val="0"/>
          <c:showVal val="0"/>
          <c:showCatName val="0"/>
          <c:showSerName val="0"/>
          <c:showPercent val="0"/>
          <c:showBubbleSize val="0"/>
        </c:dLbls>
        <c:gapWidth val="150"/>
        <c:shape val="box"/>
        <c:axId val="1758037999"/>
        <c:axId val="1758030799"/>
        <c:axId val="0"/>
        <c:extLst>
          <c:ext xmlns:c15="http://schemas.microsoft.com/office/drawing/2012/chart" uri="{02D57815-91ED-43cb-92C2-25804820EDAC}">
            <c15:filteredBarSeries>
              <c15:ser>
                <c:idx val="0"/>
                <c:order val="0"/>
                <c:tx>
                  <c:strRef>
                    <c:extLst>
                      <c:ext uri="{02D57815-91ED-43cb-92C2-25804820EDAC}">
                        <c15:formulaRef>
                          <c15:sqref>'Pivot Table'!$C$66</c15:sqref>
                        </c15:formulaRef>
                      </c:ext>
                    </c:extLst>
                    <c:strCache>
                      <c:ptCount val="1"/>
                      <c:pt idx="0">
                        <c:v>Count %</c:v>
                      </c:pt>
                    </c:strCache>
                  </c:strRef>
                </c:tx>
                <c:spPr>
                  <a:solidFill>
                    <a:schemeClr val="accent1"/>
                  </a:solidFill>
                  <a:ln>
                    <a:noFill/>
                  </a:ln>
                  <a:effectLst/>
                  <a:sp3d/>
                </c:spPr>
                <c:invertIfNegative val="0"/>
                <c:cat>
                  <c:strRef>
                    <c:extLst>
                      <c:ext uri="{02D57815-91ED-43cb-92C2-25804820EDAC}">
                        <c15:formulaRef>
                          <c15:sqref>'Pivot Table'!$B$67:$B$69</c15:sqref>
                        </c15:formulaRef>
                      </c:ext>
                    </c:extLst>
                    <c:strCache>
                      <c:ptCount val="3"/>
                      <c:pt idx="0">
                        <c:v>High</c:v>
                      </c:pt>
                      <c:pt idx="1">
                        <c:v>Low</c:v>
                      </c:pt>
                      <c:pt idx="2">
                        <c:v>Medium</c:v>
                      </c:pt>
                    </c:strCache>
                  </c:strRef>
                </c:cat>
                <c:val>
                  <c:numRef>
                    <c:extLst>
                      <c:ext uri="{02D57815-91ED-43cb-92C2-25804820EDAC}">
                        <c15:formulaRef>
                          <c15:sqref>'Pivot Table'!$C$67:$C$69</c15:sqref>
                        </c15:formulaRef>
                      </c:ext>
                    </c:extLst>
                    <c:numCache>
                      <c:formatCode>0%</c:formatCode>
                      <c:ptCount val="3"/>
                      <c:pt idx="0">
                        <c:v>0.23880597014925373</c:v>
                      </c:pt>
                      <c:pt idx="1">
                        <c:v>0.32835820895522388</c:v>
                      </c:pt>
                      <c:pt idx="2">
                        <c:v>0.43283582089552236</c:v>
                      </c:pt>
                    </c:numCache>
                  </c:numRef>
                </c:val>
                <c:extLst>
                  <c:ext xmlns:c16="http://schemas.microsoft.com/office/drawing/2014/chart" uri="{C3380CC4-5D6E-409C-BE32-E72D297353CC}">
                    <c16:uniqueId val="{00000000-2773-4B8D-B245-3EA38022DFEC}"/>
                  </c:ext>
                </c:extLst>
              </c15:ser>
            </c15:filteredBarSeries>
          </c:ext>
        </c:extLst>
      </c:bar3DChart>
      <c:catAx>
        <c:axId val="1758037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30799"/>
        <c:crosses val="autoZero"/>
        <c:auto val="1"/>
        <c:lblAlgn val="ctr"/>
        <c:lblOffset val="100"/>
        <c:noMultiLvlLbl val="0"/>
      </c:catAx>
      <c:valAx>
        <c:axId val="175803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3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a:effectLst/>
          </c:spPr>
          <c:dPt>
            <c:idx val="0"/>
            <c:bubble3D val="0"/>
            <c:spPr>
              <a:solidFill>
                <a:schemeClr val="accent6">
                  <a:lumMod val="60000"/>
                  <a:lumOff val="40000"/>
                </a:schemeClr>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6E06-4F30-B5B5-A48ABD2B922F}"/>
              </c:ext>
            </c:extLst>
          </c:dPt>
          <c:dPt>
            <c:idx val="1"/>
            <c:bubble3D val="0"/>
            <c:spPr>
              <a:solidFill>
                <a:schemeClr val="accent6">
                  <a:lumMod val="75000"/>
                </a:schemeClr>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6E06-4F30-B5B5-A48ABD2B922F}"/>
              </c:ext>
            </c:extLst>
          </c:dPt>
          <c:dPt>
            <c:idx val="2"/>
            <c:bubble3D val="0"/>
            <c:spPr>
              <a:noFill/>
              <a:ln w="19050">
                <a:noFill/>
              </a:ln>
              <a:effectLst/>
            </c:spPr>
            <c:extLst>
              <c:ext xmlns:c16="http://schemas.microsoft.com/office/drawing/2014/chart" uri="{C3380CC4-5D6E-409C-BE32-E72D297353CC}">
                <c16:uniqueId val="{00000005-6E06-4F30-B5B5-A48ABD2B922F}"/>
              </c:ext>
            </c:extLst>
          </c:dPt>
          <c:val>
            <c:numRef>
              <c:f>'Pivot Table'!$F$26:$F$28</c:f>
              <c:numCache>
                <c:formatCode>0%</c:formatCode>
                <c:ptCount val="3"/>
                <c:pt idx="0">
                  <c:v>0.94049733570159855</c:v>
                </c:pt>
                <c:pt idx="1">
                  <c:v>0.25950266429840141</c:v>
                </c:pt>
                <c:pt idx="2">
                  <c:v>1.2</c:v>
                </c:pt>
              </c:numCache>
            </c:numRef>
          </c:val>
          <c:extLst>
            <c:ext xmlns:c16="http://schemas.microsoft.com/office/drawing/2014/chart" uri="{C3380CC4-5D6E-409C-BE32-E72D297353CC}">
              <c16:uniqueId val="{00000006-6E06-4F30-B5B5-A48ABD2B922F}"/>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187244414090962E-2"/>
          <c:y val="3.2214794902903E-2"/>
          <c:w val="0.81825043899332095"/>
          <c:h val="0.96410146616869263"/>
        </c:manualLayout>
      </c:layout>
      <c:pieChart>
        <c:varyColors val="1"/>
        <c:ser>
          <c:idx val="0"/>
          <c:order val="0"/>
          <c:spPr>
            <a:noFill/>
          </c:spPr>
          <c:explosion val="21"/>
          <c:dPt>
            <c:idx val="0"/>
            <c:bubble3D val="0"/>
            <c:spPr>
              <a:noFill/>
              <a:ln w="19050">
                <a:noFill/>
              </a:ln>
              <a:effectLst/>
            </c:spPr>
            <c:extLst>
              <c:ext xmlns:c16="http://schemas.microsoft.com/office/drawing/2014/chart" uri="{C3380CC4-5D6E-409C-BE32-E72D297353CC}">
                <c16:uniqueId val="{00000001-AEF4-4C1E-8063-BD97443B25E4}"/>
              </c:ext>
            </c:extLst>
          </c:dPt>
          <c:dPt>
            <c:idx val="1"/>
            <c:bubble3D val="0"/>
            <c:spPr>
              <a:noFill/>
              <a:ln w="19050">
                <a:solidFill>
                  <a:schemeClr val="tx1"/>
                </a:solidFill>
              </a:ln>
              <a:effectLst/>
            </c:spPr>
            <c:extLst>
              <c:ext xmlns:c16="http://schemas.microsoft.com/office/drawing/2014/chart" uri="{C3380CC4-5D6E-409C-BE32-E72D297353CC}">
                <c16:uniqueId val="{00000003-AEF4-4C1E-8063-BD97443B25E4}"/>
              </c:ext>
            </c:extLst>
          </c:dPt>
          <c:dPt>
            <c:idx val="2"/>
            <c:bubble3D val="0"/>
            <c:spPr>
              <a:noFill/>
              <a:ln w="19050">
                <a:noFill/>
              </a:ln>
              <a:effectLst/>
            </c:spPr>
            <c:extLst>
              <c:ext xmlns:c16="http://schemas.microsoft.com/office/drawing/2014/chart" uri="{C3380CC4-5D6E-409C-BE32-E72D297353CC}">
                <c16:uniqueId val="{00000005-AEF4-4C1E-8063-BD97443B25E4}"/>
              </c:ext>
            </c:extLst>
          </c:dPt>
          <c:dPt>
            <c:idx val="3"/>
            <c:bubble3D val="0"/>
            <c:spPr>
              <a:noFill/>
              <a:ln w="19050">
                <a:noFill/>
              </a:ln>
              <a:effectLst/>
            </c:spPr>
            <c:extLst>
              <c:ext xmlns:c16="http://schemas.microsoft.com/office/drawing/2014/chart" uri="{C3380CC4-5D6E-409C-BE32-E72D297353CC}">
                <c16:uniqueId val="{00000007-AEF4-4C1E-8063-BD97443B25E4}"/>
              </c:ext>
            </c:extLst>
          </c:dPt>
          <c:val>
            <c:numRef>
              <c:f>'Pivot Table'!$G$25:$G$28</c:f>
              <c:numCache>
                <c:formatCode>0%</c:formatCode>
                <c:ptCount val="4"/>
                <c:pt idx="0">
                  <c:v>0.94049733570159855</c:v>
                </c:pt>
                <c:pt idx="1">
                  <c:v>0.02</c:v>
                </c:pt>
                <c:pt idx="2">
                  <c:v>0.25950266429840141</c:v>
                </c:pt>
                <c:pt idx="3">
                  <c:v>1.2</c:v>
                </c:pt>
              </c:numCache>
            </c:numRef>
          </c:val>
          <c:extLst>
            <c:ext xmlns:c16="http://schemas.microsoft.com/office/drawing/2014/chart" uri="{C3380CC4-5D6E-409C-BE32-E72D297353CC}">
              <c16:uniqueId val="{00000008-AEF4-4C1E-8063-BD97443B25E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 Key Metrics Performance.xlsx]Pivot Table!PivotTable3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40000"/>
                  <a:lumOff val="60000"/>
                </a:schemeClr>
              </a:gs>
              <a:gs pos="100000">
                <a:schemeClr val="accent3">
                  <a:lumMod val="60000"/>
                  <a:lumOff val="40000"/>
                </a:schemeClr>
              </a:gs>
            </a:gsLst>
            <a:lin ang="0" scaled="0"/>
          </a:gradFill>
          <a:ln w="9525" cap="flat" cmpd="sng" algn="ctr">
            <a:no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Table'!$C$37</c:f>
              <c:strCache>
                <c:ptCount val="1"/>
                <c:pt idx="0">
                  <c:v>Total</c:v>
                </c:pt>
              </c:strCache>
            </c:strRef>
          </c:tx>
          <c:spPr>
            <a:gradFill rotWithShape="1">
              <a:gsLst>
                <a:gs pos="0">
                  <a:schemeClr val="accent6">
                    <a:lumMod val="40000"/>
                    <a:lumOff val="60000"/>
                  </a:schemeClr>
                </a:gs>
                <a:gs pos="100000">
                  <a:schemeClr val="accent3">
                    <a:lumMod val="60000"/>
                    <a:lumOff val="40000"/>
                  </a:schemeClr>
                </a:gs>
              </a:gsLst>
              <a:lin ang="0" scaled="0"/>
            </a:gradFill>
            <a:ln w="9525" cap="flat" cmpd="sng" algn="ctr">
              <a:noFill/>
              <a:round/>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Table'!$B$38:$B$46</c:f>
              <c:strCache>
                <c:ptCount val="8"/>
                <c:pt idx="0">
                  <c:v>Access Request</c:v>
                </c:pt>
                <c:pt idx="1">
                  <c:v>Email Setup</c:v>
                </c:pt>
                <c:pt idx="2">
                  <c:v>Network Issue</c:v>
                </c:pt>
                <c:pt idx="3">
                  <c:v>Password Reset</c:v>
                </c:pt>
                <c:pt idx="4">
                  <c:v>Printer Issue</c:v>
                </c:pt>
                <c:pt idx="5">
                  <c:v>Server Downtime</c:v>
                </c:pt>
                <c:pt idx="6">
                  <c:v>Software Install</c:v>
                </c:pt>
                <c:pt idx="7">
                  <c:v>VPN Access</c:v>
                </c:pt>
              </c:strCache>
            </c:strRef>
          </c:cat>
          <c:val>
            <c:numRef>
              <c:f>'Pivot Table'!$C$38:$C$46</c:f>
              <c:numCache>
                <c:formatCode>General</c:formatCode>
                <c:ptCount val="8"/>
                <c:pt idx="0">
                  <c:v>24</c:v>
                </c:pt>
                <c:pt idx="1">
                  <c:v>3</c:v>
                </c:pt>
                <c:pt idx="2">
                  <c:v>5</c:v>
                </c:pt>
                <c:pt idx="3">
                  <c:v>10</c:v>
                </c:pt>
                <c:pt idx="4">
                  <c:v>2</c:v>
                </c:pt>
                <c:pt idx="5">
                  <c:v>8</c:v>
                </c:pt>
                <c:pt idx="6">
                  <c:v>5</c:v>
                </c:pt>
                <c:pt idx="7">
                  <c:v>10</c:v>
                </c:pt>
              </c:numCache>
            </c:numRef>
          </c:val>
          <c:extLst>
            <c:ext xmlns:c16="http://schemas.microsoft.com/office/drawing/2014/chart" uri="{C3380CC4-5D6E-409C-BE32-E72D297353CC}">
              <c16:uniqueId val="{00000000-4624-49F0-BFA6-D16146DDEDAE}"/>
            </c:ext>
          </c:extLst>
        </c:ser>
        <c:dLbls>
          <c:dLblPos val="outEnd"/>
          <c:showLegendKey val="0"/>
          <c:showVal val="1"/>
          <c:showCatName val="0"/>
          <c:showSerName val="0"/>
          <c:showPercent val="0"/>
          <c:showBubbleSize val="0"/>
        </c:dLbls>
        <c:gapWidth val="50"/>
        <c:axId val="174186288"/>
        <c:axId val="174169968"/>
      </c:barChart>
      <c:catAx>
        <c:axId val="17418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169968"/>
        <c:crosses val="autoZero"/>
        <c:auto val="1"/>
        <c:lblAlgn val="ctr"/>
        <c:lblOffset val="100"/>
        <c:noMultiLvlLbl val="0"/>
      </c:catAx>
      <c:valAx>
        <c:axId val="174169968"/>
        <c:scaling>
          <c:orientation val="minMax"/>
        </c:scaling>
        <c:delete val="1"/>
        <c:axPos val="b"/>
        <c:numFmt formatCode="General" sourceLinked="1"/>
        <c:majorTickMark val="none"/>
        <c:minorTickMark val="none"/>
        <c:tickLblPos val="nextTo"/>
        <c:crossAx val="17418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strRef>
              <c:f>'Pivot Table'!$L$6</c:f>
              <c:strCache>
                <c:ptCount val="1"/>
                <c:pt idx="0">
                  <c:v>SLA Not Met</c:v>
                </c:pt>
              </c:strCache>
            </c:strRef>
          </c:tx>
          <c:spPr>
            <a:solidFill>
              <a:schemeClr val="accent3">
                <a:lumMod val="60000"/>
                <a:lumOff val="40000"/>
              </a:schemeClr>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Table'!$L$7:$L$18</c:f>
              <c:numCache>
                <c:formatCode>0%</c:formatCode>
                <c:ptCount val="12"/>
                <c:pt idx="0">
                  <c:v>0.81355932203389836</c:v>
                </c:pt>
                <c:pt idx="1">
                  <c:v>0</c:v>
                </c:pt>
                <c:pt idx="2">
                  <c:v>0.92233009708737868</c:v>
                </c:pt>
                <c:pt idx="3">
                  <c:v>0</c:v>
                </c:pt>
                <c:pt idx="4">
                  <c:v>0</c:v>
                </c:pt>
                <c:pt idx="5">
                  <c:v>0</c:v>
                </c:pt>
                <c:pt idx="6">
                  <c:v>0</c:v>
                </c:pt>
                <c:pt idx="7">
                  <c:v>0</c:v>
                </c:pt>
                <c:pt idx="8">
                  <c:v>0.89320388349514568</c:v>
                </c:pt>
                <c:pt idx="9">
                  <c:v>0</c:v>
                </c:pt>
                <c:pt idx="10">
                  <c:v>0</c:v>
                </c:pt>
                <c:pt idx="11">
                  <c:v>0</c:v>
                </c:pt>
              </c:numCache>
            </c:numRef>
          </c:val>
          <c:extLst>
            <c:ext xmlns:c16="http://schemas.microsoft.com/office/drawing/2014/chart" uri="{C3380CC4-5D6E-409C-BE32-E72D297353CC}">
              <c16:uniqueId val="{00000002-AAC3-43DF-8E09-B32015DF764D}"/>
            </c:ext>
          </c:extLst>
        </c:ser>
        <c:dLbls>
          <c:showLegendKey val="0"/>
          <c:showVal val="0"/>
          <c:showCatName val="0"/>
          <c:showSerName val="0"/>
          <c:showPercent val="0"/>
          <c:showBubbleSize val="0"/>
        </c:dLbls>
        <c:gapWidth val="69"/>
        <c:overlap val="100"/>
        <c:axId val="224004048"/>
        <c:axId val="224009328"/>
        <c:extLst>
          <c:ext xmlns:c15="http://schemas.microsoft.com/office/drawing/2012/chart" uri="{02D57815-91ED-43cb-92C2-25804820EDAC}">
            <c15:filteredBarSeries>
              <c15:ser>
                <c:idx val="1"/>
                <c:order val="1"/>
                <c:tx>
                  <c:strRef>
                    <c:extLst>
                      <c:ext uri="{02D57815-91ED-43cb-92C2-25804820EDAC}">
                        <c15:formulaRef>
                          <c15:sqref>'Pivot Table'!$K$6</c15:sqref>
                        </c15:formulaRef>
                      </c:ext>
                    </c:extLst>
                    <c:strCache>
                      <c:ptCount val="1"/>
                      <c:pt idx="0">
                        <c:v>Actual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extLst>
                      <c:ext uri="{02D57815-91ED-43cb-92C2-25804820EDAC}">
                        <c15:formulaRef>
                          <c15:sqref>'Pivot Table'!$I$7:$I$18</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'Pivot Table'!$K$7:$K$18</c15:sqref>
                        </c15:formulaRef>
                      </c:ext>
                    </c:extLst>
                    <c:numCache>
                      <c:formatCode>0%</c:formatCode>
                      <c:ptCount val="12"/>
                      <c:pt idx="0">
                        <c:v>0.81355932203389836</c:v>
                      </c:pt>
                      <c:pt idx="1">
                        <c:v>0.94117647058823528</c:v>
                      </c:pt>
                      <c:pt idx="2">
                        <c:v>0.92233009708737868</c:v>
                      </c:pt>
                      <c:pt idx="3">
                        <c:v>0.98347107438016534</c:v>
                      </c:pt>
                      <c:pt idx="4">
                        <c:v>0.94594594594594594</c:v>
                      </c:pt>
                      <c:pt idx="5">
                        <c:v>0.97619047619047616</c:v>
                      </c:pt>
                      <c:pt idx="6">
                        <c:v>1</c:v>
                      </c:pt>
                      <c:pt idx="7">
                        <c:v>0.94117647058823528</c:v>
                      </c:pt>
                      <c:pt idx="8">
                        <c:v>0.89320388349514568</c:v>
                      </c:pt>
                      <c:pt idx="9">
                        <c:v>0.98347107438016534</c:v>
                      </c:pt>
                      <c:pt idx="10">
                        <c:v>0.94594594594594594</c:v>
                      </c:pt>
                      <c:pt idx="11">
                        <c:v>0.97619047619047616</c:v>
                      </c:pt>
                    </c:numCache>
                  </c:numRef>
                </c:val>
                <c:extLst>
                  <c:ext xmlns:c16="http://schemas.microsoft.com/office/drawing/2014/chart" uri="{C3380CC4-5D6E-409C-BE32-E72D297353CC}">
                    <c16:uniqueId val="{00000001-AAC3-43DF-8E09-B32015DF764D}"/>
                  </c:ext>
                </c:extLst>
              </c15:ser>
            </c15:filteredBarSeries>
          </c:ext>
        </c:extLst>
      </c:barChart>
      <c:barChart>
        <c:barDir val="col"/>
        <c:grouping val="clustered"/>
        <c:varyColors val="0"/>
        <c:ser>
          <c:idx val="3"/>
          <c:order val="3"/>
          <c:tx>
            <c:strRef>
              <c:f>'Pivot Table'!$M$6</c:f>
              <c:strCache>
                <c:ptCount val="1"/>
                <c:pt idx="0">
                  <c:v>SLA Met</c:v>
                </c:pt>
              </c:strCache>
            </c:strRef>
          </c:tx>
          <c:spPr>
            <a:solidFill>
              <a:schemeClr val="accent2">
                <a:lumMod val="60000"/>
                <a:lumOff val="40000"/>
              </a:schemeClr>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Table'!$M$7:$M$18</c:f>
              <c:numCache>
                <c:formatCode>0%</c:formatCode>
                <c:ptCount val="12"/>
                <c:pt idx="0">
                  <c:v>0</c:v>
                </c:pt>
                <c:pt idx="1">
                  <c:v>0.94117647058823528</c:v>
                </c:pt>
                <c:pt idx="2">
                  <c:v>0</c:v>
                </c:pt>
                <c:pt idx="3">
                  <c:v>0.98347107438016534</c:v>
                </c:pt>
                <c:pt idx="4">
                  <c:v>0.94594594594594594</c:v>
                </c:pt>
                <c:pt idx="5">
                  <c:v>0.97619047619047616</c:v>
                </c:pt>
                <c:pt idx="6">
                  <c:v>1</c:v>
                </c:pt>
                <c:pt idx="7">
                  <c:v>0.94117647058823528</c:v>
                </c:pt>
                <c:pt idx="8">
                  <c:v>0</c:v>
                </c:pt>
                <c:pt idx="9">
                  <c:v>0.98347107438016534</c:v>
                </c:pt>
                <c:pt idx="10">
                  <c:v>0.94594594594594594</c:v>
                </c:pt>
                <c:pt idx="11">
                  <c:v>0.97619047619047616</c:v>
                </c:pt>
              </c:numCache>
            </c:numRef>
          </c:val>
          <c:extLst>
            <c:ext xmlns:c16="http://schemas.microsoft.com/office/drawing/2014/chart" uri="{C3380CC4-5D6E-409C-BE32-E72D297353CC}">
              <c16:uniqueId val="{00000003-AAC3-43DF-8E09-B32015DF764D}"/>
            </c:ext>
          </c:extLst>
        </c:ser>
        <c:dLbls>
          <c:showLegendKey val="0"/>
          <c:showVal val="0"/>
          <c:showCatName val="0"/>
          <c:showSerName val="0"/>
          <c:showPercent val="0"/>
          <c:showBubbleSize val="0"/>
        </c:dLbls>
        <c:gapWidth val="69"/>
        <c:axId val="174200208"/>
        <c:axId val="174205008"/>
      </c:barChart>
      <c:lineChart>
        <c:grouping val="standard"/>
        <c:varyColors val="0"/>
        <c:ser>
          <c:idx val="0"/>
          <c:order val="0"/>
          <c:tx>
            <c:strRef>
              <c:f>'Pivot Table'!$J$6</c:f>
              <c:strCache>
                <c:ptCount val="1"/>
                <c:pt idx="0">
                  <c:v>Target</c:v>
                </c:pt>
              </c:strCache>
            </c:strRef>
          </c:tx>
          <c:spPr>
            <a:ln w="19050" cap="rnd">
              <a:solidFill>
                <a:schemeClr val="accent2">
                  <a:lumMod val="60000"/>
                  <a:lumOff val="40000"/>
                </a:schemeClr>
              </a:solidFill>
              <a:prstDash val="sysDash"/>
              <a:round/>
            </a:ln>
            <a:effectLst/>
          </c:spPr>
          <c:marker>
            <c:symbol val="none"/>
          </c:marker>
          <c:cat>
            <c:strRef>
              <c:f>'Pivot Table'!$I$7:$I$18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Table'!$J$7:$J$18</c:f>
              <c:numCache>
                <c:formatCode>0%</c:formatCode>
                <c:ptCount val="12"/>
                <c:pt idx="0">
                  <c:v>0.94</c:v>
                </c:pt>
                <c:pt idx="1">
                  <c:v>0.94</c:v>
                </c:pt>
                <c:pt idx="2">
                  <c:v>0.94</c:v>
                </c:pt>
                <c:pt idx="3">
                  <c:v>0.94</c:v>
                </c:pt>
                <c:pt idx="4">
                  <c:v>0.94</c:v>
                </c:pt>
                <c:pt idx="5">
                  <c:v>0.94</c:v>
                </c:pt>
                <c:pt idx="6">
                  <c:v>0.94</c:v>
                </c:pt>
                <c:pt idx="7">
                  <c:v>0.94</c:v>
                </c:pt>
                <c:pt idx="8">
                  <c:v>0.94</c:v>
                </c:pt>
                <c:pt idx="9">
                  <c:v>0.94</c:v>
                </c:pt>
                <c:pt idx="10">
                  <c:v>0.94</c:v>
                </c:pt>
                <c:pt idx="11">
                  <c:v>0.94</c:v>
                </c:pt>
              </c:numCache>
            </c:numRef>
          </c:val>
          <c:smooth val="0"/>
          <c:extLst>
            <c:ext xmlns:c16="http://schemas.microsoft.com/office/drawing/2014/chart" uri="{C3380CC4-5D6E-409C-BE32-E72D297353CC}">
              <c16:uniqueId val="{00000000-AAC3-43DF-8E09-B32015DF764D}"/>
            </c:ext>
          </c:extLst>
        </c:ser>
        <c:dLbls>
          <c:showLegendKey val="0"/>
          <c:showVal val="0"/>
          <c:showCatName val="0"/>
          <c:showSerName val="0"/>
          <c:showPercent val="0"/>
          <c:showBubbleSize val="0"/>
        </c:dLbls>
        <c:marker val="1"/>
        <c:smooth val="0"/>
        <c:axId val="224004048"/>
        <c:axId val="224009328"/>
      </c:lineChart>
      <c:catAx>
        <c:axId val="2240040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4009328"/>
        <c:crosses val="autoZero"/>
        <c:auto val="1"/>
        <c:lblAlgn val="ctr"/>
        <c:lblOffset val="100"/>
        <c:noMultiLvlLbl val="0"/>
      </c:catAx>
      <c:valAx>
        <c:axId val="224009328"/>
        <c:scaling>
          <c:orientation val="minMax"/>
          <c:max val="1"/>
          <c:min val="0.70000000000000007"/>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4004048"/>
        <c:crosses val="autoZero"/>
        <c:crossBetween val="between"/>
      </c:valAx>
      <c:valAx>
        <c:axId val="174205008"/>
        <c:scaling>
          <c:orientation val="minMax"/>
        </c:scaling>
        <c:delete val="1"/>
        <c:axPos val="r"/>
        <c:numFmt formatCode="0%" sourceLinked="1"/>
        <c:majorTickMark val="out"/>
        <c:minorTickMark val="none"/>
        <c:tickLblPos val="nextTo"/>
        <c:crossAx val="174200208"/>
        <c:crosses val="max"/>
        <c:crossBetween val="between"/>
      </c:valAx>
      <c:catAx>
        <c:axId val="174200208"/>
        <c:scaling>
          <c:orientation val="minMax"/>
        </c:scaling>
        <c:delete val="1"/>
        <c:axPos val="b"/>
        <c:numFmt formatCode="General" sourceLinked="1"/>
        <c:majorTickMark val="out"/>
        <c:minorTickMark val="none"/>
        <c:tickLblPos val="nextTo"/>
        <c:crossAx val="174205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 Key Metrics Performance.xlsx]Pivot Table!PivotTable4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Table'!$G$37:$G$38</c:f>
              <c:strCache>
                <c:ptCount val="1"/>
                <c:pt idx="0">
                  <c:v>Met</c:v>
                </c:pt>
              </c:strCache>
            </c:strRef>
          </c:tx>
          <c:spPr>
            <a:solidFill>
              <a:schemeClr val="accent2">
                <a:lumMod val="60000"/>
                <a:lumOff val="40000"/>
              </a:schemeClr>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Table'!$F$39:$F$45</c:f>
              <c:strCache>
                <c:ptCount val="6"/>
                <c:pt idx="0">
                  <c:v>Alice</c:v>
                </c:pt>
                <c:pt idx="1">
                  <c:v>John</c:v>
                </c:pt>
                <c:pt idx="2">
                  <c:v>Mike</c:v>
                </c:pt>
                <c:pt idx="3">
                  <c:v>Nina</c:v>
                </c:pt>
                <c:pt idx="4">
                  <c:v>Robert</c:v>
                </c:pt>
                <c:pt idx="5">
                  <c:v>Sarah</c:v>
                </c:pt>
              </c:strCache>
            </c:strRef>
          </c:cat>
          <c:val>
            <c:numRef>
              <c:f>'Pivot Table'!$G$39:$G$45</c:f>
              <c:numCache>
                <c:formatCode>General</c:formatCode>
                <c:ptCount val="6"/>
                <c:pt idx="0">
                  <c:v>165</c:v>
                </c:pt>
                <c:pt idx="1">
                  <c:v>176</c:v>
                </c:pt>
                <c:pt idx="2">
                  <c:v>175</c:v>
                </c:pt>
                <c:pt idx="3">
                  <c:v>182</c:v>
                </c:pt>
                <c:pt idx="4">
                  <c:v>212</c:v>
                </c:pt>
                <c:pt idx="5">
                  <c:v>149</c:v>
                </c:pt>
              </c:numCache>
            </c:numRef>
          </c:val>
          <c:extLst>
            <c:ext xmlns:c16="http://schemas.microsoft.com/office/drawing/2014/chart" uri="{C3380CC4-5D6E-409C-BE32-E72D297353CC}">
              <c16:uniqueId val="{00000000-2B3D-4AAD-9CEC-EF092CACA596}"/>
            </c:ext>
          </c:extLst>
        </c:ser>
        <c:ser>
          <c:idx val="1"/>
          <c:order val="1"/>
          <c:tx>
            <c:strRef>
              <c:f>'Pivot Table'!$H$37:$H$38</c:f>
              <c:strCache>
                <c:ptCount val="1"/>
                <c:pt idx="0">
                  <c:v>Not Met</c:v>
                </c:pt>
              </c:strCache>
            </c:strRef>
          </c:tx>
          <c:spPr>
            <a:solidFill>
              <a:schemeClr val="accent3">
                <a:lumMod val="60000"/>
                <a:lumOff val="40000"/>
              </a:schemeClr>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Table'!$F$39:$F$45</c:f>
              <c:strCache>
                <c:ptCount val="6"/>
                <c:pt idx="0">
                  <c:v>Alice</c:v>
                </c:pt>
                <c:pt idx="1">
                  <c:v>John</c:v>
                </c:pt>
                <c:pt idx="2">
                  <c:v>Mike</c:v>
                </c:pt>
                <c:pt idx="3">
                  <c:v>Nina</c:v>
                </c:pt>
                <c:pt idx="4">
                  <c:v>Robert</c:v>
                </c:pt>
                <c:pt idx="5">
                  <c:v>Sarah</c:v>
                </c:pt>
              </c:strCache>
            </c:strRef>
          </c:cat>
          <c:val>
            <c:numRef>
              <c:f>'Pivot Table'!$H$39:$H$45</c:f>
              <c:numCache>
                <c:formatCode>General</c:formatCode>
                <c:ptCount val="6"/>
                <c:pt idx="0">
                  <c:v>9</c:v>
                </c:pt>
                <c:pt idx="1">
                  <c:v>8</c:v>
                </c:pt>
                <c:pt idx="2">
                  <c:v>5</c:v>
                </c:pt>
                <c:pt idx="3">
                  <c:v>14</c:v>
                </c:pt>
                <c:pt idx="4">
                  <c:v>2</c:v>
                </c:pt>
                <c:pt idx="5">
                  <c:v>29</c:v>
                </c:pt>
              </c:numCache>
            </c:numRef>
          </c:val>
          <c:extLst>
            <c:ext xmlns:c16="http://schemas.microsoft.com/office/drawing/2014/chart" uri="{C3380CC4-5D6E-409C-BE32-E72D297353CC}">
              <c16:uniqueId val="{00000001-2B3D-4AAD-9CEC-EF092CACA596}"/>
            </c:ext>
          </c:extLst>
        </c:ser>
        <c:dLbls>
          <c:dLblPos val="outEnd"/>
          <c:showLegendKey val="0"/>
          <c:showVal val="1"/>
          <c:showCatName val="0"/>
          <c:showSerName val="0"/>
          <c:showPercent val="0"/>
          <c:showBubbleSize val="0"/>
        </c:dLbls>
        <c:gapWidth val="100"/>
        <c:axId val="272372959"/>
        <c:axId val="272363839"/>
      </c:barChart>
      <c:catAx>
        <c:axId val="272372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2363839"/>
        <c:crosses val="autoZero"/>
        <c:auto val="1"/>
        <c:lblAlgn val="ctr"/>
        <c:lblOffset val="100"/>
        <c:noMultiLvlLbl val="0"/>
      </c:catAx>
      <c:valAx>
        <c:axId val="272363839"/>
        <c:scaling>
          <c:orientation val="minMax"/>
        </c:scaling>
        <c:delete val="1"/>
        <c:axPos val="b"/>
        <c:numFmt formatCode="General" sourceLinked="1"/>
        <c:majorTickMark val="none"/>
        <c:minorTickMark val="none"/>
        <c:tickLblPos val="nextTo"/>
        <c:crossAx val="27237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Table'!$C$66</c:f>
              <c:strCache>
                <c:ptCount val="1"/>
                <c:pt idx="0">
                  <c:v>Count %</c:v>
                </c:pt>
              </c:strCache>
            </c:strRef>
          </c:tx>
          <c:spPr>
            <a:solidFill>
              <a:srgbClr val="61E937"/>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6F94-4BA0-8A7A-A53ED8DE5DE2}"/>
              </c:ext>
            </c:extLst>
          </c:dPt>
          <c:dPt>
            <c:idx val="1"/>
            <c:invertIfNegative val="0"/>
            <c:bubble3D val="0"/>
            <c:spPr>
              <a:solidFill>
                <a:srgbClr val="47802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F94-4BA0-8A7A-A53ED8DE5DE2}"/>
              </c:ext>
            </c:extLst>
          </c:dPt>
          <c:dLbls>
            <c:dLbl>
              <c:idx val="0"/>
              <c:layout>
                <c:manualLayout>
                  <c:x val="1.6666666666666666E-2"/>
                  <c:y val="-4.166666666666666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F94-4BA0-8A7A-A53ED8DE5DE2}"/>
                </c:ext>
              </c:extLst>
            </c:dLbl>
            <c:dLbl>
              <c:idx val="1"/>
              <c:layout>
                <c:manualLayout>
                  <c:x val="2.4999999999999897E-2"/>
                  <c:y val="-4.16666666666667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F94-4BA0-8A7A-A53ED8DE5DE2}"/>
                </c:ext>
              </c:extLst>
            </c:dLbl>
            <c:dLbl>
              <c:idx val="2"/>
              <c:layout>
                <c:manualLayout>
                  <c:x val="2.2222222222222223E-2"/>
                  <c:y val="-3.703703703703707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F94-4BA0-8A7A-A53ED8DE5DE2}"/>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Table'!$B$67:$B$69</c:f>
              <c:strCache>
                <c:ptCount val="3"/>
                <c:pt idx="0">
                  <c:v>High</c:v>
                </c:pt>
                <c:pt idx="1">
                  <c:v>Low</c:v>
                </c:pt>
                <c:pt idx="2">
                  <c:v>Medium</c:v>
                </c:pt>
              </c:strCache>
            </c:strRef>
          </c:cat>
          <c:val>
            <c:numRef>
              <c:f>'Pivot Table'!$C$67:$C$69</c:f>
              <c:numCache>
                <c:formatCode>0%</c:formatCode>
                <c:ptCount val="3"/>
                <c:pt idx="0">
                  <c:v>0.23880597014925373</c:v>
                </c:pt>
                <c:pt idx="1">
                  <c:v>0.32835820895522388</c:v>
                </c:pt>
                <c:pt idx="2">
                  <c:v>0.43283582089552236</c:v>
                </c:pt>
              </c:numCache>
            </c:numRef>
          </c:val>
          <c:extLst>
            <c:ext xmlns:c16="http://schemas.microsoft.com/office/drawing/2014/chart" uri="{C3380CC4-5D6E-409C-BE32-E72D297353CC}">
              <c16:uniqueId val="{00000003-6F94-4BA0-8A7A-A53ED8DE5DE2}"/>
            </c:ext>
          </c:extLst>
        </c:ser>
        <c:dLbls>
          <c:showLegendKey val="0"/>
          <c:showVal val="1"/>
          <c:showCatName val="0"/>
          <c:showSerName val="0"/>
          <c:showPercent val="0"/>
          <c:showBubbleSize val="0"/>
        </c:dLbls>
        <c:gapWidth val="130"/>
        <c:shape val="box"/>
        <c:axId val="1558521935"/>
        <c:axId val="1558526735"/>
        <c:axId val="1743585935"/>
        <c:extLst>
          <c:ext xmlns:c15="http://schemas.microsoft.com/office/drawing/2012/chart" uri="{02D57815-91ED-43cb-92C2-25804820EDAC}">
            <c15:filteredBarSeries>
              <c15:ser>
                <c:idx val="1"/>
                <c:order val="1"/>
                <c:tx>
                  <c:strRef>
                    <c:extLst>
                      <c:ext uri="{02D57815-91ED-43cb-92C2-25804820EDAC}">
                        <c15:formulaRef>
                          <c15:sqref>'Pivot Table'!$D$66</c15:sqref>
                        </c15:formulaRef>
                      </c:ext>
                    </c:extLst>
                    <c:strCache>
                      <c:ptCount val="1"/>
                      <c:pt idx="0">
                        <c:v>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effectLst/>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Table'!$B$67:$B$69</c15:sqref>
                        </c15:formulaRef>
                      </c:ext>
                    </c:extLst>
                    <c:strCache>
                      <c:ptCount val="3"/>
                      <c:pt idx="0">
                        <c:v>High</c:v>
                      </c:pt>
                      <c:pt idx="1">
                        <c:v>Low</c:v>
                      </c:pt>
                      <c:pt idx="2">
                        <c:v>Medium</c:v>
                      </c:pt>
                    </c:strCache>
                  </c:strRef>
                </c:cat>
                <c:val>
                  <c:numRef>
                    <c:extLst>
                      <c:ext uri="{02D57815-91ED-43cb-92C2-25804820EDAC}">
                        <c15:formulaRef>
                          <c15:sqref>'Pivot Table'!$D$67:$D$69</c15:sqref>
                        </c15:formulaRef>
                      </c:ext>
                    </c:extLst>
                    <c:numCache>
                      <c:formatCode>General</c:formatCode>
                      <c:ptCount val="3"/>
                      <c:pt idx="0">
                        <c:v>16</c:v>
                      </c:pt>
                      <c:pt idx="1">
                        <c:v>22</c:v>
                      </c:pt>
                      <c:pt idx="2">
                        <c:v>29</c:v>
                      </c:pt>
                    </c:numCache>
                  </c:numRef>
                </c:val>
                <c:extLst>
                  <c:ext xmlns:c16="http://schemas.microsoft.com/office/drawing/2014/chart" uri="{C3380CC4-5D6E-409C-BE32-E72D297353CC}">
                    <c16:uniqueId val="{00000004-6F94-4BA0-8A7A-A53ED8DE5DE2}"/>
                  </c:ext>
                </c:extLst>
              </c15:ser>
            </c15:filteredBarSeries>
          </c:ext>
        </c:extLst>
      </c:bar3DChart>
      <c:catAx>
        <c:axId val="1558521935"/>
        <c:scaling>
          <c:orientation val="minMax"/>
        </c:scaling>
        <c:delete val="1"/>
        <c:axPos val="b"/>
        <c:numFmt formatCode="General" sourceLinked="1"/>
        <c:majorTickMark val="none"/>
        <c:minorTickMark val="none"/>
        <c:tickLblPos val="nextTo"/>
        <c:crossAx val="1558526735"/>
        <c:crosses val="autoZero"/>
        <c:auto val="1"/>
        <c:lblAlgn val="ctr"/>
        <c:lblOffset val="100"/>
        <c:noMultiLvlLbl val="0"/>
      </c:catAx>
      <c:valAx>
        <c:axId val="1558526735"/>
        <c:scaling>
          <c:orientation val="minMax"/>
        </c:scaling>
        <c:delete val="1"/>
        <c:axPos val="l"/>
        <c:numFmt formatCode="0%" sourceLinked="1"/>
        <c:majorTickMark val="none"/>
        <c:minorTickMark val="none"/>
        <c:tickLblPos val="nextTo"/>
        <c:crossAx val="1558521935"/>
        <c:crosses val="autoZero"/>
        <c:crossBetween val="between"/>
      </c:valAx>
      <c:serAx>
        <c:axId val="1743585935"/>
        <c:scaling>
          <c:orientation val="minMax"/>
        </c:scaling>
        <c:delete val="1"/>
        <c:axPos val="b"/>
        <c:majorTickMark val="none"/>
        <c:minorTickMark val="none"/>
        <c:tickLblPos val="nextTo"/>
        <c:crossAx val="1558526735"/>
        <c:crosses val="autoZero"/>
      </c:serAx>
      <c:spPr>
        <a:noFill/>
        <a:ln>
          <a:noFill/>
        </a:ln>
        <a:effectLst/>
      </c:spPr>
    </c:plotArea>
    <c:plotVisOnly val="1"/>
    <c:dispBlanksAs val="gap"/>
    <c:showDLblsOverMax val="0"/>
  </c:chart>
  <c:spPr>
    <a:noFill/>
    <a:ln w="9525" cap="flat" cmpd="sng" algn="ctr">
      <a:noFill/>
      <a:round/>
    </a:ln>
    <a:effectLst/>
  </c:spPr>
  <c:txPr>
    <a:bodyPr rot="0" vert="horz" anchor="t" anchorCtr="1"/>
    <a:lstStyle/>
    <a:p>
      <a:pPr>
        <a:defRPr>
          <a:ln>
            <a:noFill/>
          </a:ln>
          <a:solidFill>
            <a:schemeClr val="tx2"/>
          </a:solidFill>
          <a:effectLst/>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1"/>
          <c:order val="1"/>
          <c:tx>
            <c:strRef>
              <c:f>'Pivot Table'!$D$66</c:f>
              <c:strCache>
                <c:ptCount val="1"/>
                <c:pt idx="0">
                  <c:v>Count</c:v>
                </c:pt>
              </c:strCache>
            </c:strRef>
          </c:tx>
          <c:spPr>
            <a:solidFill>
              <a:schemeClr val="accent2"/>
            </a:solidFill>
            <a:ln>
              <a:noFill/>
            </a:ln>
            <a:effectLst>
              <a:outerShdw blurRad="63500" sx="102000" sy="102000" algn="ctr" rotWithShape="0">
                <a:prstClr val="black">
                  <a:alpha val="40000"/>
                </a:prstClr>
              </a:outerShdw>
            </a:effectLst>
            <a:sp3d/>
          </c:spPr>
          <c:invertIfNegative val="0"/>
          <c:dPt>
            <c:idx val="0"/>
            <c:invertIfNegative val="0"/>
            <c:bubble3D val="0"/>
            <c:spPr>
              <a:solidFill>
                <a:schemeClr val="accent2">
                  <a:lumMod val="60000"/>
                  <a:lumOff val="40000"/>
                </a:schemeClr>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4-A2E6-4503-87D8-FD1BF6C06C18}"/>
              </c:ext>
            </c:extLst>
          </c:dPt>
          <c:dPt>
            <c:idx val="1"/>
            <c:invertIfNegative val="0"/>
            <c:bubble3D val="0"/>
            <c:spPr>
              <a:solidFill>
                <a:srgbClr val="478020"/>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3-A2E6-4503-87D8-FD1BF6C06C18}"/>
              </c:ext>
            </c:extLst>
          </c:dPt>
          <c:dPt>
            <c:idx val="2"/>
            <c:invertIfNegative val="0"/>
            <c:bubble3D val="0"/>
            <c:spPr>
              <a:solidFill>
                <a:srgbClr val="61E937"/>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2-A2E6-4503-87D8-FD1BF6C06C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Table'!$B$67:$B$69</c:f>
              <c:strCache>
                <c:ptCount val="3"/>
                <c:pt idx="0">
                  <c:v>High</c:v>
                </c:pt>
                <c:pt idx="1">
                  <c:v>Low</c:v>
                </c:pt>
                <c:pt idx="2">
                  <c:v>Medium</c:v>
                </c:pt>
              </c:strCache>
            </c:strRef>
          </c:cat>
          <c:val>
            <c:numRef>
              <c:f>'Pivot Table'!$D$67:$D$69</c:f>
              <c:numCache>
                <c:formatCode>General</c:formatCode>
                <c:ptCount val="3"/>
                <c:pt idx="0">
                  <c:v>16</c:v>
                </c:pt>
                <c:pt idx="1">
                  <c:v>22</c:v>
                </c:pt>
                <c:pt idx="2">
                  <c:v>29</c:v>
                </c:pt>
              </c:numCache>
            </c:numRef>
          </c:val>
          <c:extLst>
            <c:ext xmlns:c16="http://schemas.microsoft.com/office/drawing/2014/chart" uri="{C3380CC4-5D6E-409C-BE32-E72D297353CC}">
              <c16:uniqueId val="{00000000-A2E6-4503-87D8-FD1BF6C06C18}"/>
            </c:ext>
          </c:extLst>
        </c:ser>
        <c:dLbls>
          <c:showLegendKey val="0"/>
          <c:showVal val="0"/>
          <c:showCatName val="0"/>
          <c:showSerName val="0"/>
          <c:showPercent val="0"/>
          <c:showBubbleSize val="0"/>
        </c:dLbls>
        <c:gapWidth val="150"/>
        <c:shape val="box"/>
        <c:axId val="1758037999"/>
        <c:axId val="1758030799"/>
        <c:axId val="0"/>
        <c:extLst>
          <c:ext xmlns:c15="http://schemas.microsoft.com/office/drawing/2012/chart" uri="{02D57815-91ED-43cb-92C2-25804820EDAC}">
            <c15:filteredBarSeries>
              <c15:ser>
                <c:idx val="0"/>
                <c:order val="0"/>
                <c:tx>
                  <c:strRef>
                    <c:extLst>
                      <c:ext uri="{02D57815-91ED-43cb-92C2-25804820EDAC}">
                        <c15:formulaRef>
                          <c15:sqref>'Pivot Table'!$C$66</c15:sqref>
                        </c15:formulaRef>
                      </c:ext>
                    </c:extLst>
                    <c:strCache>
                      <c:ptCount val="1"/>
                      <c:pt idx="0">
                        <c:v>Count %</c:v>
                      </c:pt>
                    </c:strCache>
                  </c:strRef>
                </c:tx>
                <c:spPr>
                  <a:solidFill>
                    <a:schemeClr val="accent1"/>
                  </a:solidFill>
                  <a:ln>
                    <a:noFill/>
                  </a:ln>
                  <a:effectLst/>
                  <a:sp3d/>
                </c:spPr>
                <c:invertIfNegative val="0"/>
                <c:cat>
                  <c:strRef>
                    <c:extLst>
                      <c:ext uri="{02D57815-91ED-43cb-92C2-25804820EDAC}">
                        <c15:formulaRef>
                          <c15:sqref>'Pivot Table'!$B$67:$B$69</c15:sqref>
                        </c15:formulaRef>
                      </c:ext>
                    </c:extLst>
                    <c:strCache>
                      <c:ptCount val="3"/>
                      <c:pt idx="0">
                        <c:v>High</c:v>
                      </c:pt>
                      <c:pt idx="1">
                        <c:v>Low</c:v>
                      </c:pt>
                      <c:pt idx="2">
                        <c:v>Medium</c:v>
                      </c:pt>
                    </c:strCache>
                  </c:strRef>
                </c:cat>
                <c:val>
                  <c:numRef>
                    <c:extLst>
                      <c:ext uri="{02D57815-91ED-43cb-92C2-25804820EDAC}">
                        <c15:formulaRef>
                          <c15:sqref>'Pivot Table'!$C$67:$C$69</c15:sqref>
                        </c15:formulaRef>
                      </c:ext>
                    </c:extLst>
                    <c:numCache>
                      <c:formatCode>0%</c:formatCode>
                      <c:ptCount val="3"/>
                      <c:pt idx="0">
                        <c:v>0.23880597014925373</c:v>
                      </c:pt>
                      <c:pt idx="1">
                        <c:v>0.32835820895522388</c:v>
                      </c:pt>
                      <c:pt idx="2">
                        <c:v>0.43283582089552236</c:v>
                      </c:pt>
                    </c:numCache>
                  </c:numRef>
                </c:val>
                <c:extLst>
                  <c:ext xmlns:c16="http://schemas.microsoft.com/office/drawing/2014/chart" uri="{C3380CC4-5D6E-409C-BE32-E72D297353CC}">
                    <c16:uniqueId val="{00000001-A2E6-4503-87D8-FD1BF6C06C18}"/>
                  </c:ext>
                </c:extLst>
              </c15:ser>
            </c15:filteredBarSeries>
          </c:ext>
        </c:extLst>
      </c:bar3DChart>
      <c:catAx>
        <c:axId val="1758037999"/>
        <c:scaling>
          <c:orientation val="minMax"/>
        </c:scaling>
        <c:delete val="1"/>
        <c:axPos val="l"/>
        <c:numFmt formatCode="General" sourceLinked="1"/>
        <c:majorTickMark val="none"/>
        <c:minorTickMark val="none"/>
        <c:tickLblPos val="nextTo"/>
        <c:crossAx val="1758030799"/>
        <c:crosses val="autoZero"/>
        <c:auto val="1"/>
        <c:lblAlgn val="ctr"/>
        <c:lblOffset val="100"/>
        <c:noMultiLvlLbl val="0"/>
      </c:catAx>
      <c:valAx>
        <c:axId val="1758030799"/>
        <c:scaling>
          <c:orientation val="minMax"/>
        </c:scaling>
        <c:delete val="1"/>
        <c:axPos val="b"/>
        <c:numFmt formatCode="General" sourceLinked="1"/>
        <c:majorTickMark val="none"/>
        <c:minorTickMark val="none"/>
        <c:tickLblPos val="nextTo"/>
        <c:crossAx val="175803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47625</xdr:colOff>
      <xdr:row>18</xdr:row>
      <xdr:rowOff>166688</xdr:rowOff>
    </xdr:from>
    <xdr:to>
      <xdr:col>2</xdr:col>
      <xdr:colOff>1000124</xdr:colOff>
      <xdr:row>27</xdr:row>
      <xdr:rowOff>103583</xdr:rowOff>
    </xdr:to>
    <xdr:graphicFrame macro="">
      <xdr:nvGraphicFramePr>
        <xdr:cNvPr id="2" name="Chart 1">
          <a:extLst>
            <a:ext uri="{FF2B5EF4-FFF2-40B4-BE49-F238E27FC236}">
              <a16:creationId xmlns:a16="http://schemas.microsoft.com/office/drawing/2014/main" id="{CDD63296-D477-2C30-E163-F06E9B801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440531</xdr:colOff>
      <xdr:row>21</xdr:row>
      <xdr:rowOff>95248</xdr:rowOff>
    </xdr:from>
    <xdr:to>
      <xdr:col>12</xdr:col>
      <xdr:colOff>35720</xdr:colOff>
      <xdr:row>28</xdr:row>
      <xdr:rowOff>163113</xdr:rowOff>
    </xdr:to>
    <xdr:graphicFrame macro="">
      <xdr:nvGraphicFramePr>
        <xdr:cNvPr id="3" name="Chart 2">
          <a:extLst>
            <a:ext uri="{FF2B5EF4-FFF2-40B4-BE49-F238E27FC236}">
              <a16:creationId xmlns:a16="http://schemas.microsoft.com/office/drawing/2014/main" id="{E73AB853-09E3-0C86-8E9D-B3E13AB08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71437</xdr:colOff>
      <xdr:row>16</xdr:row>
      <xdr:rowOff>23815</xdr:rowOff>
    </xdr:from>
    <xdr:to>
      <xdr:col>21</xdr:col>
      <xdr:colOff>244077</xdr:colOff>
      <xdr:row>29</xdr:row>
      <xdr:rowOff>20242</xdr:rowOff>
    </xdr:to>
    <xdr:graphicFrame macro="">
      <xdr:nvGraphicFramePr>
        <xdr:cNvPr id="4" name="Chart 3">
          <a:extLst>
            <a:ext uri="{FF2B5EF4-FFF2-40B4-BE49-F238E27FC236}">
              <a16:creationId xmlns:a16="http://schemas.microsoft.com/office/drawing/2014/main" id="{8F5DD637-EF0C-EA04-E4B8-3AAF140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119062</xdr:colOff>
      <xdr:row>2</xdr:row>
      <xdr:rowOff>51196</xdr:rowOff>
    </xdr:from>
    <xdr:to>
      <xdr:col>22</xdr:col>
      <xdr:colOff>119062</xdr:colOff>
      <xdr:row>16</xdr:row>
      <xdr:rowOff>127396</xdr:rowOff>
    </xdr:to>
    <xdr:graphicFrame macro="">
      <xdr:nvGraphicFramePr>
        <xdr:cNvPr id="7" name="Chart 6">
          <a:extLst>
            <a:ext uri="{FF2B5EF4-FFF2-40B4-BE49-F238E27FC236}">
              <a16:creationId xmlns:a16="http://schemas.microsoft.com/office/drawing/2014/main" id="{117008EF-F114-4232-8A45-DE64110C2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744855</xdr:colOff>
      <xdr:row>32</xdr:row>
      <xdr:rowOff>142875</xdr:rowOff>
    </xdr:from>
    <xdr:to>
      <xdr:col>11</xdr:col>
      <xdr:colOff>1363980</xdr:colOff>
      <xdr:row>46</xdr:row>
      <xdr:rowOff>114300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68F9AB07-A55D-C156-53F7-5520FFAEDFC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98155" y="607695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19050</xdr:colOff>
      <xdr:row>32</xdr:row>
      <xdr:rowOff>157163</xdr:rowOff>
    </xdr:from>
    <xdr:to>
      <xdr:col>25</xdr:col>
      <xdr:colOff>123825</xdr:colOff>
      <xdr:row>47</xdr:row>
      <xdr:rowOff>109538</xdr:rowOff>
    </xdr:to>
    <xdr:graphicFrame macro="">
      <xdr:nvGraphicFramePr>
        <xdr:cNvPr id="6" name="Chart 5">
          <a:extLst>
            <a:ext uri="{FF2B5EF4-FFF2-40B4-BE49-F238E27FC236}">
              <a16:creationId xmlns:a16="http://schemas.microsoft.com/office/drawing/2014/main" id="{39026197-840E-DE7B-57DF-B65FCE8EE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440055</xdr:colOff>
      <xdr:row>49</xdr:row>
      <xdr:rowOff>45720</xdr:rowOff>
    </xdr:from>
    <xdr:to>
      <xdr:col>19</xdr:col>
      <xdr:colOff>97155</xdr:colOff>
      <xdr:row>63</xdr:row>
      <xdr:rowOff>7620</xdr:rowOff>
    </xdr:to>
    <mc:AlternateContent xmlns:mc="http://schemas.openxmlformats.org/markup-compatibility/2006" xmlns:a14="http://schemas.microsoft.com/office/drawing/2010/main">
      <mc:Choice Requires="a14">
        <xdr:graphicFrame macro="">
          <xdr:nvGraphicFramePr>
            <xdr:cNvPr id="8" name="Assigned To">
              <a:extLst>
                <a:ext uri="{FF2B5EF4-FFF2-40B4-BE49-F238E27FC236}">
                  <a16:creationId xmlns:a16="http://schemas.microsoft.com/office/drawing/2014/main" id="{A68F2192-0FEA-E6DC-4AB2-464814DA594B}"/>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13308330" y="9151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72</xdr:row>
      <xdr:rowOff>95250</xdr:rowOff>
    </xdr:from>
    <xdr:to>
      <xdr:col>5</xdr:col>
      <xdr:colOff>838200</xdr:colOff>
      <xdr:row>87</xdr:row>
      <xdr:rowOff>104775</xdr:rowOff>
    </xdr:to>
    <xdr:graphicFrame macro="">
      <xdr:nvGraphicFramePr>
        <xdr:cNvPr id="9" name="Chart 8">
          <a:extLst>
            <a:ext uri="{FF2B5EF4-FFF2-40B4-BE49-F238E27FC236}">
              <a16:creationId xmlns:a16="http://schemas.microsoft.com/office/drawing/2014/main" id="{2EC0D7BB-94E7-BD61-0E3E-BF7E6AE67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104775</xdr:colOff>
      <xdr:row>87</xdr:row>
      <xdr:rowOff>166688</xdr:rowOff>
    </xdr:from>
    <xdr:to>
      <xdr:col>5</xdr:col>
      <xdr:colOff>942975</xdr:colOff>
      <xdr:row>102</xdr:row>
      <xdr:rowOff>166688</xdr:rowOff>
    </xdr:to>
    <xdr:graphicFrame macro="">
      <xdr:nvGraphicFramePr>
        <xdr:cNvPr id="10" name="Chart 9">
          <a:extLst>
            <a:ext uri="{FF2B5EF4-FFF2-40B4-BE49-F238E27FC236}">
              <a16:creationId xmlns:a16="http://schemas.microsoft.com/office/drawing/2014/main" id="{0BAB1B1E-D83F-F2C7-562E-464E12866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95248</xdr:rowOff>
    </xdr:from>
    <xdr:to>
      <xdr:col>29</xdr:col>
      <xdr:colOff>85725</xdr:colOff>
      <xdr:row>45</xdr:row>
      <xdr:rowOff>57149</xdr:rowOff>
    </xdr:to>
    <xdr:sp macro="" textlink="">
      <xdr:nvSpPr>
        <xdr:cNvPr id="2" name="Rectangle: Rounded Corners 1">
          <a:extLst>
            <a:ext uri="{FF2B5EF4-FFF2-40B4-BE49-F238E27FC236}">
              <a16:creationId xmlns:a16="http://schemas.microsoft.com/office/drawing/2014/main" id="{C16AF059-BEDD-AE17-2C58-7FCB4F23B1A1}"/>
            </a:ext>
          </a:extLst>
        </xdr:cNvPr>
        <xdr:cNvSpPr/>
      </xdr:nvSpPr>
      <xdr:spPr>
        <a:xfrm>
          <a:off x="85725" y="95248"/>
          <a:ext cx="17678400" cy="8534401"/>
        </a:xfrm>
        <a:prstGeom prst="roundRect">
          <a:avLst>
            <a:gd name="adj" fmla="val 3629"/>
          </a:avLst>
        </a:prstGeom>
        <a:solidFill>
          <a:schemeClr val="bg1">
            <a:lumMod val="95000"/>
          </a:schemeClr>
        </a:solidFill>
        <a:ln>
          <a:no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123826</xdr:colOff>
      <xdr:row>1</xdr:row>
      <xdr:rowOff>57150</xdr:rowOff>
    </xdr:from>
    <xdr:to>
      <xdr:col>29</xdr:col>
      <xdr:colOff>38100</xdr:colOff>
      <xdr:row>4</xdr:row>
      <xdr:rowOff>171450</xdr:rowOff>
    </xdr:to>
    <xdr:sp macro="" textlink="">
      <xdr:nvSpPr>
        <xdr:cNvPr id="3" name="Rectangle: Rounded Corners 2">
          <a:extLst>
            <a:ext uri="{FF2B5EF4-FFF2-40B4-BE49-F238E27FC236}">
              <a16:creationId xmlns:a16="http://schemas.microsoft.com/office/drawing/2014/main" id="{7E74F60F-FD22-E0DA-7C17-A3A32FD9D317}"/>
            </a:ext>
          </a:extLst>
        </xdr:cNvPr>
        <xdr:cNvSpPr/>
      </xdr:nvSpPr>
      <xdr:spPr>
        <a:xfrm>
          <a:off x="123826" y="240030"/>
          <a:ext cx="17592674" cy="662940"/>
        </a:xfrm>
        <a:prstGeom prst="roundRect">
          <a:avLst/>
        </a:prstGeom>
        <a:solidFill>
          <a:srgbClr val="478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5</xdr:row>
      <xdr:rowOff>28575</xdr:rowOff>
    </xdr:from>
    <xdr:to>
      <xdr:col>11</xdr:col>
      <xdr:colOff>285750</xdr:colOff>
      <xdr:row>24</xdr:row>
      <xdr:rowOff>117075</xdr:rowOff>
    </xdr:to>
    <xdr:sp macro="" textlink="">
      <xdr:nvSpPr>
        <xdr:cNvPr id="4" name="Rectangle: Rounded Corners 3">
          <a:extLst>
            <a:ext uri="{FF2B5EF4-FFF2-40B4-BE49-F238E27FC236}">
              <a16:creationId xmlns:a16="http://schemas.microsoft.com/office/drawing/2014/main" id="{183482A2-963A-4676-B195-E01D19BB2CCF}"/>
            </a:ext>
          </a:extLst>
        </xdr:cNvPr>
        <xdr:cNvSpPr/>
      </xdr:nvSpPr>
      <xdr:spPr>
        <a:xfrm>
          <a:off x="114301" y="942975"/>
          <a:ext cx="6877049" cy="3563220"/>
        </a:xfrm>
        <a:prstGeom prst="roundRect">
          <a:avLst>
            <a:gd name="adj" fmla="val 5607"/>
          </a:avLst>
        </a:prstGeom>
        <a:solidFill>
          <a:srgbClr val="8DCE7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381001</xdr:colOff>
      <xdr:row>5</xdr:row>
      <xdr:rowOff>28575</xdr:rowOff>
    </xdr:from>
    <xdr:to>
      <xdr:col>22</xdr:col>
      <xdr:colOff>552450</xdr:colOff>
      <xdr:row>24</xdr:row>
      <xdr:rowOff>117075</xdr:rowOff>
    </xdr:to>
    <xdr:sp macro="" textlink="">
      <xdr:nvSpPr>
        <xdr:cNvPr id="6" name="Rectangle: Rounded Corners 5">
          <a:extLst>
            <a:ext uri="{FF2B5EF4-FFF2-40B4-BE49-F238E27FC236}">
              <a16:creationId xmlns:a16="http://schemas.microsoft.com/office/drawing/2014/main" id="{1FD209AE-5D29-4539-9BE1-C0C6B3994079}"/>
            </a:ext>
          </a:extLst>
        </xdr:cNvPr>
        <xdr:cNvSpPr/>
      </xdr:nvSpPr>
      <xdr:spPr>
        <a:xfrm>
          <a:off x="7086601" y="942975"/>
          <a:ext cx="6877049" cy="3563220"/>
        </a:xfrm>
        <a:prstGeom prst="roundRect">
          <a:avLst>
            <a:gd name="adj" fmla="val 5607"/>
          </a:avLst>
        </a:prstGeom>
        <a:solidFill>
          <a:srgbClr val="8DCE7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38100</xdr:colOff>
      <xdr:row>5</xdr:row>
      <xdr:rowOff>28575</xdr:rowOff>
    </xdr:from>
    <xdr:to>
      <xdr:col>28</xdr:col>
      <xdr:colOff>590550</xdr:colOff>
      <xdr:row>44</xdr:row>
      <xdr:rowOff>104775</xdr:rowOff>
    </xdr:to>
    <xdr:sp macro="" textlink="">
      <xdr:nvSpPr>
        <xdr:cNvPr id="7" name="Rectangle: Rounded Corners 6">
          <a:extLst>
            <a:ext uri="{FF2B5EF4-FFF2-40B4-BE49-F238E27FC236}">
              <a16:creationId xmlns:a16="http://schemas.microsoft.com/office/drawing/2014/main" id="{C6A240BD-9B97-435D-A10A-7E10F2EBC3BE}"/>
            </a:ext>
          </a:extLst>
        </xdr:cNvPr>
        <xdr:cNvSpPr/>
      </xdr:nvSpPr>
      <xdr:spPr>
        <a:xfrm>
          <a:off x="14058900" y="981075"/>
          <a:ext cx="3600450" cy="7505700"/>
        </a:xfrm>
        <a:prstGeom prst="roundRect">
          <a:avLst>
            <a:gd name="adj" fmla="val 5607"/>
          </a:avLst>
        </a:prstGeom>
        <a:solidFill>
          <a:srgbClr val="8DCE7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152401</xdr:colOff>
      <xdr:row>25</xdr:row>
      <xdr:rowOff>19050</xdr:rowOff>
    </xdr:from>
    <xdr:to>
      <xdr:col>9</xdr:col>
      <xdr:colOff>95250</xdr:colOff>
      <xdr:row>44</xdr:row>
      <xdr:rowOff>107550</xdr:rowOff>
    </xdr:to>
    <xdr:sp macro="" textlink="">
      <xdr:nvSpPr>
        <xdr:cNvPr id="11" name="Rectangle: Rounded Corners 10">
          <a:extLst>
            <a:ext uri="{FF2B5EF4-FFF2-40B4-BE49-F238E27FC236}">
              <a16:creationId xmlns:a16="http://schemas.microsoft.com/office/drawing/2014/main" id="{EF7E96F4-D468-4E6B-8B54-2D5EC29634A4}"/>
            </a:ext>
          </a:extLst>
        </xdr:cNvPr>
        <xdr:cNvSpPr/>
      </xdr:nvSpPr>
      <xdr:spPr>
        <a:xfrm>
          <a:off x="152401" y="4591050"/>
          <a:ext cx="5429249" cy="3563220"/>
        </a:xfrm>
        <a:prstGeom prst="roundRect">
          <a:avLst>
            <a:gd name="adj" fmla="val 5607"/>
          </a:avLst>
        </a:prstGeom>
        <a:solidFill>
          <a:srgbClr val="8DCE7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161925</xdr:colOff>
      <xdr:row>25</xdr:row>
      <xdr:rowOff>19050</xdr:rowOff>
    </xdr:from>
    <xdr:to>
      <xdr:col>18</xdr:col>
      <xdr:colOff>104774</xdr:colOff>
      <xdr:row>44</xdr:row>
      <xdr:rowOff>107550</xdr:rowOff>
    </xdr:to>
    <xdr:sp macro="" textlink="">
      <xdr:nvSpPr>
        <xdr:cNvPr id="12" name="Rectangle: Rounded Corners 11">
          <a:extLst>
            <a:ext uri="{FF2B5EF4-FFF2-40B4-BE49-F238E27FC236}">
              <a16:creationId xmlns:a16="http://schemas.microsoft.com/office/drawing/2014/main" id="{FC5FD904-5E9A-4C6A-932B-060FC7A79378}"/>
            </a:ext>
          </a:extLst>
        </xdr:cNvPr>
        <xdr:cNvSpPr/>
      </xdr:nvSpPr>
      <xdr:spPr>
        <a:xfrm>
          <a:off x="5648325" y="4591050"/>
          <a:ext cx="5429249" cy="3563220"/>
        </a:xfrm>
        <a:prstGeom prst="roundRect">
          <a:avLst>
            <a:gd name="adj" fmla="val 5607"/>
          </a:avLst>
        </a:prstGeom>
        <a:solidFill>
          <a:srgbClr val="8DCE7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171450</xdr:colOff>
      <xdr:row>25</xdr:row>
      <xdr:rowOff>19050</xdr:rowOff>
    </xdr:from>
    <xdr:to>
      <xdr:col>22</xdr:col>
      <xdr:colOff>561975</xdr:colOff>
      <xdr:row>44</xdr:row>
      <xdr:rowOff>107550</xdr:rowOff>
    </xdr:to>
    <xdr:sp macro="" textlink="">
      <xdr:nvSpPr>
        <xdr:cNvPr id="13" name="Rectangle: Rounded Corners 12">
          <a:extLst>
            <a:ext uri="{FF2B5EF4-FFF2-40B4-BE49-F238E27FC236}">
              <a16:creationId xmlns:a16="http://schemas.microsoft.com/office/drawing/2014/main" id="{7799B2C8-7CB0-4A68-8B05-7BD4913A126C}"/>
            </a:ext>
          </a:extLst>
        </xdr:cNvPr>
        <xdr:cNvSpPr/>
      </xdr:nvSpPr>
      <xdr:spPr>
        <a:xfrm>
          <a:off x="11144250" y="4781550"/>
          <a:ext cx="2828925" cy="3708000"/>
        </a:xfrm>
        <a:prstGeom prst="roundRect">
          <a:avLst>
            <a:gd name="adj" fmla="val 5607"/>
          </a:avLst>
        </a:prstGeom>
        <a:solidFill>
          <a:srgbClr val="8DCE7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438150</xdr:colOff>
      <xdr:row>0</xdr:row>
      <xdr:rowOff>180975</xdr:rowOff>
    </xdr:from>
    <xdr:to>
      <xdr:col>2</xdr:col>
      <xdr:colOff>133350</xdr:colOff>
      <xdr:row>5</xdr:row>
      <xdr:rowOff>47625</xdr:rowOff>
    </xdr:to>
    <xdr:pic>
      <xdr:nvPicPr>
        <xdr:cNvPr id="19" name="Graphic 18" descr="Bar chart with solid fill">
          <a:extLst>
            <a:ext uri="{FF2B5EF4-FFF2-40B4-BE49-F238E27FC236}">
              <a16:creationId xmlns:a16="http://schemas.microsoft.com/office/drawing/2014/main" id="{61AD7EB2-420E-F17D-0100-C0988A6540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8150" y="180975"/>
          <a:ext cx="914400" cy="819150"/>
        </a:xfrm>
        <a:prstGeom prst="rect">
          <a:avLst/>
        </a:prstGeom>
      </xdr:spPr>
    </xdr:pic>
    <xdr:clientData/>
  </xdr:twoCellAnchor>
  <xdr:twoCellAnchor>
    <xdr:from>
      <xdr:col>4</xdr:col>
      <xdr:colOff>552451</xdr:colOff>
      <xdr:row>1</xdr:row>
      <xdr:rowOff>57150</xdr:rowOff>
    </xdr:from>
    <xdr:to>
      <xdr:col>24</xdr:col>
      <xdr:colOff>219076</xdr:colOff>
      <xdr:row>4</xdr:row>
      <xdr:rowOff>152400</xdr:rowOff>
    </xdr:to>
    <xdr:sp macro="" textlink="">
      <xdr:nvSpPr>
        <xdr:cNvPr id="20" name="TextBox 19">
          <a:extLst>
            <a:ext uri="{FF2B5EF4-FFF2-40B4-BE49-F238E27FC236}">
              <a16:creationId xmlns:a16="http://schemas.microsoft.com/office/drawing/2014/main" id="{8FA81DB7-EA46-71BE-9222-1BD6DA9ED945}"/>
            </a:ext>
          </a:extLst>
        </xdr:cNvPr>
        <xdr:cNvSpPr txBox="1"/>
      </xdr:nvSpPr>
      <xdr:spPr>
        <a:xfrm>
          <a:off x="2990851" y="240030"/>
          <a:ext cx="11858625" cy="643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latin typeface="Segoe UI Black" panose="020B0A02040204020203" pitchFamily="34" charset="0"/>
              <a:ea typeface="Segoe UI Black" panose="020B0A02040204020203" pitchFamily="34" charset="0"/>
            </a:rPr>
            <a:t>SLA KEY-METRICS PERFORMANCE DASHBOARD</a:t>
          </a:r>
        </a:p>
        <a:p>
          <a:pPr algn="ctr"/>
          <a:endParaRPr lang="en-US" sz="3200">
            <a:latin typeface="Segoe UI Black" panose="020B0A02040204020203" pitchFamily="34" charset="0"/>
            <a:ea typeface="Segoe UI Black" panose="020B0A02040204020203" pitchFamily="34" charset="0"/>
          </a:endParaRPr>
        </a:p>
      </xdr:txBody>
    </xdr:sp>
    <xdr:clientData/>
  </xdr:twoCellAnchor>
  <xdr:twoCellAnchor editAs="oneCell">
    <xdr:from>
      <xdr:col>26</xdr:col>
      <xdr:colOff>590550</xdr:colOff>
      <xdr:row>1</xdr:row>
      <xdr:rowOff>76200</xdr:rowOff>
    </xdr:from>
    <xdr:to>
      <xdr:col>28</xdr:col>
      <xdr:colOff>285750</xdr:colOff>
      <xdr:row>4</xdr:row>
      <xdr:rowOff>152400</xdr:rowOff>
    </xdr:to>
    <xdr:pic>
      <xdr:nvPicPr>
        <xdr:cNvPr id="24" name="Graphic 23" descr="Bullseye with solid fill">
          <a:extLst>
            <a:ext uri="{FF2B5EF4-FFF2-40B4-BE49-F238E27FC236}">
              <a16:creationId xmlns:a16="http://schemas.microsoft.com/office/drawing/2014/main" id="{742D7627-95AE-2F62-49BF-E8E4BC639B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440150" y="266700"/>
          <a:ext cx="914400" cy="647700"/>
        </a:xfrm>
        <a:prstGeom prst="rect">
          <a:avLst/>
        </a:prstGeom>
      </xdr:spPr>
    </xdr:pic>
    <xdr:clientData/>
  </xdr:twoCellAnchor>
  <xdr:twoCellAnchor>
    <xdr:from>
      <xdr:col>0</xdr:col>
      <xdr:colOff>0</xdr:colOff>
      <xdr:row>8</xdr:row>
      <xdr:rowOff>9524</xdr:rowOff>
    </xdr:from>
    <xdr:to>
      <xdr:col>6</xdr:col>
      <xdr:colOff>28575</xdr:colOff>
      <xdr:row>24</xdr:row>
      <xdr:rowOff>95249</xdr:rowOff>
    </xdr:to>
    <xdr:graphicFrame macro="">
      <xdr:nvGraphicFramePr>
        <xdr:cNvPr id="25" name="Chart 24">
          <a:extLst>
            <a:ext uri="{FF2B5EF4-FFF2-40B4-BE49-F238E27FC236}">
              <a16:creationId xmlns:a16="http://schemas.microsoft.com/office/drawing/2014/main" id="{626ABBC3-891A-4613-AE77-D71F95D42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xdr:row>
      <xdr:rowOff>152400</xdr:rowOff>
    </xdr:from>
    <xdr:to>
      <xdr:col>6</xdr:col>
      <xdr:colOff>57149</xdr:colOff>
      <xdr:row>24</xdr:row>
      <xdr:rowOff>66675</xdr:rowOff>
    </xdr:to>
    <xdr:graphicFrame macro="">
      <xdr:nvGraphicFramePr>
        <xdr:cNvPr id="26" name="Chart 25">
          <a:extLst>
            <a:ext uri="{FF2B5EF4-FFF2-40B4-BE49-F238E27FC236}">
              <a16:creationId xmlns:a16="http://schemas.microsoft.com/office/drawing/2014/main" id="{7BACF6A3-D772-4D02-ADC1-4AB4DDBA3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238125</xdr:colOff>
      <xdr:row>4</xdr:row>
      <xdr:rowOff>162401</xdr:rowOff>
    </xdr:from>
    <xdr:to>
      <xdr:col>10</xdr:col>
      <xdr:colOff>161925</xdr:colOff>
      <xdr:row>7</xdr:row>
      <xdr:rowOff>21431</xdr:rowOff>
    </xdr:to>
    <xdr:sp macro="" textlink="">
      <xdr:nvSpPr>
        <xdr:cNvPr id="5" name="TextBox 4">
          <a:extLst>
            <a:ext uri="{FF2B5EF4-FFF2-40B4-BE49-F238E27FC236}">
              <a16:creationId xmlns:a16="http://schemas.microsoft.com/office/drawing/2014/main" id="{D57A8D96-901C-528C-454E-13549AE08312}"/>
            </a:ext>
          </a:extLst>
        </xdr:cNvPr>
        <xdr:cNvSpPr txBox="1"/>
      </xdr:nvSpPr>
      <xdr:spPr>
        <a:xfrm>
          <a:off x="847725" y="893921"/>
          <a:ext cx="5410200"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Segoe UI Semibold" panose="020B0702040204020203" pitchFamily="34" charset="0"/>
              <a:cs typeface="Segoe UI Semibold" panose="020B0702040204020203" pitchFamily="34" charset="0"/>
            </a:rPr>
            <a:t>SLA Percentage</a:t>
          </a:r>
          <a:r>
            <a:rPr lang="en-US" sz="2000" baseline="0">
              <a:latin typeface="Segoe UI Semibold" panose="020B0702040204020203" pitchFamily="34" charset="0"/>
              <a:cs typeface="Segoe UI Semibold" panose="020B0702040204020203" pitchFamily="34" charset="0"/>
            </a:rPr>
            <a:t> &amp; Impact Count</a:t>
          </a:r>
          <a:endParaRPr lang="en-US" sz="2000">
            <a:latin typeface="Segoe UI Semibold" panose="020B0702040204020203" pitchFamily="34" charset="0"/>
            <a:cs typeface="Segoe UI Semibold" panose="020B0702040204020203" pitchFamily="34" charset="0"/>
          </a:endParaRPr>
        </a:p>
      </xdr:txBody>
    </xdr:sp>
    <xdr:clientData/>
  </xdr:twoCellAnchor>
  <xdr:twoCellAnchor>
    <xdr:from>
      <xdr:col>0</xdr:col>
      <xdr:colOff>57150</xdr:colOff>
      <xdr:row>19</xdr:row>
      <xdr:rowOff>100012</xdr:rowOff>
    </xdr:from>
    <xdr:to>
      <xdr:col>5</xdr:col>
      <xdr:colOff>104775</xdr:colOff>
      <xdr:row>22</xdr:row>
      <xdr:rowOff>19050</xdr:rowOff>
    </xdr:to>
    <xdr:sp macro="" textlink="">
      <xdr:nvSpPr>
        <xdr:cNvPr id="8" name="TextBox 7">
          <a:extLst>
            <a:ext uri="{FF2B5EF4-FFF2-40B4-BE49-F238E27FC236}">
              <a16:creationId xmlns:a16="http://schemas.microsoft.com/office/drawing/2014/main" id="{7378BE37-9AA3-404F-A830-AE85738D6714}"/>
            </a:ext>
          </a:extLst>
        </xdr:cNvPr>
        <xdr:cNvSpPr txBox="1"/>
      </xdr:nvSpPr>
      <xdr:spPr>
        <a:xfrm>
          <a:off x="57150" y="3719512"/>
          <a:ext cx="3095625" cy="49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Segoe UI Semibold" panose="020B0702040204020203" pitchFamily="34" charset="0"/>
              <a:cs typeface="Segoe UI Semibold" panose="020B0702040204020203" pitchFamily="34" charset="0"/>
            </a:rPr>
            <a:t>SLA Performance</a:t>
          </a:r>
        </a:p>
      </xdr:txBody>
    </xdr:sp>
    <xdr:clientData/>
  </xdr:twoCellAnchor>
  <xdr:twoCellAnchor>
    <xdr:from>
      <xdr:col>2</xdr:col>
      <xdr:colOff>95250</xdr:colOff>
      <xdr:row>16</xdr:row>
      <xdr:rowOff>33337</xdr:rowOff>
    </xdr:from>
    <xdr:to>
      <xdr:col>3</xdr:col>
      <xdr:colOff>552450</xdr:colOff>
      <xdr:row>18</xdr:row>
      <xdr:rowOff>142875</xdr:rowOff>
    </xdr:to>
    <xdr:sp macro="" textlink="'Pivot Table'!F26">
      <xdr:nvSpPr>
        <xdr:cNvPr id="9" name="TextBox 8">
          <a:extLst>
            <a:ext uri="{FF2B5EF4-FFF2-40B4-BE49-F238E27FC236}">
              <a16:creationId xmlns:a16="http://schemas.microsoft.com/office/drawing/2014/main" id="{FCA87D2A-7B60-44F2-9A15-EA7DB0F7CA42}"/>
            </a:ext>
          </a:extLst>
        </xdr:cNvPr>
        <xdr:cNvSpPr txBox="1"/>
      </xdr:nvSpPr>
      <xdr:spPr>
        <a:xfrm>
          <a:off x="1314450" y="3081337"/>
          <a:ext cx="1066800" cy="49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199772-AB59-4AF4-8996-C079E58E5C84}" type="TxLink">
            <a:rPr lang="en-US" sz="20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94%</a:t>
          </a:fld>
          <a:endParaRPr lang="en-US" sz="20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95250</xdr:colOff>
      <xdr:row>8</xdr:row>
      <xdr:rowOff>95250</xdr:rowOff>
    </xdr:from>
    <xdr:to>
      <xdr:col>11</xdr:col>
      <xdr:colOff>219075</xdr:colOff>
      <xdr:row>22</xdr:row>
      <xdr:rowOff>9525</xdr:rowOff>
    </xdr:to>
    <xdr:graphicFrame macro="">
      <xdr:nvGraphicFramePr>
        <xdr:cNvPr id="10" name="Chart 9">
          <a:extLst>
            <a:ext uri="{FF2B5EF4-FFF2-40B4-BE49-F238E27FC236}">
              <a16:creationId xmlns:a16="http://schemas.microsoft.com/office/drawing/2014/main" id="{4A30707D-68F5-47D1-90BB-80100DD82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472440</xdr:colOff>
      <xdr:row>6</xdr:row>
      <xdr:rowOff>114299</xdr:rowOff>
    </xdr:from>
    <xdr:to>
      <xdr:col>22</xdr:col>
      <xdr:colOff>491490</xdr:colOff>
      <xdr:row>22</xdr:row>
      <xdr:rowOff>38100</xdr:rowOff>
    </xdr:to>
    <xdr:graphicFrame macro="">
      <xdr:nvGraphicFramePr>
        <xdr:cNvPr id="14" name="Chart 13">
          <a:extLst>
            <a:ext uri="{FF2B5EF4-FFF2-40B4-BE49-F238E27FC236}">
              <a16:creationId xmlns:a16="http://schemas.microsoft.com/office/drawing/2014/main" id="{EF06670F-DD57-473D-8B0C-A79AB2123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504825</xdr:colOff>
      <xdr:row>4</xdr:row>
      <xdr:rowOff>128587</xdr:rowOff>
    </xdr:from>
    <xdr:to>
      <xdr:col>21</xdr:col>
      <xdr:colOff>428625</xdr:colOff>
      <xdr:row>7</xdr:row>
      <xdr:rowOff>55245</xdr:rowOff>
    </xdr:to>
    <xdr:sp macro="" textlink="">
      <xdr:nvSpPr>
        <xdr:cNvPr id="15" name="TextBox 14">
          <a:extLst>
            <a:ext uri="{FF2B5EF4-FFF2-40B4-BE49-F238E27FC236}">
              <a16:creationId xmlns:a16="http://schemas.microsoft.com/office/drawing/2014/main" id="{0DDF815F-57AB-473B-8EEF-19F1973DD586}"/>
            </a:ext>
          </a:extLst>
        </xdr:cNvPr>
        <xdr:cNvSpPr txBox="1"/>
      </xdr:nvSpPr>
      <xdr:spPr>
        <a:xfrm>
          <a:off x="7820025" y="860107"/>
          <a:ext cx="5410200" cy="475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Segoe UI Semibold" panose="020B0702040204020203" pitchFamily="34" charset="0"/>
              <a:cs typeface="Segoe UI Semibold" panose="020B0702040204020203" pitchFamily="34" charset="0"/>
            </a:rPr>
            <a:t>SLA Percentage</a:t>
          </a:r>
          <a:r>
            <a:rPr lang="en-US" sz="2000" baseline="0">
              <a:latin typeface="Segoe UI Semibold" panose="020B0702040204020203" pitchFamily="34" charset="0"/>
              <a:cs typeface="Segoe UI Semibold" panose="020B0702040204020203" pitchFamily="34" charset="0"/>
            </a:rPr>
            <a:t> by monthly trend</a:t>
          </a:r>
          <a:endParaRPr lang="en-US" sz="2000">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495300</xdr:colOff>
      <xdr:row>22</xdr:row>
      <xdr:rowOff>1</xdr:rowOff>
    </xdr:from>
    <xdr:to>
      <xdr:col>21</xdr:col>
      <xdr:colOff>358140</xdr:colOff>
      <xdr:row>24</xdr:row>
      <xdr:rowOff>45720</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EB059A80-F7D5-495D-8AB0-46B91B3B7FD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810500" y="4023361"/>
              <a:ext cx="5349240" cy="411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26</xdr:row>
      <xdr:rowOff>114300</xdr:rowOff>
    </xdr:from>
    <xdr:to>
      <xdr:col>9</xdr:col>
      <xdr:colOff>38099</xdr:colOff>
      <xdr:row>41</xdr:row>
      <xdr:rowOff>175260</xdr:rowOff>
    </xdr:to>
    <xdr:graphicFrame macro="">
      <xdr:nvGraphicFramePr>
        <xdr:cNvPr id="17" name="Chart 16">
          <a:extLst>
            <a:ext uri="{FF2B5EF4-FFF2-40B4-BE49-F238E27FC236}">
              <a16:creationId xmlns:a16="http://schemas.microsoft.com/office/drawing/2014/main" id="{D74C46E4-71FE-4956-BFFA-E47D93D8D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350520</xdr:colOff>
      <xdr:row>41</xdr:row>
      <xdr:rowOff>129541</xdr:rowOff>
    </xdr:from>
    <xdr:to>
      <xdr:col>8</xdr:col>
      <xdr:colOff>556260</xdr:colOff>
      <xdr:row>44</xdr:row>
      <xdr:rowOff>53340</xdr:rowOff>
    </xdr:to>
    <mc:AlternateContent xmlns:mc="http://schemas.openxmlformats.org/markup-compatibility/2006" xmlns:a14="http://schemas.microsoft.com/office/drawing/2010/main">
      <mc:Choice Requires="a14">
        <xdr:graphicFrame macro="">
          <xdr:nvGraphicFramePr>
            <xdr:cNvPr id="21" name="Assigned To 1">
              <a:extLst>
                <a:ext uri="{FF2B5EF4-FFF2-40B4-BE49-F238E27FC236}">
                  <a16:creationId xmlns:a16="http://schemas.microsoft.com/office/drawing/2014/main" id="{9E41639B-8070-4BAF-B90F-6A2A98C64564}"/>
                </a:ext>
              </a:extLst>
            </xdr:cNvPr>
            <xdr:cNvGraphicFramePr/>
          </xdr:nvGraphicFramePr>
          <xdr:xfrm>
            <a:off x="0" y="0"/>
            <a:ext cx="0" cy="0"/>
          </xdr:xfrm>
          <a:graphic>
            <a:graphicData uri="http://schemas.microsoft.com/office/drawing/2010/slicer">
              <sle:slicer xmlns:sle="http://schemas.microsoft.com/office/drawing/2010/slicer" name="Assigned To 1"/>
            </a:graphicData>
          </a:graphic>
        </xdr:graphicFrame>
      </mc:Choice>
      <mc:Fallback xmlns="">
        <xdr:sp macro="" textlink="">
          <xdr:nvSpPr>
            <xdr:cNvPr id="0" name=""/>
            <xdr:cNvSpPr>
              <a:spLocks noTextEdit="1"/>
            </xdr:cNvSpPr>
          </xdr:nvSpPr>
          <xdr:spPr>
            <a:xfrm>
              <a:off x="350520" y="7627621"/>
              <a:ext cx="5082540" cy="472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17145</xdr:colOff>
      <xdr:row>24</xdr:row>
      <xdr:rowOff>136207</xdr:rowOff>
    </xdr:from>
    <xdr:to>
      <xdr:col>8</xdr:col>
      <xdr:colOff>230505</xdr:colOff>
      <xdr:row>27</xdr:row>
      <xdr:rowOff>55245</xdr:rowOff>
    </xdr:to>
    <xdr:sp macro="" textlink="">
      <xdr:nvSpPr>
        <xdr:cNvPr id="22" name="TextBox 21">
          <a:extLst>
            <a:ext uri="{FF2B5EF4-FFF2-40B4-BE49-F238E27FC236}">
              <a16:creationId xmlns:a16="http://schemas.microsoft.com/office/drawing/2014/main" id="{179758A9-B4B0-4448-BF2E-659C46AEA77F}"/>
            </a:ext>
          </a:extLst>
        </xdr:cNvPr>
        <xdr:cNvSpPr txBox="1"/>
      </xdr:nvSpPr>
      <xdr:spPr>
        <a:xfrm>
          <a:off x="626745" y="4525327"/>
          <a:ext cx="4480560" cy="46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Segoe UI Semibold" panose="020B0702040204020203" pitchFamily="34" charset="0"/>
              <a:cs typeface="Segoe UI Semibold" panose="020B0702040204020203" pitchFamily="34" charset="0"/>
            </a:rPr>
            <a:t>SLA Percentage</a:t>
          </a:r>
          <a:r>
            <a:rPr lang="en-US" sz="2000" baseline="0">
              <a:latin typeface="Segoe UI Semibold" panose="020B0702040204020203" pitchFamily="34" charset="0"/>
              <a:cs typeface="Segoe UI Semibold" panose="020B0702040204020203" pitchFamily="34" charset="0"/>
            </a:rPr>
            <a:t> by Assigned Person</a:t>
          </a:r>
          <a:endParaRPr lang="en-US" sz="2000">
            <a:latin typeface="Segoe UI Semibold" panose="020B0702040204020203" pitchFamily="34" charset="0"/>
            <a:cs typeface="Segoe UI Semibold" panose="020B0702040204020203" pitchFamily="34" charset="0"/>
          </a:endParaRPr>
        </a:p>
      </xdr:txBody>
    </xdr:sp>
    <xdr:clientData/>
  </xdr:twoCellAnchor>
  <xdr:twoCellAnchor>
    <xdr:from>
      <xdr:col>13</xdr:col>
      <xdr:colOff>99060</xdr:colOff>
      <xdr:row>27</xdr:row>
      <xdr:rowOff>137160</xdr:rowOff>
    </xdr:from>
    <xdr:to>
      <xdr:col>18</xdr:col>
      <xdr:colOff>76200</xdr:colOff>
      <xdr:row>44</xdr:row>
      <xdr:rowOff>121920</xdr:rowOff>
    </xdr:to>
    <xdr:graphicFrame macro="">
      <xdr:nvGraphicFramePr>
        <xdr:cNvPr id="18" name="Chart 17">
          <a:extLst>
            <a:ext uri="{FF2B5EF4-FFF2-40B4-BE49-F238E27FC236}">
              <a16:creationId xmlns:a16="http://schemas.microsoft.com/office/drawing/2014/main" id="{E29F70A5-5669-4C31-A845-1DC89D32E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68580</xdr:colOff>
      <xdr:row>29</xdr:row>
      <xdr:rowOff>83820</xdr:rowOff>
    </xdr:from>
    <xdr:to>
      <xdr:col>14</xdr:col>
      <xdr:colOff>91440</xdr:colOff>
      <xdr:row>43</xdr:row>
      <xdr:rowOff>167640</xdr:rowOff>
    </xdr:to>
    <xdr:graphicFrame macro="">
      <xdr:nvGraphicFramePr>
        <xdr:cNvPr id="23" name="Chart 22">
          <a:extLst>
            <a:ext uri="{FF2B5EF4-FFF2-40B4-BE49-F238E27FC236}">
              <a16:creationId xmlns:a16="http://schemas.microsoft.com/office/drawing/2014/main" id="{68FB3994-CEDA-4908-90E9-48C307BE9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403859</xdr:colOff>
      <xdr:row>24</xdr:row>
      <xdr:rowOff>171926</xdr:rowOff>
    </xdr:from>
    <xdr:to>
      <xdr:col>16</xdr:col>
      <xdr:colOff>472439</xdr:colOff>
      <xdr:row>27</xdr:row>
      <xdr:rowOff>19526</xdr:rowOff>
    </xdr:to>
    <xdr:sp macro="" textlink="">
      <xdr:nvSpPr>
        <xdr:cNvPr id="27" name="TextBox 26">
          <a:extLst>
            <a:ext uri="{FF2B5EF4-FFF2-40B4-BE49-F238E27FC236}">
              <a16:creationId xmlns:a16="http://schemas.microsoft.com/office/drawing/2014/main" id="{0CF29413-9B6C-8866-4E28-244B404E2B6B}"/>
            </a:ext>
          </a:extLst>
        </xdr:cNvPr>
        <xdr:cNvSpPr txBox="1"/>
      </xdr:nvSpPr>
      <xdr:spPr>
        <a:xfrm>
          <a:off x="6499859" y="4561046"/>
          <a:ext cx="37261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atin typeface="Segoe UI Semibold" panose="020B0702040204020203" pitchFamily="34" charset="0"/>
              <a:ea typeface="Segoe UI Black" panose="020B0A02040204020203" pitchFamily="34" charset="0"/>
              <a:cs typeface="Segoe UI Semibold" panose="020B0702040204020203" pitchFamily="34" charset="0"/>
            </a:rPr>
            <a:t>SLA Impact by Priority Level</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edkarna.sharepoint.com/sites/Vedakarna-GBS/Shared%20Documents/YouTube/2_4_Video/1_Project_Progress/1_Backup/47_SLA%20Tracker%20with%20Dashboard/Final/1_Book1%20V10.xlsm" TargetMode="External"/><Relationship Id="rId1" Type="http://schemas.openxmlformats.org/officeDocument/2006/relationships/externalLinkPath" Target="https://vedkarna.sharepoint.com/sites/Vedakarna-GBS/Shared%20Documents/YouTube/2_4_Video/1_Project_Progress/1_Backup/47_SLA%20Tracker%20with%20Dashboard/Final/1_Book1%20V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ivot"/>
      <sheetName val="SLA Tracker"/>
      <sheetName val="1_Book1 V10"/>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ca" refreshedDate="46090.718316782404" createdVersion="8" refreshedVersion="8" minRefreshableVersion="3" recordCount="1126" xr:uid="{4DBF353A-BDE5-4834-BCA9-4BBEC0220CE4}">
  <cacheSource type="worksheet">
    <worksheetSource ref="A1:L1127" sheet="Dataset"/>
  </cacheSource>
  <cacheFields count="12">
    <cacheField name="Ticket ID" numFmtId="0">
      <sharedItems count="1126">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5"/>
        <s v="T126"/>
        <s v="T127"/>
        <s v="T128"/>
        <s v="T129"/>
        <s v="T130"/>
        <s v="T131"/>
        <s v="T132"/>
        <s v="T133"/>
        <s v="T134"/>
        <s v="T135"/>
        <s v="T136"/>
        <s v="T137"/>
        <s v="T138"/>
        <s v="T139"/>
        <s v="T140"/>
        <s v="T141"/>
        <s v="T142"/>
        <s v="T143"/>
        <s v="T144"/>
        <s v="T145"/>
        <s v="T146"/>
        <s v="T148"/>
        <s v="T149"/>
        <s v="T150"/>
        <s v="T151"/>
        <s v="T152"/>
        <s v="T153"/>
        <s v="T154"/>
        <s v="T155"/>
        <s v="T156"/>
        <s v="T157"/>
        <s v="T158"/>
        <s v="T159"/>
        <s v="T160"/>
        <s v="T161"/>
        <s v="T162"/>
        <s v="T163"/>
        <s v="T164"/>
        <s v="T165"/>
        <s v="T166"/>
        <s v="T167"/>
        <s v="T168"/>
        <s v="T169"/>
        <s v="T170"/>
        <s v="T171"/>
        <s v="T172"/>
        <s v="T173"/>
        <s v="T174"/>
        <s v="T175"/>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6"/>
        <s v="T227"/>
        <s v="T228"/>
        <s v="T230"/>
        <s v="T231"/>
        <s v="T232"/>
        <s v="T233"/>
        <s v="T234"/>
        <s v="T235"/>
        <s v="T236"/>
        <s v="T237"/>
        <s v="T238"/>
        <s v="T239"/>
        <s v="T240"/>
        <s v="T241"/>
        <s v="T242"/>
        <s v="T243"/>
        <s v="T244"/>
        <s v="T245"/>
        <s v="T246"/>
        <s v="T247"/>
        <s v="T248"/>
        <s v="T249"/>
        <s v="T250"/>
        <s v="T251"/>
        <s v="T252"/>
        <s v="T253"/>
        <s v="T254"/>
        <s v="T255"/>
        <s v="T256"/>
        <s v="T257"/>
        <s v="T258"/>
        <s v="T259"/>
        <s v="T260"/>
        <s v="T261"/>
        <s v="T262"/>
        <s v="T263"/>
        <s v="T264"/>
        <s v="T265"/>
        <s v="T266"/>
        <s v="T267"/>
        <s v="T268"/>
        <s v="T269"/>
        <s v="T270"/>
        <s v="T271"/>
        <s v="T272"/>
        <s v="T273"/>
        <s v="T274"/>
        <s v="T275"/>
        <s v="T276"/>
        <s v="T277"/>
        <s v="T278"/>
        <s v="T279"/>
        <s v="T280"/>
        <s v="T281"/>
        <s v="T282"/>
        <s v="T283"/>
        <s v="T284"/>
        <s v="T285"/>
        <s v="T286"/>
        <s v="T287"/>
        <s v="T288"/>
        <s v="T289"/>
        <s v="T290"/>
        <s v="T291"/>
        <s v="T292"/>
        <s v="T293"/>
        <s v="T294"/>
        <s v="T295"/>
        <s v="T296"/>
        <s v="T297"/>
        <s v="T298"/>
        <s v="T299"/>
        <s v="T300"/>
        <s v="T301"/>
        <s v="T302"/>
        <s v="T303"/>
        <s v="T304"/>
        <s v="T305"/>
        <s v="T306"/>
        <s v="T307"/>
        <s v="T308"/>
        <s v="T309"/>
        <s v="T310"/>
        <s v="T311"/>
        <s v="T312"/>
        <s v="T313"/>
        <s v="T314"/>
        <s v="T315"/>
        <s v="T316"/>
        <s v="T317"/>
        <s v="T318"/>
        <s v="T319"/>
        <s v="T320"/>
        <s v="T321"/>
        <s v="T322"/>
        <s v="T323"/>
        <s v="T325"/>
        <s v="T326"/>
        <s v="T327"/>
        <s v="T328"/>
        <s v="T329"/>
        <s v="T330"/>
        <s v="T331"/>
        <s v="T332"/>
        <s v="T333"/>
        <s v="T334"/>
        <s v="T335"/>
        <s v="T336"/>
        <s v="T337"/>
        <s v="T338"/>
        <s v="T339"/>
        <s v="T340"/>
        <s v="T341"/>
        <s v="T342"/>
        <s v="T343"/>
        <s v="T344"/>
        <s v="T345"/>
        <s v="T346"/>
        <s v="T347"/>
        <s v="T348"/>
        <s v="T349"/>
        <s v="T350"/>
        <s v="T351"/>
        <s v="T352"/>
        <s v="T353"/>
        <s v="T354"/>
        <s v="T355"/>
        <s v="T356"/>
        <s v="T357"/>
        <s v="T358"/>
        <s v="T359"/>
        <s v="T360"/>
        <s v="T361"/>
        <s v="T362"/>
        <s v="T363"/>
        <s v="T364"/>
        <s v="T365"/>
        <s v="T366"/>
        <s v="T367"/>
        <s v="T368"/>
        <s v="T369"/>
        <s v="T370"/>
        <s v="T371"/>
        <s v="T372"/>
        <s v="T373"/>
        <s v="T374"/>
        <s v="T375"/>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2"/>
        <s v="T493"/>
        <s v="T494"/>
        <s v="T495"/>
        <s v="T496"/>
        <s v="T497"/>
        <s v="T498"/>
        <s v="T499"/>
        <s v="T500"/>
        <s v="T501"/>
        <s v="T502"/>
        <s v="T503"/>
        <s v="T504"/>
        <s v="T505"/>
        <s v="T506"/>
        <s v="T507"/>
        <s v="T508"/>
        <s v="T509"/>
        <s v="T510"/>
        <s v="T511"/>
        <s v="T512"/>
        <s v="T513"/>
        <s v="T514"/>
        <s v="T515"/>
        <s v="T516"/>
        <s v="T517"/>
        <s v="T518"/>
        <s v="T519"/>
        <s v="T520"/>
        <s v="T521"/>
        <s v="T522"/>
        <s v="T523"/>
        <s v="T524"/>
        <s v="T525"/>
        <s v="T526"/>
        <s v="T527"/>
        <s v="T528"/>
        <s v="T529"/>
        <s v="T530"/>
        <s v="T531"/>
        <s v="T532"/>
        <s v="T533"/>
        <s v="T534"/>
        <s v="T535"/>
        <s v="T536"/>
        <s v="T537"/>
        <s v="T538"/>
        <s v="T539"/>
        <s v="T540"/>
        <s v="T541"/>
        <s v="T542"/>
        <s v="T543"/>
        <s v="T544"/>
        <s v="T545"/>
        <s v="T546"/>
        <s v="T547"/>
        <s v="T548"/>
        <s v="T549"/>
        <s v="T550"/>
        <s v="T551"/>
        <s v="T552"/>
        <s v="T553"/>
        <s v="T554"/>
        <s v="T555"/>
        <s v="T556"/>
        <s v="T557"/>
        <s v="T558"/>
        <s v="T559"/>
        <s v="T560"/>
        <s v="T561"/>
        <s v="T562"/>
        <s v="T563"/>
        <s v="T564"/>
        <s v="T565"/>
        <s v="T566"/>
        <s v="T567"/>
        <s v="T568"/>
        <s v="T569"/>
        <s v="T570"/>
        <s v="T571"/>
        <s v="T572"/>
        <s v="T573"/>
        <s v="T574"/>
        <s v="T575"/>
        <s v="T576"/>
        <s v="T577"/>
        <s v="T578"/>
        <s v="T579"/>
        <s v="T580"/>
        <s v="T581"/>
        <s v="T582"/>
        <s v="T583"/>
        <s v="T584"/>
        <s v="T585"/>
        <s v="T586"/>
        <s v="T587"/>
        <s v="T588"/>
        <s v="T589"/>
        <s v="T590"/>
        <s v="T591"/>
        <s v="T592"/>
        <s v="T593"/>
        <s v="T594"/>
        <s v="T595"/>
        <s v="T596"/>
        <s v="T597"/>
        <s v="T598"/>
        <s v="T599"/>
        <s v="T600"/>
        <s v="T601"/>
        <s v="T602"/>
        <s v="T603"/>
        <s v="T604"/>
        <s v="T605"/>
        <s v="T606"/>
        <s v="T607"/>
        <s v="T608"/>
        <s v="T609"/>
        <s v="T610"/>
        <s v="T611"/>
        <s v="T612"/>
        <s v="T613"/>
        <s v="T614"/>
        <s v="T615"/>
        <s v="T616"/>
        <s v="T617"/>
        <s v="T618"/>
        <s v="T619"/>
        <s v="T620"/>
        <s v="T621"/>
        <s v="T622"/>
        <s v="T623"/>
        <s v="T624"/>
        <s v="T625"/>
        <s v="T626"/>
        <s v="T627"/>
        <s v="T628"/>
        <s v="T629"/>
        <s v="T630"/>
        <s v="T631"/>
        <s v="T632"/>
        <s v="T633"/>
        <s v="T634"/>
        <s v="T635"/>
        <s v="T636"/>
        <s v="T637"/>
        <s v="T638"/>
        <s v="T639"/>
        <s v="T640"/>
        <s v="T641"/>
        <s v="T642"/>
        <s v="T643"/>
        <s v="T644"/>
        <s v="T645"/>
        <s v="T646"/>
        <s v="T647"/>
        <s v="T648"/>
        <s v="T649"/>
        <s v="T650"/>
        <s v="T651"/>
        <s v="T652"/>
        <s v="T653"/>
        <s v="T654"/>
        <s v="T655"/>
        <s v="T656"/>
        <s v="T657"/>
        <s v="T658"/>
        <s v="T659"/>
        <s v="T660"/>
        <s v="T661"/>
        <s v="T662"/>
        <s v="T663"/>
        <s v="T664"/>
        <s v="T665"/>
        <s v="T666"/>
        <s v="T667"/>
        <s v="T668"/>
        <s v="T669"/>
        <s v="T670"/>
        <s v="T671"/>
        <s v="T672"/>
        <s v="T673"/>
        <s v="T674"/>
        <s v="T675"/>
        <s v="T676"/>
        <s v="T677"/>
        <s v="T678"/>
        <s v="T679"/>
        <s v="T680"/>
        <s v="T681"/>
        <s v="T682"/>
        <s v="T683"/>
        <s v="T684"/>
        <s v="T685"/>
        <s v="T686"/>
        <s v="T687"/>
        <s v="T688"/>
        <s v="T689"/>
        <s v="T690"/>
        <s v="T691"/>
        <s v="T692"/>
        <s v="T693"/>
        <s v="T694"/>
        <s v="T695"/>
        <s v="T696"/>
        <s v="T697"/>
        <s v="T698"/>
        <s v="T699"/>
        <s v="T700"/>
        <s v="T701"/>
        <s v="T702"/>
        <s v="T703"/>
        <s v="T704"/>
        <s v="T705"/>
        <s v="T706"/>
        <s v="T707"/>
        <s v="T708"/>
        <s v="T709"/>
        <s v="T710"/>
        <s v="T711"/>
        <s v="T712"/>
        <s v="T713"/>
        <s v="T714"/>
        <s v="T715"/>
        <s v="T716"/>
        <s v="T717"/>
        <s v="T718"/>
        <s v="T719"/>
        <s v="T720"/>
        <s v="T721"/>
        <s v="T722"/>
        <s v="T723"/>
        <s v="T724"/>
        <s v="T725"/>
        <s v="T726"/>
        <s v="T727"/>
        <s v="T728"/>
        <s v="T729"/>
        <s v="T730"/>
        <s v="T731"/>
        <s v="T732"/>
        <s v="T733"/>
        <s v="T734"/>
        <s v="T735"/>
        <s v="T736"/>
        <s v="T737"/>
        <s v="T738"/>
        <s v="T739"/>
        <s v="T740"/>
        <s v="T741"/>
        <s v="T742"/>
        <s v="T743"/>
        <s v="T744"/>
        <s v="T745"/>
        <s v="T746"/>
        <s v="T747"/>
        <s v="T748"/>
        <s v="T749"/>
        <s v="T750"/>
        <s v="T751"/>
        <s v="T752"/>
        <s v="T753"/>
        <s v="T754"/>
        <s v="T755"/>
        <s v="T756"/>
        <s v="T757"/>
        <s v="T758"/>
        <s v="T759"/>
        <s v="T760"/>
        <s v="T761"/>
        <s v="T762"/>
        <s v="T763"/>
        <s v="T764"/>
        <s v="T765"/>
        <s v="T766"/>
        <s v="T767"/>
        <s v="T768"/>
        <s v="T769"/>
        <s v="T770"/>
        <s v="T771"/>
        <s v="T772"/>
        <s v="T773"/>
        <s v="T774"/>
        <s v="T775"/>
        <s v="T776"/>
        <s v="T777"/>
        <s v="T778"/>
        <s v="T779"/>
        <s v="T780"/>
        <s v="T781"/>
        <s v="T782"/>
        <s v="T783"/>
        <s v="T784"/>
        <s v="T785"/>
        <s v="T786"/>
        <s v="T787"/>
        <s v="T788"/>
        <s v="T789"/>
        <s v="T790"/>
        <s v="T791"/>
        <s v="T792"/>
        <s v="T793"/>
        <s v="T794"/>
        <s v="T795"/>
        <s v="T796"/>
        <s v="T797"/>
        <s v="T798"/>
        <s v="T799"/>
        <s v="T800"/>
        <s v="T801"/>
        <s v="T802"/>
        <s v="T803"/>
        <s v="T804"/>
        <s v="T805"/>
        <s v="T806"/>
        <s v="T807"/>
        <s v="T808"/>
        <s v="T809"/>
        <s v="T810"/>
        <s v="T811"/>
        <s v="T812"/>
        <s v="T813"/>
        <s v="T814"/>
        <s v="T815"/>
        <s v="T816"/>
        <s v="T817"/>
        <s v="T818"/>
        <s v="T819"/>
        <s v="T820"/>
        <s v="T821"/>
        <s v="T822"/>
        <s v="T823"/>
        <s v="T824"/>
        <s v="T825"/>
        <s v="T826"/>
        <s v="T827"/>
        <s v="T828"/>
        <s v="T829"/>
        <s v="T830"/>
        <s v="T831"/>
        <s v="T832"/>
        <s v="T833"/>
        <s v="T834"/>
        <s v="T835"/>
        <s v="T836"/>
        <s v="T837"/>
        <s v="T838"/>
        <s v="T839"/>
        <s v="T840"/>
        <s v="T841"/>
        <s v="T842"/>
        <s v="T843"/>
        <s v="T844"/>
        <s v="T845"/>
        <s v="T846"/>
        <s v="T847"/>
        <s v="T848"/>
        <s v="T849"/>
        <s v="T850"/>
        <s v="T851"/>
        <s v="T852"/>
        <s v="T853"/>
        <s v="T854"/>
        <s v="T855"/>
        <s v="T856"/>
        <s v="T857"/>
        <s v="T858"/>
        <s v="T859"/>
        <s v="T860"/>
        <s v="T861"/>
        <s v="T862"/>
        <s v="T863"/>
        <s v="T864"/>
        <s v="T865"/>
        <s v="T866"/>
        <s v="T867"/>
        <s v="T868"/>
        <s v="T869"/>
        <s v="T870"/>
        <s v="T871"/>
        <s v="T872"/>
        <s v="T873"/>
        <s v="T874"/>
        <s v="T875"/>
        <s v="T876"/>
        <s v="T877"/>
        <s v="T878"/>
        <s v="T879"/>
        <s v="T880"/>
        <s v="T881"/>
        <s v="T882"/>
        <s v="T883"/>
        <s v="T884"/>
        <s v="T885"/>
        <s v="T886"/>
        <s v="T887"/>
        <s v="T888"/>
        <s v="T889"/>
        <s v="T890"/>
        <s v="T891"/>
        <s v="T892"/>
        <s v="T893"/>
        <s v="T894"/>
        <s v="T895"/>
        <s v="T896"/>
        <s v="T897"/>
        <s v="T898"/>
        <s v="T899"/>
        <s v="T900"/>
        <s v="T901"/>
        <s v="T902"/>
        <s v="T903"/>
        <s v="T904"/>
        <s v="T905"/>
        <s v="T906"/>
        <s v="T907"/>
        <s v="T908"/>
        <s v="T909"/>
        <s v="T910"/>
        <s v="T911"/>
        <s v="T912"/>
        <s v="T913"/>
        <s v="T914"/>
        <s v="T915"/>
        <s v="T916"/>
        <s v="T917"/>
        <s v="T918"/>
        <s v="T919"/>
        <s v="T920"/>
        <s v="T921"/>
        <s v="T922"/>
        <s v="T923"/>
        <s v="T924"/>
        <s v="T925"/>
        <s v="T926"/>
        <s v="T927"/>
        <s v="T928"/>
        <s v="T929"/>
        <s v="T930"/>
        <s v="T931"/>
        <s v="T932"/>
        <s v="T933"/>
        <s v="T934"/>
        <s v="T935"/>
        <s v="T936"/>
        <s v="T937"/>
        <s v="T938"/>
        <s v="T939"/>
        <s v="T940"/>
        <s v="T941"/>
        <s v="T942"/>
        <s v="T943"/>
        <s v="T944"/>
        <s v="T945"/>
        <s v="T946"/>
        <s v="T947"/>
        <s v="T948"/>
        <s v="T949"/>
        <s v="T950"/>
        <s v="T951"/>
        <s v="T952"/>
        <s v="T953"/>
        <s v="T954"/>
        <s v="T955"/>
        <s v="T956"/>
        <s v="T957"/>
        <s v="T958"/>
        <s v="T959"/>
        <s v="T960"/>
        <s v="T961"/>
        <s v="T962"/>
        <s v="T963"/>
        <s v="T964"/>
        <s v="T965"/>
        <s v="T966"/>
        <s v="T967"/>
        <s v="T968"/>
        <s v="T969"/>
        <s v="T970"/>
        <s v="T971"/>
        <s v="T972"/>
        <s v="T973"/>
        <s v="T974"/>
        <s v="T975"/>
        <s v="T976"/>
        <s v="T977"/>
        <s v="T978"/>
        <s v="T979"/>
        <s v="T980"/>
        <s v="T981"/>
        <s v="T982"/>
        <s v="T983"/>
        <s v="T984"/>
        <s v="T985"/>
        <s v="T986"/>
        <s v="T987"/>
        <s v="T988"/>
        <s v="T989"/>
        <s v="T990"/>
        <s v="T991"/>
        <s v="T992"/>
        <s v="T993"/>
        <s v="T994"/>
        <s v="T995"/>
        <s v="T996"/>
        <s v="T997"/>
        <s v="T998"/>
        <s v="T999"/>
        <s v="T1000"/>
        <s v="T1001"/>
        <s v="T1002"/>
        <s v="T1003"/>
        <s v="T1004"/>
        <s v="T1005"/>
        <s v="T1006"/>
        <s v="T1007"/>
        <s v="T1008"/>
        <s v="T1009"/>
        <s v="T1010"/>
        <s v="T1011"/>
        <s v="T1012"/>
        <s v="T1013"/>
        <s v="T1014"/>
        <s v="T1015"/>
        <s v="T1016"/>
        <s v="T1017"/>
        <s v="T1018"/>
        <s v="T1019"/>
        <s v="T1020"/>
        <s v="T1021"/>
        <s v="T1022"/>
        <s v="T1023"/>
        <s v="T1024"/>
        <s v="T1025"/>
        <s v="T1026"/>
        <s v="T1027"/>
        <s v="T1028"/>
        <s v="T1029"/>
        <s v="T1030"/>
        <s v="T1031"/>
        <s v="T1032"/>
        <s v="T1033"/>
        <s v="T1034"/>
        <s v="T1035"/>
        <s v="T1036"/>
        <s v="T1037"/>
        <s v="T1038"/>
        <s v="T1039"/>
        <s v="T1040"/>
        <s v="T1041"/>
        <s v="T1042"/>
        <s v="T1043"/>
        <s v="T1044"/>
        <s v="T1045"/>
        <s v="T1046"/>
        <s v="T1047"/>
        <s v="T1048"/>
        <s v="T1049"/>
        <s v="T1050"/>
        <s v="T1051"/>
        <s v="T1052"/>
        <s v="T1053"/>
        <s v="T1054"/>
        <s v="T1055"/>
        <s v="T1056"/>
        <s v="T1057"/>
        <s v="T1058"/>
        <s v="T1059"/>
        <s v="T1060"/>
        <s v="T1061"/>
        <s v="T1062"/>
        <s v="T1063"/>
        <s v="T1064"/>
        <s v="T1065"/>
        <s v="T1066"/>
        <s v="T1067"/>
        <s v="T1068"/>
        <s v="T1069"/>
        <s v="T1070"/>
        <s v="T1071"/>
        <s v="T1072"/>
        <s v="T1073"/>
        <s v="T1074"/>
        <s v="T1075"/>
        <s v="T1076"/>
        <s v="T1077"/>
        <s v="T1078"/>
        <s v="T1079"/>
        <s v="T1080"/>
        <s v="T1081"/>
        <s v="T1082"/>
        <s v="T1083"/>
        <s v="T1084"/>
        <s v="T1085"/>
        <s v="T1086"/>
        <s v="T1087"/>
        <s v="T1088"/>
        <s v="T1089"/>
        <s v="T1090"/>
        <s v="T1091"/>
        <s v="T1092"/>
        <s v="T1093"/>
        <s v="T1094"/>
        <s v="T1095"/>
        <s v="T1096"/>
        <s v="T1097"/>
        <s v="T1098"/>
        <s v="T1099"/>
        <s v="T1100"/>
        <s v="T1101"/>
        <s v="T1102"/>
        <s v="T1103"/>
        <s v="T1104"/>
        <s v="T1105"/>
        <s v="T1106"/>
        <s v="T1107"/>
        <s v="T1108"/>
        <s v="T1109"/>
        <s v="T1110"/>
        <s v="T1111"/>
        <s v="T1112"/>
        <s v="T1113"/>
        <s v="T1114"/>
        <s v="T1115"/>
        <s v="T1116"/>
        <s v="T1117"/>
        <s v="T1118"/>
        <s v="T1119"/>
        <s v="T1120"/>
        <s v="T1121"/>
        <s v="T1122"/>
        <s v="T1123"/>
        <s v="T1124"/>
        <s v="T1125"/>
        <s v="T1126"/>
        <s v="T1127"/>
        <s v="T1128"/>
        <s v="T1129"/>
        <s v="T1130"/>
        <s v="T1131"/>
        <s v="T1132"/>
      </sharedItems>
    </cacheField>
    <cacheField name="Region" numFmtId="0">
      <sharedItems count="5">
        <s v="Asia"/>
        <s v="Europe"/>
        <s v="North America"/>
        <s v="South America"/>
        <s v="Africa"/>
      </sharedItems>
    </cacheField>
    <cacheField name="Country" numFmtId="0">
      <sharedItems count="15">
        <s v="India"/>
        <s v="Germany"/>
        <s v="USA"/>
        <s v="Argentina"/>
        <s v="Kenya"/>
        <s v="Mexico"/>
        <s v="Chile"/>
        <s v="China"/>
        <s v="Japan"/>
        <s v="Brazil"/>
        <s v="UK"/>
        <s v="France"/>
        <s v="Nigeria"/>
        <s v="South Africa"/>
        <s v="Canada"/>
      </sharedItems>
    </cacheField>
    <cacheField name="Request Type" numFmtId="0">
      <sharedItems count="8">
        <s v="Password Reset"/>
        <s v="Server Downtime"/>
        <s v="VPN Access"/>
        <s v="Access Request"/>
        <s v="Software Install"/>
        <s v="Printer Issue"/>
        <s v="Email Setup"/>
        <s v="Network Issue"/>
      </sharedItems>
    </cacheField>
    <cacheField name="Request Description" numFmtId="0">
      <sharedItems/>
    </cacheField>
    <cacheField name="Priority" numFmtId="0">
      <sharedItems count="3">
        <s v="High"/>
        <s v="Low"/>
        <s v="Medium"/>
      </sharedItems>
    </cacheField>
    <cacheField name="Assigned To" numFmtId="0">
      <sharedItems count="6">
        <s v="Robert"/>
        <s v="Alice"/>
        <s v="Nina"/>
        <s v="Mike"/>
        <s v="Sarah"/>
        <s v="John"/>
      </sharedItems>
    </cacheField>
    <cacheField name="Open Date" numFmtId="15">
      <sharedItems containsSemiMixedTypes="0" containsNonDate="0" containsDate="1" containsString="0" minDate="2024-01-01T00:00:00" maxDate="2024-12-29T00:00:00"/>
    </cacheField>
    <cacheField name="Close Date" numFmtId="15">
      <sharedItems containsSemiMixedTypes="0" containsNonDate="0" containsDate="1" containsString="0" minDate="2024-01-01T00:00:00" maxDate="2024-12-29T00:00:00"/>
    </cacheField>
    <cacheField name="Actual Days" numFmtId="0">
      <sharedItems containsSemiMixedTypes="0" containsString="0" containsNumber="1" containsInteger="1" minValue="0" maxValue="1"/>
    </cacheField>
    <cacheField name="Status" numFmtId="0">
      <sharedItems count="2">
        <s v="Met"/>
        <s v="Not Met"/>
      </sharedItems>
    </cacheField>
    <cacheField name="Month" numFmtId="15">
      <sharedItems count="12">
        <s v="Feb"/>
        <s v="Jun"/>
        <s v="Jan"/>
        <s v="Apr"/>
        <s v="May"/>
        <s v="Mar"/>
        <s v="Aug"/>
        <s v="Dec"/>
        <s v="Jul"/>
        <s v="Oct"/>
        <s v="Nov"/>
        <s v="Sep"/>
      </sharedItems>
    </cacheField>
  </cacheFields>
  <extLst>
    <ext xmlns:x14="http://schemas.microsoft.com/office/spreadsheetml/2009/9/main" uri="{725AE2AE-9491-48be-B2B4-4EB974FC3084}">
      <x14:pivotCacheDefinition pivotCacheId="1566924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6">
  <r>
    <x v="0"/>
    <x v="0"/>
    <x v="0"/>
    <x v="0"/>
    <s v="Reduce discuss specific answer provide."/>
    <x v="0"/>
    <x v="0"/>
    <d v="2024-02-20T00:00:00"/>
    <d v="2024-02-20T00:00:00"/>
    <n v="0"/>
    <x v="0"/>
    <x v="0"/>
  </r>
  <r>
    <x v="1"/>
    <x v="1"/>
    <x v="1"/>
    <x v="1"/>
    <s v="Wait result relationship create throughout behind would."/>
    <x v="1"/>
    <x v="1"/>
    <d v="2024-06-02T00:00:00"/>
    <d v="2024-06-02T00:00:00"/>
    <n v="0"/>
    <x v="0"/>
    <x v="1"/>
  </r>
  <r>
    <x v="2"/>
    <x v="2"/>
    <x v="2"/>
    <x v="2"/>
    <s v="Away only happy quality even we take consider."/>
    <x v="1"/>
    <x v="2"/>
    <d v="2024-02-09T00:00:00"/>
    <d v="2024-02-09T00:00:00"/>
    <n v="0"/>
    <x v="0"/>
    <x v="0"/>
  </r>
  <r>
    <x v="3"/>
    <x v="3"/>
    <x v="3"/>
    <x v="3"/>
    <s v="Claim not expert information really course get politics region human."/>
    <x v="2"/>
    <x v="0"/>
    <d v="2024-06-01T00:00:00"/>
    <d v="2024-06-01T00:00:00"/>
    <n v="0"/>
    <x v="0"/>
    <x v="1"/>
  </r>
  <r>
    <x v="4"/>
    <x v="4"/>
    <x v="4"/>
    <x v="1"/>
    <s v="Top executive lead speak wrong choose decide."/>
    <x v="2"/>
    <x v="3"/>
    <d v="2024-01-13T00:00:00"/>
    <d v="2024-01-13T00:00:00"/>
    <n v="0"/>
    <x v="0"/>
    <x v="2"/>
  </r>
  <r>
    <x v="5"/>
    <x v="1"/>
    <x v="1"/>
    <x v="0"/>
    <s v="Home memory would as evening attorney amount."/>
    <x v="2"/>
    <x v="4"/>
    <d v="2024-02-16T00:00:00"/>
    <d v="2024-02-16T00:00:00"/>
    <n v="0"/>
    <x v="0"/>
    <x v="0"/>
  </r>
  <r>
    <x v="6"/>
    <x v="2"/>
    <x v="5"/>
    <x v="0"/>
    <s v="Teach pick expect on director go wide agent thousand force."/>
    <x v="2"/>
    <x v="3"/>
    <d v="2024-01-23T00:00:00"/>
    <d v="2024-01-24T00:00:00"/>
    <n v="1"/>
    <x v="1"/>
    <x v="2"/>
  </r>
  <r>
    <x v="7"/>
    <x v="2"/>
    <x v="5"/>
    <x v="3"/>
    <s v="Those too car yard early ever only such fall necessary."/>
    <x v="0"/>
    <x v="2"/>
    <d v="2024-04-18T00:00:00"/>
    <d v="2024-04-18T00:00:00"/>
    <n v="0"/>
    <x v="0"/>
    <x v="3"/>
  </r>
  <r>
    <x v="8"/>
    <x v="0"/>
    <x v="0"/>
    <x v="3"/>
    <s v="Final military play push make interview few approach professor this."/>
    <x v="2"/>
    <x v="5"/>
    <d v="2024-05-16T00:00:00"/>
    <d v="2024-05-17T00:00:00"/>
    <n v="1"/>
    <x v="1"/>
    <x v="4"/>
  </r>
  <r>
    <x v="9"/>
    <x v="3"/>
    <x v="6"/>
    <x v="3"/>
    <s v="Source per out arm tax all since seem animal."/>
    <x v="1"/>
    <x v="3"/>
    <d v="2024-04-02T00:00:00"/>
    <d v="2024-04-02T00:00:00"/>
    <n v="0"/>
    <x v="0"/>
    <x v="3"/>
  </r>
  <r>
    <x v="10"/>
    <x v="0"/>
    <x v="7"/>
    <x v="1"/>
    <s v="Third focus consider teacher also."/>
    <x v="1"/>
    <x v="2"/>
    <d v="2024-05-25T00:00:00"/>
    <d v="2024-05-26T00:00:00"/>
    <n v="1"/>
    <x v="1"/>
    <x v="4"/>
  </r>
  <r>
    <x v="11"/>
    <x v="0"/>
    <x v="8"/>
    <x v="3"/>
    <s v="Foreign conference data poor I somebody her ok relationship."/>
    <x v="2"/>
    <x v="4"/>
    <d v="2024-06-08T00:00:00"/>
    <d v="2024-06-08T00:00:00"/>
    <n v="0"/>
    <x v="0"/>
    <x v="1"/>
  </r>
  <r>
    <x v="12"/>
    <x v="3"/>
    <x v="3"/>
    <x v="3"/>
    <s v="Space customer social organization budget."/>
    <x v="1"/>
    <x v="5"/>
    <d v="2024-02-22T00:00:00"/>
    <d v="2024-02-22T00:00:00"/>
    <n v="0"/>
    <x v="0"/>
    <x v="0"/>
  </r>
  <r>
    <x v="13"/>
    <x v="0"/>
    <x v="0"/>
    <x v="4"/>
    <s v="Point improve road people street laugh conference myself us keep adult."/>
    <x v="0"/>
    <x v="2"/>
    <d v="2024-02-20T00:00:00"/>
    <d v="2024-02-20T00:00:00"/>
    <n v="0"/>
    <x v="0"/>
    <x v="0"/>
  </r>
  <r>
    <x v="14"/>
    <x v="3"/>
    <x v="9"/>
    <x v="4"/>
    <s v="Black guess argue especially perform."/>
    <x v="0"/>
    <x v="0"/>
    <d v="2024-06-09T00:00:00"/>
    <d v="2024-06-09T00:00:00"/>
    <n v="0"/>
    <x v="0"/>
    <x v="1"/>
  </r>
  <r>
    <x v="15"/>
    <x v="0"/>
    <x v="8"/>
    <x v="2"/>
    <s v="Miss what plant again ready."/>
    <x v="2"/>
    <x v="1"/>
    <d v="2024-01-05T00:00:00"/>
    <d v="2024-01-06T00:00:00"/>
    <n v="1"/>
    <x v="1"/>
    <x v="2"/>
  </r>
  <r>
    <x v="16"/>
    <x v="0"/>
    <x v="7"/>
    <x v="3"/>
    <s v="Mean often miss student coach how whose really everybody."/>
    <x v="0"/>
    <x v="0"/>
    <d v="2024-03-10T00:00:00"/>
    <d v="2024-03-10T00:00:00"/>
    <n v="0"/>
    <x v="0"/>
    <x v="5"/>
  </r>
  <r>
    <x v="17"/>
    <x v="1"/>
    <x v="10"/>
    <x v="3"/>
    <s v="Fire require economy wear already arrive."/>
    <x v="2"/>
    <x v="0"/>
    <d v="2024-04-23T00:00:00"/>
    <d v="2024-04-23T00:00:00"/>
    <n v="0"/>
    <x v="0"/>
    <x v="3"/>
  </r>
  <r>
    <x v="18"/>
    <x v="0"/>
    <x v="0"/>
    <x v="5"/>
    <s v="Draw certainly where several discussion lay."/>
    <x v="0"/>
    <x v="3"/>
    <d v="2024-01-05T00:00:00"/>
    <d v="2024-01-05T00:00:00"/>
    <n v="0"/>
    <x v="0"/>
    <x v="2"/>
  </r>
  <r>
    <x v="19"/>
    <x v="0"/>
    <x v="7"/>
    <x v="3"/>
    <s v="Traditional public reduce party guess."/>
    <x v="0"/>
    <x v="3"/>
    <d v="2024-02-04T00:00:00"/>
    <d v="2024-02-04T00:00:00"/>
    <n v="0"/>
    <x v="0"/>
    <x v="0"/>
  </r>
  <r>
    <x v="20"/>
    <x v="2"/>
    <x v="5"/>
    <x v="3"/>
    <s v="Lose prove tax thousand son."/>
    <x v="2"/>
    <x v="0"/>
    <d v="2024-02-07T00:00:00"/>
    <d v="2024-02-07T00:00:00"/>
    <n v="0"/>
    <x v="0"/>
    <x v="0"/>
  </r>
  <r>
    <x v="21"/>
    <x v="3"/>
    <x v="3"/>
    <x v="6"/>
    <s v="Rule company beat station building executive purpose bar choose week."/>
    <x v="2"/>
    <x v="0"/>
    <d v="2024-01-10T00:00:00"/>
    <d v="2024-01-10T00:00:00"/>
    <n v="0"/>
    <x v="0"/>
    <x v="2"/>
  </r>
  <r>
    <x v="22"/>
    <x v="3"/>
    <x v="9"/>
    <x v="3"/>
    <s v="Serve radio toward kind fall or prevent protect able."/>
    <x v="1"/>
    <x v="5"/>
    <d v="2024-05-01T00:00:00"/>
    <d v="2024-05-02T00:00:00"/>
    <n v="1"/>
    <x v="1"/>
    <x v="4"/>
  </r>
  <r>
    <x v="23"/>
    <x v="0"/>
    <x v="0"/>
    <x v="0"/>
    <s v="Energy upon compare my ahead where matter."/>
    <x v="0"/>
    <x v="2"/>
    <d v="2024-03-26T00:00:00"/>
    <d v="2024-03-26T00:00:00"/>
    <n v="0"/>
    <x v="0"/>
    <x v="5"/>
  </r>
  <r>
    <x v="24"/>
    <x v="1"/>
    <x v="11"/>
    <x v="4"/>
    <s v="Near marriage stuff later option determine."/>
    <x v="1"/>
    <x v="1"/>
    <d v="2024-01-31T00:00:00"/>
    <d v="2024-01-31T00:00:00"/>
    <n v="0"/>
    <x v="0"/>
    <x v="2"/>
  </r>
  <r>
    <x v="25"/>
    <x v="4"/>
    <x v="12"/>
    <x v="1"/>
    <s v="She community worry improve response result get its fly box."/>
    <x v="2"/>
    <x v="5"/>
    <d v="2024-04-10T00:00:00"/>
    <d v="2024-04-10T00:00:00"/>
    <n v="0"/>
    <x v="0"/>
    <x v="3"/>
  </r>
  <r>
    <x v="26"/>
    <x v="4"/>
    <x v="13"/>
    <x v="1"/>
    <s v="Contain area start each reason."/>
    <x v="1"/>
    <x v="2"/>
    <d v="2024-01-24T00:00:00"/>
    <d v="2024-01-25T00:00:00"/>
    <n v="1"/>
    <x v="1"/>
    <x v="2"/>
  </r>
  <r>
    <x v="27"/>
    <x v="1"/>
    <x v="1"/>
    <x v="1"/>
    <s v="Image enough reach her staff everyone minute shake."/>
    <x v="0"/>
    <x v="3"/>
    <d v="2024-01-10T00:00:00"/>
    <d v="2024-01-10T00:00:00"/>
    <n v="0"/>
    <x v="0"/>
    <x v="2"/>
  </r>
  <r>
    <x v="28"/>
    <x v="1"/>
    <x v="10"/>
    <x v="2"/>
    <s v="Myself turn message catch use activity president reality age ago consider."/>
    <x v="2"/>
    <x v="4"/>
    <d v="2024-01-23T00:00:00"/>
    <d v="2024-01-23T00:00:00"/>
    <n v="0"/>
    <x v="0"/>
    <x v="2"/>
  </r>
  <r>
    <x v="29"/>
    <x v="0"/>
    <x v="0"/>
    <x v="3"/>
    <s v="Usually former stay age both safe."/>
    <x v="0"/>
    <x v="1"/>
    <d v="2024-01-31T00:00:00"/>
    <d v="2024-01-31T00:00:00"/>
    <n v="0"/>
    <x v="0"/>
    <x v="2"/>
  </r>
  <r>
    <x v="30"/>
    <x v="2"/>
    <x v="5"/>
    <x v="3"/>
    <s v="Kid almost establish explain record operation."/>
    <x v="2"/>
    <x v="2"/>
    <d v="2024-05-18T00:00:00"/>
    <d v="2024-05-19T00:00:00"/>
    <n v="1"/>
    <x v="1"/>
    <x v="4"/>
  </r>
  <r>
    <x v="31"/>
    <x v="0"/>
    <x v="0"/>
    <x v="5"/>
    <s v="Maybe shoulder either tend church ago city."/>
    <x v="1"/>
    <x v="1"/>
    <d v="2024-02-08T00:00:00"/>
    <d v="2024-02-08T00:00:00"/>
    <n v="0"/>
    <x v="0"/>
    <x v="0"/>
  </r>
  <r>
    <x v="32"/>
    <x v="0"/>
    <x v="8"/>
    <x v="4"/>
    <s v="Discuss lead miss run paper."/>
    <x v="1"/>
    <x v="3"/>
    <d v="2024-01-13T00:00:00"/>
    <d v="2024-01-13T00:00:00"/>
    <n v="0"/>
    <x v="0"/>
    <x v="2"/>
  </r>
  <r>
    <x v="33"/>
    <x v="3"/>
    <x v="3"/>
    <x v="0"/>
    <s v="Well arm exactly action."/>
    <x v="1"/>
    <x v="3"/>
    <d v="2024-04-25T00:00:00"/>
    <d v="2024-04-26T00:00:00"/>
    <n v="1"/>
    <x v="1"/>
    <x v="3"/>
  </r>
  <r>
    <x v="34"/>
    <x v="0"/>
    <x v="7"/>
    <x v="5"/>
    <s v="Energy care policy manage political customer tree dinner behavior region."/>
    <x v="2"/>
    <x v="1"/>
    <d v="2024-01-28T00:00:00"/>
    <d v="2024-01-28T00:00:00"/>
    <n v="0"/>
    <x v="0"/>
    <x v="2"/>
  </r>
  <r>
    <x v="35"/>
    <x v="3"/>
    <x v="9"/>
    <x v="6"/>
    <s v="Growth enjoy program ground charge parent listen so."/>
    <x v="0"/>
    <x v="4"/>
    <d v="2024-03-07T00:00:00"/>
    <d v="2024-03-07T00:00:00"/>
    <n v="0"/>
    <x v="0"/>
    <x v="5"/>
  </r>
  <r>
    <x v="36"/>
    <x v="0"/>
    <x v="0"/>
    <x v="3"/>
    <s v="About guess reality vote task any right."/>
    <x v="2"/>
    <x v="3"/>
    <d v="2024-06-06T00:00:00"/>
    <d v="2024-06-06T00:00:00"/>
    <n v="0"/>
    <x v="0"/>
    <x v="1"/>
  </r>
  <r>
    <x v="37"/>
    <x v="1"/>
    <x v="10"/>
    <x v="0"/>
    <s v="Upon again fund yet customer plant job."/>
    <x v="0"/>
    <x v="2"/>
    <d v="2024-05-02T00:00:00"/>
    <d v="2024-05-02T00:00:00"/>
    <n v="0"/>
    <x v="0"/>
    <x v="4"/>
  </r>
  <r>
    <x v="38"/>
    <x v="1"/>
    <x v="10"/>
    <x v="1"/>
    <s v="Must leader benefit phone nothing authority civil PM game."/>
    <x v="2"/>
    <x v="1"/>
    <d v="2024-02-04T00:00:00"/>
    <d v="2024-02-04T00:00:00"/>
    <n v="0"/>
    <x v="0"/>
    <x v="0"/>
  </r>
  <r>
    <x v="39"/>
    <x v="0"/>
    <x v="7"/>
    <x v="4"/>
    <s v="Husband majority perhaps seven ground strong focus."/>
    <x v="0"/>
    <x v="0"/>
    <d v="2024-02-23T00:00:00"/>
    <d v="2024-02-23T00:00:00"/>
    <n v="0"/>
    <x v="0"/>
    <x v="0"/>
  </r>
  <r>
    <x v="40"/>
    <x v="4"/>
    <x v="13"/>
    <x v="2"/>
    <s v="Mention identify meet condition produce agent none authority travel attack."/>
    <x v="2"/>
    <x v="1"/>
    <d v="2024-03-08T00:00:00"/>
    <d v="2024-03-09T00:00:00"/>
    <n v="1"/>
    <x v="1"/>
    <x v="5"/>
  </r>
  <r>
    <x v="41"/>
    <x v="4"/>
    <x v="13"/>
    <x v="3"/>
    <s v="Director so decade improve property social."/>
    <x v="1"/>
    <x v="1"/>
    <d v="2024-04-15T00:00:00"/>
    <d v="2024-04-15T00:00:00"/>
    <n v="0"/>
    <x v="0"/>
    <x v="3"/>
  </r>
  <r>
    <x v="42"/>
    <x v="0"/>
    <x v="0"/>
    <x v="2"/>
    <s v="Expert fund remain meet view without seven rich."/>
    <x v="2"/>
    <x v="0"/>
    <d v="2024-04-12T00:00:00"/>
    <d v="2024-04-12T00:00:00"/>
    <n v="0"/>
    <x v="0"/>
    <x v="3"/>
  </r>
  <r>
    <x v="43"/>
    <x v="1"/>
    <x v="1"/>
    <x v="3"/>
    <s v="Assume whom political according way over other."/>
    <x v="1"/>
    <x v="4"/>
    <d v="2024-05-22T00:00:00"/>
    <d v="2024-05-23T00:00:00"/>
    <n v="1"/>
    <x v="1"/>
    <x v="4"/>
  </r>
  <r>
    <x v="44"/>
    <x v="2"/>
    <x v="2"/>
    <x v="2"/>
    <s v="Employee view computer particularly successful."/>
    <x v="2"/>
    <x v="3"/>
    <d v="2024-01-30T00:00:00"/>
    <d v="2024-01-30T00:00:00"/>
    <n v="0"/>
    <x v="0"/>
    <x v="2"/>
  </r>
  <r>
    <x v="45"/>
    <x v="2"/>
    <x v="2"/>
    <x v="1"/>
    <s v="Theory type break picture choose son professor."/>
    <x v="2"/>
    <x v="1"/>
    <d v="2024-05-06T00:00:00"/>
    <d v="2024-05-07T00:00:00"/>
    <n v="1"/>
    <x v="1"/>
    <x v="4"/>
  </r>
  <r>
    <x v="46"/>
    <x v="0"/>
    <x v="0"/>
    <x v="3"/>
    <s v="Under woman individual baby do."/>
    <x v="0"/>
    <x v="0"/>
    <d v="2024-05-27T00:00:00"/>
    <d v="2024-05-27T00:00:00"/>
    <n v="0"/>
    <x v="0"/>
    <x v="4"/>
  </r>
  <r>
    <x v="47"/>
    <x v="0"/>
    <x v="0"/>
    <x v="3"/>
    <s v="Available represent notice subject knowledge."/>
    <x v="2"/>
    <x v="4"/>
    <d v="2024-03-21T00:00:00"/>
    <d v="2024-03-21T00:00:00"/>
    <n v="0"/>
    <x v="0"/>
    <x v="5"/>
  </r>
  <r>
    <x v="48"/>
    <x v="4"/>
    <x v="12"/>
    <x v="5"/>
    <s v="View wind small share energy fire arrive."/>
    <x v="2"/>
    <x v="2"/>
    <d v="2024-06-27T00:00:00"/>
    <d v="2024-06-27T00:00:00"/>
    <n v="0"/>
    <x v="0"/>
    <x v="1"/>
  </r>
  <r>
    <x v="49"/>
    <x v="4"/>
    <x v="4"/>
    <x v="2"/>
    <s v="College top with especially type how fire station four throughout."/>
    <x v="2"/>
    <x v="2"/>
    <d v="2024-04-08T00:00:00"/>
    <d v="2024-04-08T00:00:00"/>
    <n v="0"/>
    <x v="0"/>
    <x v="3"/>
  </r>
  <r>
    <x v="50"/>
    <x v="4"/>
    <x v="13"/>
    <x v="7"/>
    <s v="Region career speak figure role someone doctor young itself."/>
    <x v="2"/>
    <x v="0"/>
    <d v="2024-01-01T00:00:00"/>
    <d v="2024-01-01T00:00:00"/>
    <n v="0"/>
    <x v="0"/>
    <x v="2"/>
  </r>
  <r>
    <x v="51"/>
    <x v="0"/>
    <x v="0"/>
    <x v="6"/>
    <s v="All page he she decision protect head."/>
    <x v="0"/>
    <x v="4"/>
    <d v="2024-06-09T00:00:00"/>
    <d v="2024-06-09T00:00:00"/>
    <n v="0"/>
    <x v="0"/>
    <x v="1"/>
  </r>
  <r>
    <x v="52"/>
    <x v="2"/>
    <x v="14"/>
    <x v="1"/>
    <s v="Week act of piece kitchen technology drive blood."/>
    <x v="0"/>
    <x v="3"/>
    <d v="2024-05-11T00:00:00"/>
    <d v="2024-05-11T00:00:00"/>
    <n v="0"/>
    <x v="0"/>
    <x v="4"/>
  </r>
  <r>
    <x v="53"/>
    <x v="0"/>
    <x v="0"/>
    <x v="2"/>
    <s v="Back study similar what paper job church energy."/>
    <x v="0"/>
    <x v="0"/>
    <d v="2024-04-23T00:00:00"/>
    <d v="2024-04-23T00:00:00"/>
    <n v="0"/>
    <x v="0"/>
    <x v="3"/>
  </r>
  <r>
    <x v="54"/>
    <x v="1"/>
    <x v="10"/>
    <x v="3"/>
    <s v="Manager PM recent yes example word wide source far."/>
    <x v="2"/>
    <x v="2"/>
    <d v="2024-05-11T00:00:00"/>
    <d v="2024-05-11T00:00:00"/>
    <n v="0"/>
    <x v="0"/>
    <x v="4"/>
  </r>
  <r>
    <x v="55"/>
    <x v="3"/>
    <x v="9"/>
    <x v="5"/>
    <s v="Clearly around yeah network top available another save dog."/>
    <x v="0"/>
    <x v="5"/>
    <d v="2024-01-13T00:00:00"/>
    <d v="2024-01-14T00:00:00"/>
    <n v="1"/>
    <x v="1"/>
    <x v="2"/>
  </r>
  <r>
    <x v="56"/>
    <x v="3"/>
    <x v="9"/>
    <x v="4"/>
    <s v="Present style baby street board popular onto seven technology."/>
    <x v="1"/>
    <x v="4"/>
    <d v="2024-05-19T00:00:00"/>
    <d v="2024-05-19T00:00:00"/>
    <n v="0"/>
    <x v="0"/>
    <x v="4"/>
  </r>
  <r>
    <x v="57"/>
    <x v="0"/>
    <x v="7"/>
    <x v="6"/>
    <s v="Nature something president seven person between board hand myself they."/>
    <x v="0"/>
    <x v="4"/>
    <d v="2024-04-14T00:00:00"/>
    <d v="2024-04-14T00:00:00"/>
    <n v="0"/>
    <x v="0"/>
    <x v="3"/>
  </r>
  <r>
    <x v="58"/>
    <x v="3"/>
    <x v="6"/>
    <x v="3"/>
    <s v="Adult either work amount its other theory instead."/>
    <x v="1"/>
    <x v="5"/>
    <d v="2024-04-07T00:00:00"/>
    <d v="2024-04-08T00:00:00"/>
    <n v="1"/>
    <x v="1"/>
    <x v="3"/>
  </r>
  <r>
    <x v="59"/>
    <x v="1"/>
    <x v="10"/>
    <x v="1"/>
    <s v="Main model hand attorney mind parent guess or."/>
    <x v="2"/>
    <x v="4"/>
    <d v="2024-05-04T00:00:00"/>
    <d v="2024-05-04T00:00:00"/>
    <n v="0"/>
    <x v="0"/>
    <x v="4"/>
  </r>
  <r>
    <x v="60"/>
    <x v="0"/>
    <x v="0"/>
    <x v="3"/>
    <s v="Society front yourself sister data although."/>
    <x v="0"/>
    <x v="4"/>
    <d v="2024-02-20T00:00:00"/>
    <d v="2024-02-21T00:00:00"/>
    <n v="1"/>
    <x v="1"/>
    <x v="0"/>
  </r>
  <r>
    <x v="61"/>
    <x v="2"/>
    <x v="5"/>
    <x v="3"/>
    <s v="Put issue window late audience Congress friend available impact."/>
    <x v="2"/>
    <x v="2"/>
    <d v="2024-05-18T00:00:00"/>
    <d v="2024-05-18T00:00:00"/>
    <n v="0"/>
    <x v="0"/>
    <x v="4"/>
  </r>
  <r>
    <x v="62"/>
    <x v="0"/>
    <x v="7"/>
    <x v="5"/>
    <s v="Success summer off really public pull."/>
    <x v="1"/>
    <x v="5"/>
    <d v="2024-04-08T00:00:00"/>
    <d v="2024-04-08T00:00:00"/>
    <n v="0"/>
    <x v="0"/>
    <x v="3"/>
  </r>
  <r>
    <x v="63"/>
    <x v="0"/>
    <x v="8"/>
    <x v="1"/>
    <s v="Else support number prevent hand church win help."/>
    <x v="1"/>
    <x v="4"/>
    <d v="2024-03-01T00:00:00"/>
    <d v="2024-03-01T00:00:00"/>
    <n v="0"/>
    <x v="0"/>
    <x v="5"/>
  </r>
  <r>
    <x v="64"/>
    <x v="2"/>
    <x v="5"/>
    <x v="3"/>
    <s v="Interesting image protect early trip fine manage."/>
    <x v="2"/>
    <x v="0"/>
    <d v="2024-05-09T00:00:00"/>
    <d v="2024-05-09T00:00:00"/>
    <n v="0"/>
    <x v="0"/>
    <x v="4"/>
  </r>
  <r>
    <x v="65"/>
    <x v="2"/>
    <x v="14"/>
    <x v="2"/>
    <s v="More foot culture right happen."/>
    <x v="2"/>
    <x v="0"/>
    <d v="2024-01-18T00:00:00"/>
    <d v="2024-01-18T00:00:00"/>
    <n v="0"/>
    <x v="0"/>
    <x v="2"/>
  </r>
  <r>
    <x v="66"/>
    <x v="0"/>
    <x v="7"/>
    <x v="4"/>
    <s v="Choice become knowledge once until try media inside."/>
    <x v="0"/>
    <x v="0"/>
    <d v="2024-05-27T00:00:00"/>
    <d v="2024-05-27T00:00:00"/>
    <n v="0"/>
    <x v="0"/>
    <x v="4"/>
  </r>
  <r>
    <x v="67"/>
    <x v="2"/>
    <x v="2"/>
    <x v="1"/>
    <s v="Both modern any item small information according full side risk."/>
    <x v="1"/>
    <x v="1"/>
    <d v="2024-04-24T00:00:00"/>
    <d v="2024-04-24T00:00:00"/>
    <n v="0"/>
    <x v="0"/>
    <x v="3"/>
  </r>
  <r>
    <x v="68"/>
    <x v="0"/>
    <x v="0"/>
    <x v="4"/>
    <s v="Physical threat purpose these quality key rich."/>
    <x v="1"/>
    <x v="2"/>
    <d v="2024-01-03T00:00:00"/>
    <d v="2024-01-03T00:00:00"/>
    <n v="0"/>
    <x v="0"/>
    <x v="2"/>
  </r>
  <r>
    <x v="69"/>
    <x v="2"/>
    <x v="14"/>
    <x v="0"/>
    <s v="Firm during notice investment draw safe wind party."/>
    <x v="0"/>
    <x v="3"/>
    <d v="2024-04-26T00:00:00"/>
    <d v="2024-04-26T00:00:00"/>
    <n v="0"/>
    <x v="0"/>
    <x v="3"/>
  </r>
  <r>
    <x v="70"/>
    <x v="1"/>
    <x v="11"/>
    <x v="1"/>
    <s v="Sport look forget feel property less kid."/>
    <x v="2"/>
    <x v="1"/>
    <d v="2024-02-23T00:00:00"/>
    <d v="2024-02-23T00:00:00"/>
    <n v="0"/>
    <x v="0"/>
    <x v="0"/>
  </r>
  <r>
    <x v="71"/>
    <x v="2"/>
    <x v="14"/>
    <x v="1"/>
    <s v="Notice age how social camera personal."/>
    <x v="0"/>
    <x v="2"/>
    <d v="2024-04-15T00:00:00"/>
    <d v="2024-04-15T00:00:00"/>
    <n v="0"/>
    <x v="0"/>
    <x v="3"/>
  </r>
  <r>
    <x v="72"/>
    <x v="1"/>
    <x v="10"/>
    <x v="6"/>
    <s v="Address individual doctor fine."/>
    <x v="0"/>
    <x v="3"/>
    <d v="2024-04-04T00:00:00"/>
    <d v="2024-04-04T00:00:00"/>
    <n v="0"/>
    <x v="0"/>
    <x v="3"/>
  </r>
  <r>
    <x v="73"/>
    <x v="1"/>
    <x v="11"/>
    <x v="0"/>
    <s v="Window international always cause break set suffer thank order."/>
    <x v="1"/>
    <x v="3"/>
    <d v="2024-05-25T00:00:00"/>
    <d v="2024-05-25T00:00:00"/>
    <n v="0"/>
    <x v="0"/>
    <x v="4"/>
  </r>
  <r>
    <x v="74"/>
    <x v="1"/>
    <x v="11"/>
    <x v="1"/>
    <s v="Nothing manage nice move action those here."/>
    <x v="1"/>
    <x v="3"/>
    <d v="2024-04-06T00:00:00"/>
    <d v="2024-04-06T00:00:00"/>
    <n v="0"/>
    <x v="0"/>
    <x v="3"/>
  </r>
  <r>
    <x v="75"/>
    <x v="0"/>
    <x v="7"/>
    <x v="6"/>
    <s v="Rather end it employee."/>
    <x v="1"/>
    <x v="1"/>
    <d v="2024-03-20T00:00:00"/>
    <d v="2024-03-20T00:00:00"/>
    <n v="0"/>
    <x v="0"/>
    <x v="5"/>
  </r>
  <r>
    <x v="76"/>
    <x v="1"/>
    <x v="10"/>
    <x v="1"/>
    <s v="Themselves easy picture third share individual do now."/>
    <x v="1"/>
    <x v="2"/>
    <d v="2024-03-09T00:00:00"/>
    <d v="2024-03-09T00:00:00"/>
    <n v="0"/>
    <x v="0"/>
    <x v="5"/>
  </r>
  <r>
    <x v="77"/>
    <x v="0"/>
    <x v="8"/>
    <x v="2"/>
    <s v="Occur dream one late character pressure."/>
    <x v="0"/>
    <x v="3"/>
    <d v="2024-05-22T00:00:00"/>
    <d v="2024-05-22T00:00:00"/>
    <n v="0"/>
    <x v="0"/>
    <x v="4"/>
  </r>
  <r>
    <x v="78"/>
    <x v="2"/>
    <x v="2"/>
    <x v="6"/>
    <s v="Simply company choice recently least cover crime."/>
    <x v="0"/>
    <x v="2"/>
    <d v="2024-05-04T00:00:00"/>
    <d v="2024-05-04T00:00:00"/>
    <n v="0"/>
    <x v="0"/>
    <x v="4"/>
  </r>
  <r>
    <x v="79"/>
    <x v="4"/>
    <x v="12"/>
    <x v="6"/>
    <s v="Hit they you store."/>
    <x v="2"/>
    <x v="4"/>
    <d v="2024-02-14T00:00:00"/>
    <d v="2024-02-14T00:00:00"/>
    <n v="0"/>
    <x v="0"/>
    <x v="0"/>
  </r>
  <r>
    <x v="80"/>
    <x v="2"/>
    <x v="14"/>
    <x v="4"/>
    <s v="Administration opportunity education represent here."/>
    <x v="0"/>
    <x v="3"/>
    <d v="2024-03-05T00:00:00"/>
    <d v="2024-03-05T00:00:00"/>
    <n v="0"/>
    <x v="0"/>
    <x v="5"/>
  </r>
  <r>
    <x v="81"/>
    <x v="0"/>
    <x v="0"/>
    <x v="3"/>
    <s v="Reason new discover decide buy free contain any eat make he."/>
    <x v="0"/>
    <x v="2"/>
    <d v="2024-04-27T00:00:00"/>
    <d v="2024-04-27T00:00:00"/>
    <n v="0"/>
    <x v="0"/>
    <x v="3"/>
  </r>
  <r>
    <x v="82"/>
    <x v="3"/>
    <x v="3"/>
    <x v="7"/>
    <s v="Such act sort decision lose card history many."/>
    <x v="2"/>
    <x v="0"/>
    <d v="2024-04-14T00:00:00"/>
    <d v="2024-04-14T00:00:00"/>
    <n v="0"/>
    <x v="0"/>
    <x v="3"/>
  </r>
  <r>
    <x v="83"/>
    <x v="3"/>
    <x v="3"/>
    <x v="5"/>
    <s v="Coach everybody meet red fire nothing parent like here."/>
    <x v="0"/>
    <x v="4"/>
    <d v="2024-02-17T00:00:00"/>
    <d v="2024-02-17T00:00:00"/>
    <n v="0"/>
    <x v="0"/>
    <x v="0"/>
  </r>
  <r>
    <x v="84"/>
    <x v="2"/>
    <x v="5"/>
    <x v="4"/>
    <s v="Operation citizen rich environmental wrong example prepare."/>
    <x v="0"/>
    <x v="2"/>
    <d v="2024-03-26T00:00:00"/>
    <d v="2024-03-26T00:00:00"/>
    <n v="0"/>
    <x v="0"/>
    <x v="5"/>
  </r>
  <r>
    <x v="85"/>
    <x v="0"/>
    <x v="8"/>
    <x v="3"/>
    <s v="Rather about give dinner when instead since seven."/>
    <x v="1"/>
    <x v="0"/>
    <d v="2024-05-26T00:00:00"/>
    <d v="2024-05-26T00:00:00"/>
    <n v="0"/>
    <x v="0"/>
    <x v="4"/>
  </r>
  <r>
    <x v="86"/>
    <x v="2"/>
    <x v="14"/>
    <x v="3"/>
    <s v="Paper rich particularly country pay."/>
    <x v="1"/>
    <x v="1"/>
    <d v="2024-04-27T00:00:00"/>
    <d v="2024-04-27T00:00:00"/>
    <n v="0"/>
    <x v="0"/>
    <x v="3"/>
  </r>
  <r>
    <x v="87"/>
    <x v="3"/>
    <x v="9"/>
    <x v="7"/>
    <s v="Without use peace good apply activity make."/>
    <x v="2"/>
    <x v="4"/>
    <d v="2024-05-09T00:00:00"/>
    <d v="2024-05-09T00:00:00"/>
    <n v="0"/>
    <x v="0"/>
    <x v="4"/>
  </r>
  <r>
    <x v="88"/>
    <x v="0"/>
    <x v="0"/>
    <x v="1"/>
    <s v="Change concern factor green store worry well."/>
    <x v="1"/>
    <x v="3"/>
    <d v="2024-03-07T00:00:00"/>
    <d v="2024-03-08T00:00:00"/>
    <n v="1"/>
    <x v="1"/>
    <x v="5"/>
  </r>
  <r>
    <x v="89"/>
    <x v="0"/>
    <x v="8"/>
    <x v="6"/>
    <s v="Nature why once number idea owner power wait."/>
    <x v="0"/>
    <x v="3"/>
    <d v="2024-04-19T00:00:00"/>
    <d v="2024-04-19T00:00:00"/>
    <n v="0"/>
    <x v="0"/>
    <x v="3"/>
  </r>
  <r>
    <x v="90"/>
    <x v="4"/>
    <x v="4"/>
    <x v="7"/>
    <s v="Treatment clearly teach argue."/>
    <x v="1"/>
    <x v="5"/>
    <d v="2024-01-29T00:00:00"/>
    <d v="2024-01-29T00:00:00"/>
    <n v="0"/>
    <x v="0"/>
    <x v="2"/>
  </r>
  <r>
    <x v="91"/>
    <x v="0"/>
    <x v="0"/>
    <x v="4"/>
    <s v="Prepare effect strong sure sister yes."/>
    <x v="1"/>
    <x v="4"/>
    <d v="2024-03-15T00:00:00"/>
    <d v="2024-03-15T00:00:00"/>
    <n v="0"/>
    <x v="0"/>
    <x v="5"/>
  </r>
  <r>
    <x v="92"/>
    <x v="2"/>
    <x v="14"/>
    <x v="3"/>
    <s v="The scene employee of area stop them character southern."/>
    <x v="2"/>
    <x v="5"/>
    <d v="2024-03-21T00:00:00"/>
    <d v="2024-03-21T00:00:00"/>
    <n v="0"/>
    <x v="0"/>
    <x v="5"/>
  </r>
  <r>
    <x v="93"/>
    <x v="1"/>
    <x v="1"/>
    <x v="6"/>
    <s v="Activity drug agreement western hold himself very."/>
    <x v="2"/>
    <x v="1"/>
    <d v="2024-05-02T00:00:00"/>
    <d v="2024-05-02T00:00:00"/>
    <n v="0"/>
    <x v="0"/>
    <x v="4"/>
  </r>
  <r>
    <x v="94"/>
    <x v="3"/>
    <x v="6"/>
    <x v="5"/>
    <s v="Book degree new data night last focus it during into blood."/>
    <x v="1"/>
    <x v="2"/>
    <d v="2024-01-10T00:00:00"/>
    <d v="2024-01-10T00:00:00"/>
    <n v="0"/>
    <x v="0"/>
    <x v="2"/>
  </r>
  <r>
    <x v="95"/>
    <x v="0"/>
    <x v="0"/>
    <x v="1"/>
    <s v="Material ok ask attorney end simply image summer oil."/>
    <x v="0"/>
    <x v="0"/>
    <d v="2024-04-17T00:00:00"/>
    <d v="2024-04-17T00:00:00"/>
    <n v="0"/>
    <x v="0"/>
    <x v="3"/>
  </r>
  <r>
    <x v="96"/>
    <x v="1"/>
    <x v="1"/>
    <x v="4"/>
    <s v="Against manager reveal you down sing floor finally meeting main."/>
    <x v="1"/>
    <x v="4"/>
    <d v="2024-03-22T00:00:00"/>
    <d v="2024-03-22T00:00:00"/>
    <n v="0"/>
    <x v="0"/>
    <x v="5"/>
  </r>
  <r>
    <x v="97"/>
    <x v="2"/>
    <x v="2"/>
    <x v="6"/>
    <s v="Might bit group two court manage particularly meeting station relate."/>
    <x v="2"/>
    <x v="0"/>
    <d v="2024-03-05T00:00:00"/>
    <d v="2024-03-05T00:00:00"/>
    <n v="0"/>
    <x v="0"/>
    <x v="5"/>
  </r>
  <r>
    <x v="98"/>
    <x v="1"/>
    <x v="11"/>
    <x v="4"/>
    <s v="Six local itself size commercial."/>
    <x v="1"/>
    <x v="2"/>
    <d v="2024-01-30T00:00:00"/>
    <d v="2024-01-30T00:00:00"/>
    <n v="0"/>
    <x v="0"/>
    <x v="2"/>
  </r>
  <r>
    <x v="99"/>
    <x v="4"/>
    <x v="12"/>
    <x v="3"/>
    <s v="Democrat sound pattern how author include design bill poor television."/>
    <x v="2"/>
    <x v="5"/>
    <d v="2024-01-12T00:00:00"/>
    <d v="2024-01-12T00:00:00"/>
    <n v="0"/>
    <x v="0"/>
    <x v="2"/>
  </r>
  <r>
    <x v="100"/>
    <x v="4"/>
    <x v="13"/>
    <x v="6"/>
    <s v="Special effort provide interview word fight."/>
    <x v="1"/>
    <x v="4"/>
    <d v="2024-05-21T00:00:00"/>
    <d v="2024-05-21T00:00:00"/>
    <n v="0"/>
    <x v="0"/>
    <x v="4"/>
  </r>
  <r>
    <x v="101"/>
    <x v="2"/>
    <x v="5"/>
    <x v="6"/>
    <s v="Church like half activity first chance bad head standard kitchen."/>
    <x v="2"/>
    <x v="1"/>
    <d v="2024-05-03T00:00:00"/>
    <d v="2024-05-03T00:00:00"/>
    <n v="0"/>
    <x v="0"/>
    <x v="4"/>
  </r>
  <r>
    <x v="102"/>
    <x v="4"/>
    <x v="13"/>
    <x v="2"/>
    <s v="Entire necessary without front throughout office political."/>
    <x v="2"/>
    <x v="5"/>
    <d v="2024-05-09T00:00:00"/>
    <d v="2024-05-09T00:00:00"/>
    <n v="0"/>
    <x v="0"/>
    <x v="4"/>
  </r>
  <r>
    <x v="103"/>
    <x v="4"/>
    <x v="4"/>
    <x v="7"/>
    <s v="Traditional major already husband with follow sign purpose."/>
    <x v="1"/>
    <x v="5"/>
    <d v="2024-05-18T00:00:00"/>
    <d v="2024-05-18T00:00:00"/>
    <n v="0"/>
    <x v="0"/>
    <x v="4"/>
  </r>
  <r>
    <x v="104"/>
    <x v="2"/>
    <x v="5"/>
    <x v="7"/>
    <s v="Thus camera mother structure will society tell whom amount should campaign."/>
    <x v="0"/>
    <x v="3"/>
    <d v="2024-04-30T00:00:00"/>
    <d v="2024-04-30T00:00:00"/>
    <n v="0"/>
    <x v="0"/>
    <x v="3"/>
  </r>
  <r>
    <x v="105"/>
    <x v="4"/>
    <x v="13"/>
    <x v="3"/>
    <s v="Action year argue usually ground clear war interview garden brother."/>
    <x v="1"/>
    <x v="2"/>
    <d v="2024-04-09T00:00:00"/>
    <d v="2024-04-09T00:00:00"/>
    <n v="0"/>
    <x v="0"/>
    <x v="3"/>
  </r>
  <r>
    <x v="106"/>
    <x v="3"/>
    <x v="9"/>
    <x v="1"/>
    <s v="Thus red senior term movie fall less."/>
    <x v="2"/>
    <x v="3"/>
    <d v="2024-04-26T00:00:00"/>
    <d v="2024-04-26T00:00:00"/>
    <n v="0"/>
    <x v="0"/>
    <x v="3"/>
  </r>
  <r>
    <x v="107"/>
    <x v="2"/>
    <x v="5"/>
    <x v="2"/>
    <s v="Stand reveal story compare mean last war stock happen book."/>
    <x v="2"/>
    <x v="1"/>
    <d v="2024-03-05T00:00:00"/>
    <d v="2024-03-06T00:00:00"/>
    <n v="1"/>
    <x v="1"/>
    <x v="5"/>
  </r>
  <r>
    <x v="108"/>
    <x v="2"/>
    <x v="2"/>
    <x v="3"/>
    <s v="Pull official father political marriage traditional can perhaps."/>
    <x v="2"/>
    <x v="2"/>
    <d v="2024-05-18T00:00:00"/>
    <d v="2024-05-18T00:00:00"/>
    <n v="0"/>
    <x v="0"/>
    <x v="4"/>
  </r>
  <r>
    <x v="109"/>
    <x v="0"/>
    <x v="0"/>
    <x v="5"/>
    <s v="Worry time notice happen close daughter case."/>
    <x v="0"/>
    <x v="5"/>
    <d v="2024-03-09T00:00:00"/>
    <d v="2024-03-09T00:00:00"/>
    <n v="0"/>
    <x v="0"/>
    <x v="5"/>
  </r>
  <r>
    <x v="110"/>
    <x v="4"/>
    <x v="12"/>
    <x v="0"/>
    <s v="Parent outside fact base clear."/>
    <x v="2"/>
    <x v="3"/>
    <d v="2024-01-27T00:00:00"/>
    <d v="2024-01-27T00:00:00"/>
    <n v="0"/>
    <x v="0"/>
    <x v="2"/>
  </r>
  <r>
    <x v="111"/>
    <x v="2"/>
    <x v="14"/>
    <x v="3"/>
    <s v="Different interesting who both board lot course road drop around."/>
    <x v="1"/>
    <x v="4"/>
    <d v="2024-01-22T00:00:00"/>
    <d v="2024-01-22T00:00:00"/>
    <n v="0"/>
    <x v="0"/>
    <x v="2"/>
  </r>
  <r>
    <x v="112"/>
    <x v="1"/>
    <x v="11"/>
    <x v="2"/>
    <s v="Call exactly protect order their lose organization money."/>
    <x v="1"/>
    <x v="4"/>
    <d v="2024-03-27T00:00:00"/>
    <d v="2024-03-27T00:00:00"/>
    <n v="0"/>
    <x v="0"/>
    <x v="5"/>
  </r>
  <r>
    <x v="113"/>
    <x v="3"/>
    <x v="3"/>
    <x v="3"/>
    <s v="Describe account run hope turn run organization employee."/>
    <x v="0"/>
    <x v="1"/>
    <d v="2024-03-14T00:00:00"/>
    <d v="2024-03-14T00:00:00"/>
    <n v="0"/>
    <x v="0"/>
    <x v="5"/>
  </r>
  <r>
    <x v="114"/>
    <x v="0"/>
    <x v="7"/>
    <x v="4"/>
    <s v="Their shoulder involve opportunity present he market positive."/>
    <x v="0"/>
    <x v="4"/>
    <d v="2024-04-11T00:00:00"/>
    <d v="2024-04-11T00:00:00"/>
    <n v="0"/>
    <x v="0"/>
    <x v="3"/>
  </r>
  <r>
    <x v="115"/>
    <x v="2"/>
    <x v="2"/>
    <x v="4"/>
    <s v="Drop employee religious too age tell word size up."/>
    <x v="1"/>
    <x v="1"/>
    <d v="2024-05-20T00:00:00"/>
    <d v="2024-05-20T00:00:00"/>
    <n v="0"/>
    <x v="0"/>
    <x v="4"/>
  </r>
  <r>
    <x v="116"/>
    <x v="2"/>
    <x v="14"/>
    <x v="5"/>
    <s v="Control force be sell contain."/>
    <x v="2"/>
    <x v="5"/>
    <d v="2024-01-05T00:00:00"/>
    <d v="2024-01-05T00:00:00"/>
    <n v="0"/>
    <x v="0"/>
    <x v="2"/>
  </r>
  <r>
    <x v="117"/>
    <x v="1"/>
    <x v="10"/>
    <x v="7"/>
    <s v="Well town month should bag."/>
    <x v="2"/>
    <x v="5"/>
    <d v="2024-04-04T00:00:00"/>
    <d v="2024-04-04T00:00:00"/>
    <n v="0"/>
    <x v="0"/>
    <x v="3"/>
  </r>
  <r>
    <x v="118"/>
    <x v="4"/>
    <x v="13"/>
    <x v="5"/>
    <s v="North goal only since specific major just theory seek."/>
    <x v="1"/>
    <x v="0"/>
    <d v="2024-04-24T00:00:00"/>
    <d v="2024-04-24T00:00:00"/>
    <n v="0"/>
    <x v="0"/>
    <x v="3"/>
  </r>
  <r>
    <x v="119"/>
    <x v="1"/>
    <x v="1"/>
    <x v="4"/>
    <s v="City should discuss election rate."/>
    <x v="0"/>
    <x v="5"/>
    <d v="2024-02-16T00:00:00"/>
    <d v="2024-02-16T00:00:00"/>
    <n v="0"/>
    <x v="0"/>
    <x v="0"/>
  </r>
  <r>
    <x v="120"/>
    <x v="0"/>
    <x v="0"/>
    <x v="1"/>
    <s v="Model hand recent image around since history order."/>
    <x v="1"/>
    <x v="1"/>
    <d v="2024-04-21T00:00:00"/>
    <d v="2024-04-21T00:00:00"/>
    <n v="0"/>
    <x v="0"/>
    <x v="3"/>
  </r>
  <r>
    <x v="121"/>
    <x v="1"/>
    <x v="10"/>
    <x v="1"/>
    <s v="Word member certain policy no."/>
    <x v="1"/>
    <x v="3"/>
    <d v="2024-06-07T00:00:00"/>
    <d v="2024-06-07T00:00:00"/>
    <n v="0"/>
    <x v="0"/>
    <x v="1"/>
  </r>
  <r>
    <x v="122"/>
    <x v="3"/>
    <x v="3"/>
    <x v="5"/>
    <s v="Everybody late feeling lot sort follow investment figure other maintain."/>
    <x v="2"/>
    <x v="5"/>
    <d v="2024-01-08T00:00:00"/>
    <d v="2024-01-08T00:00:00"/>
    <n v="0"/>
    <x v="0"/>
    <x v="2"/>
  </r>
  <r>
    <x v="123"/>
    <x v="3"/>
    <x v="6"/>
    <x v="7"/>
    <s v="Build interesting interest little level often national."/>
    <x v="0"/>
    <x v="5"/>
    <d v="2024-05-20T00:00:00"/>
    <d v="2024-05-20T00:00:00"/>
    <n v="0"/>
    <x v="0"/>
    <x v="4"/>
  </r>
  <r>
    <x v="124"/>
    <x v="2"/>
    <x v="2"/>
    <x v="6"/>
    <s v="Find board region draw reflect goal event special way along."/>
    <x v="1"/>
    <x v="0"/>
    <d v="2024-04-23T00:00:00"/>
    <d v="2024-04-23T00:00:00"/>
    <n v="0"/>
    <x v="0"/>
    <x v="3"/>
  </r>
  <r>
    <x v="125"/>
    <x v="4"/>
    <x v="4"/>
    <x v="0"/>
    <s v="Debate history art know either."/>
    <x v="1"/>
    <x v="3"/>
    <d v="2024-02-08T00:00:00"/>
    <d v="2024-02-08T00:00:00"/>
    <n v="0"/>
    <x v="0"/>
    <x v="0"/>
  </r>
  <r>
    <x v="126"/>
    <x v="2"/>
    <x v="2"/>
    <x v="3"/>
    <s v="Attention road physical imagine drop eight writer wind middle of."/>
    <x v="1"/>
    <x v="4"/>
    <d v="2024-05-02T00:00:00"/>
    <d v="2024-05-02T00:00:00"/>
    <n v="0"/>
    <x v="0"/>
    <x v="4"/>
  </r>
  <r>
    <x v="127"/>
    <x v="0"/>
    <x v="7"/>
    <x v="6"/>
    <s v="Through nothing money recognize."/>
    <x v="2"/>
    <x v="3"/>
    <d v="2024-04-17T00:00:00"/>
    <d v="2024-04-17T00:00:00"/>
    <n v="0"/>
    <x v="0"/>
    <x v="3"/>
  </r>
  <r>
    <x v="128"/>
    <x v="2"/>
    <x v="5"/>
    <x v="4"/>
    <s v="Far these him easy girl street."/>
    <x v="0"/>
    <x v="0"/>
    <d v="2024-01-13T00:00:00"/>
    <d v="2024-01-13T00:00:00"/>
    <n v="0"/>
    <x v="0"/>
    <x v="2"/>
  </r>
  <r>
    <x v="129"/>
    <x v="1"/>
    <x v="1"/>
    <x v="3"/>
    <s v="Week when future region travel."/>
    <x v="0"/>
    <x v="2"/>
    <d v="2024-01-14T00:00:00"/>
    <d v="2024-01-15T00:00:00"/>
    <n v="1"/>
    <x v="1"/>
    <x v="2"/>
  </r>
  <r>
    <x v="130"/>
    <x v="0"/>
    <x v="7"/>
    <x v="3"/>
    <s v="Call despite for American whether call during may."/>
    <x v="0"/>
    <x v="5"/>
    <d v="2024-02-15T00:00:00"/>
    <d v="2024-02-15T00:00:00"/>
    <n v="0"/>
    <x v="0"/>
    <x v="0"/>
  </r>
  <r>
    <x v="131"/>
    <x v="2"/>
    <x v="14"/>
    <x v="0"/>
    <s v="Himself benefit food true skill add on."/>
    <x v="1"/>
    <x v="2"/>
    <d v="2024-01-11T00:00:00"/>
    <d v="2024-01-11T00:00:00"/>
    <n v="0"/>
    <x v="0"/>
    <x v="2"/>
  </r>
  <r>
    <x v="132"/>
    <x v="3"/>
    <x v="9"/>
    <x v="3"/>
    <s v="Suddenly figure again but keep leave form real threat."/>
    <x v="2"/>
    <x v="5"/>
    <d v="2024-03-30T00:00:00"/>
    <d v="2024-03-30T00:00:00"/>
    <n v="0"/>
    <x v="0"/>
    <x v="5"/>
  </r>
  <r>
    <x v="133"/>
    <x v="0"/>
    <x v="0"/>
    <x v="7"/>
    <s v="Home word worry east that."/>
    <x v="0"/>
    <x v="4"/>
    <d v="2024-01-15T00:00:00"/>
    <d v="2024-01-16T00:00:00"/>
    <n v="1"/>
    <x v="1"/>
    <x v="2"/>
  </r>
  <r>
    <x v="134"/>
    <x v="0"/>
    <x v="0"/>
    <x v="3"/>
    <s v="Stay money education can debate care traditional left."/>
    <x v="0"/>
    <x v="3"/>
    <d v="2024-04-04T00:00:00"/>
    <d v="2024-04-04T00:00:00"/>
    <n v="0"/>
    <x v="0"/>
    <x v="3"/>
  </r>
  <r>
    <x v="135"/>
    <x v="0"/>
    <x v="0"/>
    <x v="2"/>
    <s v="Often offer he box road they inside huge animal."/>
    <x v="1"/>
    <x v="0"/>
    <d v="2024-02-11T00:00:00"/>
    <d v="2024-02-11T00:00:00"/>
    <n v="0"/>
    <x v="0"/>
    <x v="0"/>
  </r>
  <r>
    <x v="136"/>
    <x v="1"/>
    <x v="11"/>
    <x v="3"/>
    <s v="Central data year recently one former television how financial describe type."/>
    <x v="1"/>
    <x v="5"/>
    <d v="2024-03-02T00:00:00"/>
    <d v="2024-03-02T00:00:00"/>
    <n v="0"/>
    <x v="0"/>
    <x v="5"/>
  </r>
  <r>
    <x v="137"/>
    <x v="4"/>
    <x v="13"/>
    <x v="3"/>
    <s v="Simply fact like alone cover yeah listen rather."/>
    <x v="1"/>
    <x v="5"/>
    <d v="2024-05-24T00:00:00"/>
    <d v="2024-05-24T00:00:00"/>
    <n v="0"/>
    <x v="0"/>
    <x v="4"/>
  </r>
  <r>
    <x v="138"/>
    <x v="0"/>
    <x v="8"/>
    <x v="3"/>
    <s v="People billion through resource meet believe rather build huge establish."/>
    <x v="2"/>
    <x v="3"/>
    <d v="2024-03-01T00:00:00"/>
    <d v="2024-03-01T00:00:00"/>
    <n v="0"/>
    <x v="0"/>
    <x v="5"/>
  </r>
  <r>
    <x v="139"/>
    <x v="1"/>
    <x v="10"/>
    <x v="7"/>
    <s v="Fire administration notice voice address much student play send."/>
    <x v="0"/>
    <x v="5"/>
    <d v="2024-02-17T00:00:00"/>
    <d v="2024-02-17T00:00:00"/>
    <n v="0"/>
    <x v="0"/>
    <x v="0"/>
  </r>
  <r>
    <x v="140"/>
    <x v="0"/>
    <x v="0"/>
    <x v="4"/>
    <s v="Behavior tonight also day fill."/>
    <x v="2"/>
    <x v="4"/>
    <d v="2024-01-13T00:00:00"/>
    <d v="2024-01-14T00:00:00"/>
    <n v="1"/>
    <x v="1"/>
    <x v="2"/>
  </r>
  <r>
    <x v="141"/>
    <x v="1"/>
    <x v="1"/>
    <x v="0"/>
    <s v="Practice throw protect good without note reach pull."/>
    <x v="1"/>
    <x v="2"/>
    <d v="2024-03-27T00:00:00"/>
    <d v="2024-03-27T00:00:00"/>
    <n v="0"/>
    <x v="0"/>
    <x v="5"/>
  </r>
  <r>
    <x v="142"/>
    <x v="3"/>
    <x v="3"/>
    <x v="7"/>
    <s v="Suffer end lay north move again."/>
    <x v="1"/>
    <x v="5"/>
    <d v="2024-03-09T00:00:00"/>
    <d v="2024-03-09T00:00:00"/>
    <n v="0"/>
    <x v="0"/>
    <x v="5"/>
  </r>
  <r>
    <x v="143"/>
    <x v="1"/>
    <x v="10"/>
    <x v="0"/>
    <s v="Only than who know."/>
    <x v="2"/>
    <x v="1"/>
    <d v="2024-04-23T00:00:00"/>
    <d v="2024-04-23T00:00:00"/>
    <n v="0"/>
    <x v="0"/>
    <x v="3"/>
  </r>
  <r>
    <x v="144"/>
    <x v="2"/>
    <x v="14"/>
    <x v="5"/>
    <s v="Big once who suggest either."/>
    <x v="0"/>
    <x v="0"/>
    <d v="2024-04-11T00:00:00"/>
    <d v="2024-04-11T00:00:00"/>
    <n v="0"/>
    <x v="0"/>
    <x v="3"/>
  </r>
  <r>
    <x v="145"/>
    <x v="1"/>
    <x v="10"/>
    <x v="6"/>
    <s v="Price yourself entire price pull another safe gas."/>
    <x v="2"/>
    <x v="2"/>
    <d v="2024-03-24T00:00:00"/>
    <d v="2024-03-24T00:00:00"/>
    <n v="0"/>
    <x v="0"/>
    <x v="5"/>
  </r>
  <r>
    <x v="146"/>
    <x v="0"/>
    <x v="8"/>
    <x v="7"/>
    <s v="Fill research kid left wonder send difference seven."/>
    <x v="0"/>
    <x v="5"/>
    <d v="2024-01-24T00:00:00"/>
    <d v="2024-01-24T00:00:00"/>
    <n v="0"/>
    <x v="0"/>
    <x v="2"/>
  </r>
  <r>
    <x v="147"/>
    <x v="3"/>
    <x v="9"/>
    <x v="2"/>
    <s v="Activity let law economy body couple ever possible past career."/>
    <x v="2"/>
    <x v="1"/>
    <d v="2024-04-17T00:00:00"/>
    <d v="2024-04-17T00:00:00"/>
    <n v="0"/>
    <x v="0"/>
    <x v="3"/>
  </r>
  <r>
    <x v="148"/>
    <x v="3"/>
    <x v="9"/>
    <x v="3"/>
    <s v="Full we keep member total find none."/>
    <x v="2"/>
    <x v="5"/>
    <d v="2024-05-13T00:00:00"/>
    <d v="2024-05-13T00:00:00"/>
    <n v="0"/>
    <x v="0"/>
    <x v="4"/>
  </r>
  <r>
    <x v="149"/>
    <x v="4"/>
    <x v="4"/>
    <x v="5"/>
    <s v="That feeling end second happy week impact clear."/>
    <x v="1"/>
    <x v="4"/>
    <d v="2024-04-23T00:00:00"/>
    <d v="2024-04-23T00:00:00"/>
    <n v="0"/>
    <x v="0"/>
    <x v="3"/>
  </r>
  <r>
    <x v="150"/>
    <x v="0"/>
    <x v="0"/>
    <x v="0"/>
    <s v="Maybe four character end product."/>
    <x v="2"/>
    <x v="5"/>
    <d v="2024-02-11T00:00:00"/>
    <d v="2024-02-11T00:00:00"/>
    <n v="0"/>
    <x v="0"/>
    <x v="0"/>
  </r>
  <r>
    <x v="151"/>
    <x v="3"/>
    <x v="3"/>
    <x v="7"/>
    <s v="No should most social open nice form recognize east have."/>
    <x v="0"/>
    <x v="0"/>
    <d v="2024-03-28T00:00:00"/>
    <d v="2024-03-28T00:00:00"/>
    <n v="0"/>
    <x v="0"/>
    <x v="5"/>
  </r>
  <r>
    <x v="152"/>
    <x v="1"/>
    <x v="10"/>
    <x v="5"/>
    <s v="Work successful your walk the with class million determine attention it."/>
    <x v="0"/>
    <x v="3"/>
    <d v="2024-06-04T00:00:00"/>
    <d v="2024-06-04T00:00:00"/>
    <n v="0"/>
    <x v="0"/>
    <x v="1"/>
  </r>
  <r>
    <x v="153"/>
    <x v="4"/>
    <x v="13"/>
    <x v="3"/>
    <s v="Before note could discuss officer."/>
    <x v="1"/>
    <x v="5"/>
    <d v="2024-03-16T00:00:00"/>
    <d v="2024-03-16T00:00:00"/>
    <n v="0"/>
    <x v="0"/>
    <x v="5"/>
  </r>
  <r>
    <x v="154"/>
    <x v="3"/>
    <x v="6"/>
    <x v="3"/>
    <s v="Career protect college us discussion."/>
    <x v="1"/>
    <x v="2"/>
    <d v="2024-05-05T00:00:00"/>
    <d v="2024-05-05T00:00:00"/>
    <n v="0"/>
    <x v="0"/>
    <x v="4"/>
  </r>
  <r>
    <x v="155"/>
    <x v="4"/>
    <x v="13"/>
    <x v="0"/>
    <s v="Collection subject response peace add something."/>
    <x v="2"/>
    <x v="1"/>
    <d v="2024-04-02T00:00:00"/>
    <d v="2024-04-02T00:00:00"/>
    <n v="0"/>
    <x v="0"/>
    <x v="3"/>
  </r>
  <r>
    <x v="156"/>
    <x v="3"/>
    <x v="3"/>
    <x v="1"/>
    <s v="Individual also claim ask hit avoid day already."/>
    <x v="2"/>
    <x v="3"/>
    <d v="2024-01-20T00:00:00"/>
    <d v="2024-01-20T00:00:00"/>
    <n v="0"/>
    <x v="0"/>
    <x v="2"/>
  </r>
  <r>
    <x v="157"/>
    <x v="0"/>
    <x v="8"/>
    <x v="0"/>
    <s v="Bad lay apply affect watch religious development commercial."/>
    <x v="1"/>
    <x v="1"/>
    <d v="2024-06-03T00:00:00"/>
    <d v="2024-06-03T00:00:00"/>
    <n v="0"/>
    <x v="0"/>
    <x v="1"/>
  </r>
  <r>
    <x v="158"/>
    <x v="0"/>
    <x v="0"/>
    <x v="5"/>
    <s v="Pm game cup international important those everyone term start management."/>
    <x v="0"/>
    <x v="0"/>
    <d v="2024-03-19T00:00:00"/>
    <d v="2024-03-19T00:00:00"/>
    <n v="0"/>
    <x v="0"/>
    <x v="5"/>
  </r>
  <r>
    <x v="159"/>
    <x v="0"/>
    <x v="7"/>
    <x v="3"/>
    <s v="Boy standard ahead before first point page than."/>
    <x v="0"/>
    <x v="5"/>
    <d v="2024-03-26T00:00:00"/>
    <d v="2024-03-26T00:00:00"/>
    <n v="0"/>
    <x v="0"/>
    <x v="5"/>
  </r>
  <r>
    <x v="160"/>
    <x v="2"/>
    <x v="5"/>
    <x v="2"/>
    <s v="Himself nothing public season why."/>
    <x v="0"/>
    <x v="0"/>
    <d v="2024-03-11T00:00:00"/>
    <d v="2024-03-11T00:00:00"/>
    <n v="0"/>
    <x v="0"/>
    <x v="5"/>
  </r>
  <r>
    <x v="161"/>
    <x v="1"/>
    <x v="1"/>
    <x v="0"/>
    <s v="Share miss everyone structure sign change."/>
    <x v="2"/>
    <x v="3"/>
    <d v="2024-05-25T00:00:00"/>
    <d v="2024-05-25T00:00:00"/>
    <n v="0"/>
    <x v="0"/>
    <x v="4"/>
  </r>
  <r>
    <x v="162"/>
    <x v="2"/>
    <x v="5"/>
    <x v="0"/>
    <s v="History cold account attack lawyer unit peace although film onto run."/>
    <x v="2"/>
    <x v="0"/>
    <d v="2024-01-05T00:00:00"/>
    <d v="2024-01-05T00:00:00"/>
    <n v="0"/>
    <x v="0"/>
    <x v="2"/>
  </r>
  <r>
    <x v="163"/>
    <x v="4"/>
    <x v="13"/>
    <x v="3"/>
    <s v="What continue help cut situation Democrat."/>
    <x v="2"/>
    <x v="2"/>
    <d v="2024-01-13T00:00:00"/>
    <d v="2024-01-13T00:00:00"/>
    <n v="0"/>
    <x v="0"/>
    <x v="2"/>
  </r>
  <r>
    <x v="164"/>
    <x v="1"/>
    <x v="11"/>
    <x v="4"/>
    <s v="Bed reduce major feel seem federal reality concern movement table clear."/>
    <x v="2"/>
    <x v="5"/>
    <d v="2024-04-21T00:00:00"/>
    <d v="2024-04-21T00:00:00"/>
    <n v="0"/>
    <x v="0"/>
    <x v="3"/>
  </r>
  <r>
    <x v="165"/>
    <x v="3"/>
    <x v="3"/>
    <x v="3"/>
    <s v="Western off where hold hotel public least."/>
    <x v="1"/>
    <x v="2"/>
    <d v="2024-04-17T00:00:00"/>
    <d v="2024-04-17T00:00:00"/>
    <n v="0"/>
    <x v="0"/>
    <x v="3"/>
  </r>
  <r>
    <x v="166"/>
    <x v="2"/>
    <x v="5"/>
    <x v="3"/>
    <s v="Reduce truth without medical hand."/>
    <x v="0"/>
    <x v="5"/>
    <d v="2024-03-30T00:00:00"/>
    <d v="2024-03-30T00:00:00"/>
    <n v="0"/>
    <x v="0"/>
    <x v="5"/>
  </r>
  <r>
    <x v="167"/>
    <x v="1"/>
    <x v="1"/>
    <x v="2"/>
    <s v="Task personal community various and room build present fund big."/>
    <x v="0"/>
    <x v="1"/>
    <d v="2024-02-21T00:00:00"/>
    <d v="2024-02-21T00:00:00"/>
    <n v="0"/>
    <x v="0"/>
    <x v="0"/>
  </r>
  <r>
    <x v="168"/>
    <x v="1"/>
    <x v="1"/>
    <x v="0"/>
    <s v="Sure couple consider service really discussion look responsibility lead."/>
    <x v="1"/>
    <x v="1"/>
    <d v="2024-02-24T00:00:00"/>
    <d v="2024-02-24T00:00:00"/>
    <n v="0"/>
    <x v="0"/>
    <x v="0"/>
  </r>
  <r>
    <x v="169"/>
    <x v="3"/>
    <x v="3"/>
    <x v="2"/>
    <s v="Final seem financial appear represent chance."/>
    <x v="0"/>
    <x v="2"/>
    <d v="2024-01-16T00:00:00"/>
    <d v="2024-01-17T00:00:00"/>
    <n v="1"/>
    <x v="1"/>
    <x v="2"/>
  </r>
  <r>
    <x v="170"/>
    <x v="0"/>
    <x v="7"/>
    <x v="3"/>
    <s v="Research far not detail opportunity instead."/>
    <x v="2"/>
    <x v="1"/>
    <d v="2024-01-14T00:00:00"/>
    <d v="2024-01-14T00:00:00"/>
    <n v="0"/>
    <x v="0"/>
    <x v="2"/>
  </r>
  <r>
    <x v="171"/>
    <x v="4"/>
    <x v="12"/>
    <x v="7"/>
    <s v="Wear play marriage age window player her risk meet."/>
    <x v="1"/>
    <x v="2"/>
    <d v="2024-05-28T00:00:00"/>
    <d v="2024-05-28T00:00:00"/>
    <n v="0"/>
    <x v="0"/>
    <x v="4"/>
  </r>
  <r>
    <x v="172"/>
    <x v="4"/>
    <x v="4"/>
    <x v="4"/>
    <s v="Service total story daughter ready arm."/>
    <x v="1"/>
    <x v="1"/>
    <d v="2024-05-08T00:00:00"/>
    <d v="2024-05-08T00:00:00"/>
    <n v="0"/>
    <x v="0"/>
    <x v="4"/>
  </r>
  <r>
    <x v="173"/>
    <x v="0"/>
    <x v="0"/>
    <x v="1"/>
    <s v="Else arrive physical prove example what prevent impact his PM."/>
    <x v="0"/>
    <x v="2"/>
    <d v="2024-05-30T00:00:00"/>
    <d v="2024-05-30T00:00:00"/>
    <n v="0"/>
    <x v="0"/>
    <x v="4"/>
  </r>
  <r>
    <x v="174"/>
    <x v="1"/>
    <x v="10"/>
    <x v="4"/>
    <s v="Catch machine computer author prevent bring in force."/>
    <x v="2"/>
    <x v="4"/>
    <d v="2024-03-31T00:00:00"/>
    <d v="2024-03-31T00:00:00"/>
    <n v="0"/>
    <x v="0"/>
    <x v="5"/>
  </r>
  <r>
    <x v="175"/>
    <x v="0"/>
    <x v="8"/>
    <x v="3"/>
    <s v="Face director represent executive sense price phone style choose."/>
    <x v="1"/>
    <x v="4"/>
    <d v="2024-05-22T00:00:00"/>
    <d v="2024-05-22T00:00:00"/>
    <n v="0"/>
    <x v="0"/>
    <x v="4"/>
  </r>
  <r>
    <x v="176"/>
    <x v="4"/>
    <x v="13"/>
    <x v="7"/>
    <s v="Thousand whole building appear collection structure color walk right."/>
    <x v="2"/>
    <x v="0"/>
    <d v="2024-02-06T00:00:00"/>
    <d v="2024-02-06T00:00:00"/>
    <n v="0"/>
    <x v="0"/>
    <x v="0"/>
  </r>
  <r>
    <x v="177"/>
    <x v="1"/>
    <x v="11"/>
    <x v="3"/>
    <s v="Accept soon any fill seek may."/>
    <x v="1"/>
    <x v="4"/>
    <d v="2024-02-03T00:00:00"/>
    <d v="2024-02-04T00:00:00"/>
    <n v="1"/>
    <x v="1"/>
    <x v="0"/>
  </r>
  <r>
    <x v="178"/>
    <x v="2"/>
    <x v="2"/>
    <x v="3"/>
    <s v="Trouble certain happen imagine throughout Democrat goal crime also above."/>
    <x v="2"/>
    <x v="0"/>
    <d v="2024-04-20T00:00:00"/>
    <d v="2024-04-20T00:00:00"/>
    <n v="0"/>
    <x v="0"/>
    <x v="3"/>
  </r>
  <r>
    <x v="179"/>
    <x v="2"/>
    <x v="2"/>
    <x v="1"/>
    <s v="Concern charge opportunity against challenge Congress someone else late."/>
    <x v="2"/>
    <x v="1"/>
    <d v="2024-05-19T00:00:00"/>
    <d v="2024-05-19T00:00:00"/>
    <n v="0"/>
    <x v="0"/>
    <x v="4"/>
  </r>
  <r>
    <x v="180"/>
    <x v="2"/>
    <x v="5"/>
    <x v="5"/>
    <s v="Move well cause reveal improve include business."/>
    <x v="1"/>
    <x v="4"/>
    <d v="2024-02-14T00:00:00"/>
    <d v="2024-02-14T00:00:00"/>
    <n v="0"/>
    <x v="0"/>
    <x v="0"/>
  </r>
  <r>
    <x v="181"/>
    <x v="4"/>
    <x v="4"/>
    <x v="3"/>
    <s v="Push heart discussion however receive film each past its I near."/>
    <x v="2"/>
    <x v="0"/>
    <d v="2024-01-01T00:00:00"/>
    <d v="2024-01-01T00:00:00"/>
    <n v="0"/>
    <x v="0"/>
    <x v="2"/>
  </r>
  <r>
    <x v="182"/>
    <x v="2"/>
    <x v="14"/>
    <x v="6"/>
    <s v="Whom run note send hold first build serious."/>
    <x v="0"/>
    <x v="2"/>
    <d v="2024-06-02T00:00:00"/>
    <d v="2024-06-03T00:00:00"/>
    <n v="1"/>
    <x v="1"/>
    <x v="1"/>
  </r>
  <r>
    <x v="183"/>
    <x v="3"/>
    <x v="6"/>
    <x v="4"/>
    <s v="Condition spring foot far avoid many wear line president."/>
    <x v="2"/>
    <x v="2"/>
    <d v="2024-02-18T00:00:00"/>
    <d v="2024-02-18T00:00:00"/>
    <n v="0"/>
    <x v="0"/>
    <x v="0"/>
  </r>
  <r>
    <x v="184"/>
    <x v="3"/>
    <x v="3"/>
    <x v="3"/>
    <s v="Likely view see important paper."/>
    <x v="2"/>
    <x v="3"/>
    <d v="2024-02-21T00:00:00"/>
    <d v="2024-02-21T00:00:00"/>
    <n v="0"/>
    <x v="0"/>
    <x v="0"/>
  </r>
  <r>
    <x v="185"/>
    <x v="0"/>
    <x v="7"/>
    <x v="0"/>
    <s v="Behind foreign after serve good skin knowledge hope."/>
    <x v="0"/>
    <x v="2"/>
    <d v="2024-03-29T00:00:00"/>
    <d v="2024-03-29T00:00:00"/>
    <n v="0"/>
    <x v="0"/>
    <x v="5"/>
  </r>
  <r>
    <x v="186"/>
    <x v="1"/>
    <x v="1"/>
    <x v="1"/>
    <s v="Item fund own as feel source way."/>
    <x v="1"/>
    <x v="0"/>
    <d v="2024-03-31T00:00:00"/>
    <d v="2024-03-31T00:00:00"/>
    <n v="0"/>
    <x v="0"/>
    <x v="5"/>
  </r>
  <r>
    <x v="187"/>
    <x v="3"/>
    <x v="6"/>
    <x v="1"/>
    <s v="Education through produce series last several record likely me."/>
    <x v="2"/>
    <x v="5"/>
    <d v="2024-06-07T00:00:00"/>
    <d v="2024-06-07T00:00:00"/>
    <n v="0"/>
    <x v="0"/>
    <x v="1"/>
  </r>
  <r>
    <x v="188"/>
    <x v="0"/>
    <x v="0"/>
    <x v="3"/>
    <s v="Yes explain why morning voice Republican again step old."/>
    <x v="1"/>
    <x v="1"/>
    <d v="2024-02-06T00:00:00"/>
    <d v="2024-02-06T00:00:00"/>
    <n v="0"/>
    <x v="0"/>
    <x v="0"/>
  </r>
  <r>
    <x v="189"/>
    <x v="2"/>
    <x v="5"/>
    <x v="4"/>
    <s v="Toward since civil away."/>
    <x v="2"/>
    <x v="2"/>
    <d v="2024-06-07T00:00:00"/>
    <d v="2024-06-07T00:00:00"/>
    <n v="0"/>
    <x v="0"/>
    <x v="1"/>
  </r>
  <r>
    <x v="190"/>
    <x v="2"/>
    <x v="2"/>
    <x v="3"/>
    <s v="Sport her radio look marriage."/>
    <x v="1"/>
    <x v="4"/>
    <d v="2024-01-01T00:00:00"/>
    <d v="2024-01-01T00:00:00"/>
    <n v="0"/>
    <x v="0"/>
    <x v="2"/>
  </r>
  <r>
    <x v="191"/>
    <x v="3"/>
    <x v="9"/>
    <x v="0"/>
    <s v="Against they event which whose."/>
    <x v="1"/>
    <x v="4"/>
    <d v="2024-03-03T00:00:00"/>
    <d v="2024-03-03T00:00:00"/>
    <n v="0"/>
    <x v="0"/>
    <x v="5"/>
  </r>
  <r>
    <x v="192"/>
    <x v="2"/>
    <x v="2"/>
    <x v="3"/>
    <s v="Top act about police fill."/>
    <x v="0"/>
    <x v="3"/>
    <d v="2024-01-19T00:00:00"/>
    <d v="2024-01-19T00:00:00"/>
    <n v="0"/>
    <x v="0"/>
    <x v="2"/>
  </r>
  <r>
    <x v="193"/>
    <x v="1"/>
    <x v="10"/>
    <x v="6"/>
    <s v="Soon especially expect he today entire protect risk radio."/>
    <x v="1"/>
    <x v="1"/>
    <d v="2024-04-25T00:00:00"/>
    <d v="2024-04-25T00:00:00"/>
    <n v="0"/>
    <x v="0"/>
    <x v="3"/>
  </r>
  <r>
    <x v="194"/>
    <x v="1"/>
    <x v="1"/>
    <x v="4"/>
    <s v="Decade natural stock hard someone."/>
    <x v="1"/>
    <x v="3"/>
    <d v="2024-06-02T00:00:00"/>
    <d v="2024-06-02T00:00:00"/>
    <n v="0"/>
    <x v="0"/>
    <x v="1"/>
  </r>
  <r>
    <x v="195"/>
    <x v="1"/>
    <x v="10"/>
    <x v="1"/>
    <s v="I what question until sister media receive list sound project floor."/>
    <x v="1"/>
    <x v="0"/>
    <d v="2024-05-03T00:00:00"/>
    <d v="2024-05-03T00:00:00"/>
    <n v="0"/>
    <x v="0"/>
    <x v="4"/>
  </r>
  <r>
    <x v="196"/>
    <x v="4"/>
    <x v="4"/>
    <x v="3"/>
    <s v="Drive that stay why imagine partner country care employee."/>
    <x v="1"/>
    <x v="0"/>
    <d v="2024-05-16T00:00:00"/>
    <d v="2024-05-16T00:00:00"/>
    <n v="0"/>
    <x v="0"/>
    <x v="4"/>
  </r>
  <r>
    <x v="197"/>
    <x v="0"/>
    <x v="0"/>
    <x v="0"/>
    <s v="Reduce discuss specific answer provide."/>
    <x v="0"/>
    <x v="0"/>
    <d v="2024-02-20T00:00:00"/>
    <d v="2024-02-20T00:00:00"/>
    <n v="0"/>
    <x v="0"/>
    <x v="0"/>
  </r>
  <r>
    <x v="198"/>
    <x v="1"/>
    <x v="1"/>
    <x v="1"/>
    <s v="Wait result relationship create throughout behind would."/>
    <x v="1"/>
    <x v="1"/>
    <d v="2024-06-02T00:00:00"/>
    <d v="2024-06-02T00:00:00"/>
    <n v="0"/>
    <x v="0"/>
    <x v="1"/>
  </r>
  <r>
    <x v="199"/>
    <x v="2"/>
    <x v="2"/>
    <x v="2"/>
    <s v="Away only happy quality even we take consider."/>
    <x v="1"/>
    <x v="2"/>
    <d v="2024-02-09T00:00:00"/>
    <d v="2024-02-09T00:00:00"/>
    <n v="0"/>
    <x v="0"/>
    <x v="0"/>
  </r>
  <r>
    <x v="200"/>
    <x v="3"/>
    <x v="3"/>
    <x v="3"/>
    <s v="Claim not expert information really course get politics region human."/>
    <x v="2"/>
    <x v="0"/>
    <d v="2024-06-01T00:00:00"/>
    <d v="2024-06-01T00:00:00"/>
    <n v="0"/>
    <x v="0"/>
    <x v="1"/>
  </r>
  <r>
    <x v="201"/>
    <x v="4"/>
    <x v="4"/>
    <x v="7"/>
    <s v="Top executive lead speak wrong choose decide."/>
    <x v="2"/>
    <x v="3"/>
    <d v="2024-01-13T00:00:00"/>
    <d v="2024-01-13T00:00:00"/>
    <n v="0"/>
    <x v="0"/>
    <x v="2"/>
  </r>
  <r>
    <x v="202"/>
    <x v="1"/>
    <x v="1"/>
    <x v="0"/>
    <s v="Home memory would as evening attorney amount."/>
    <x v="2"/>
    <x v="4"/>
    <d v="2024-02-16T00:00:00"/>
    <d v="2024-02-17T00:00:00"/>
    <n v="1"/>
    <x v="1"/>
    <x v="0"/>
  </r>
  <r>
    <x v="203"/>
    <x v="2"/>
    <x v="5"/>
    <x v="0"/>
    <s v="Teach pick expect on director go wide agent thousand force."/>
    <x v="2"/>
    <x v="4"/>
    <d v="2024-01-23T00:00:00"/>
    <d v="2024-01-24T00:00:00"/>
    <n v="1"/>
    <x v="1"/>
    <x v="2"/>
  </r>
  <r>
    <x v="204"/>
    <x v="2"/>
    <x v="5"/>
    <x v="2"/>
    <s v="Those too car yard early ever only such fall necessary."/>
    <x v="0"/>
    <x v="2"/>
    <d v="2024-04-18T00:00:00"/>
    <d v="2024-04-18T00:00:00"/>
    <n v="0"/>
    <x v="0"/>
    <x v="3"/>
  </r>
  <r>
    <x v="205"/>
    <x v="4"/>
    <x v="13"/>
    <x v="3"/>
    <s v="Final military play push make interview few approach professor this."/>
    <x v="2"/>
    <x v="5"/>
    <d v="2024-05-16T00:00:00"/>
    <d v="2024-05-16T00:00:00"/>
    <n v="0"/>
    <x v="0"/>
    <x v="4"/>
  </r>
  <r>
    <x v="206"/>
    <x v="3"/>
    <x v="6"/>
    <x v="2"/>
    <s v="Source per out arm tax all since seem animal."/>
    <x v="1"/>
    <x v="3"/>
    <d v="2024-04-02T00:00:00"/>
    <d v="2024-04-02T00:00:00"/>
    <n v="0"/>
    <x v="0"/>
    <x v="3"/>
  </r>
  <r>
    <x v="207"/>
    <x v="0"/>
    <x v="7"/>
    <x v="1"/>
    <s v="Third focus consider teacher also."/>
    <x v="1"/>
    <x v="2"/>
    <d v="2024-05-25T00:00:00"/>
    <d v="2024-05-25T00:00:00"/>
    <n v="0"/>
    <x v="0"/>
    <x v="4"/>
  </r>
  <r>
    <x v="208"/>
    <x v="0"/>
    <x v="8"/>
    <x v="3"/>
    <s v="Foreign conference data poor I somebody her ok relationship."/>
    <x v="2"/>
    <x v="4"/>
    <d v="2024-06-08T00:00:00"/>
    <d v="2024-06-08T00:00:00"/>
    <n v="0"/>
    <x v="0"/>
    <x v="1"/>
  </r>
  <r>
    <x v="209"/>
    <x v="3"/>
    <x v="3"/>
    <x v="2"/>
    <s v="Space customer social organization budget."/>
    <x v="1"/>
    <x v="5"/>
    <d v="2024-02-22T00:00:00"/>
    <d v="2024-02-22T00:00:00"/>
    <n v="0"/>
    <x v="0"/>
    <x v="0"/>
  </r>
  <r>
    <x v="210"/>
    <x v="0"/>
    <x v="0"/>
    <x v="4"/>
    <s v="Point improve road people street laugh conference myself us keep adult."/>
    <x v="0"/>
    <x v="2"/>
    <d v="2024-02-20T00:00:00"/>
    <d v="2024-02-20T00:00:00"/>
    <n v="0"/>
    <x v="0"/>
    <x v="0"/>
  </r>
  <r>
    <x v="211"/>
    <x v="3"/>
    <x v="9"/>
    <x v="4"/>
    <s v="Black guess argue especially perform."/>
    <x v="0"/>
    <x v="0"/>
    <d v="2024-06-09T00:00:00"/>
    <d v="2024-06-09T00:00:00"/>
    <n v="0"/>
    <x v="0"/>
    <x v="1"/>
  </r>
  <r>
    <x v="212"/>
    <x v="0"/>
    <x v="8"/>
    <x v="4"/>
    <s v="Miss what plant again ready."/>
    <x v="2"/>
    <x v="2"/>
    <d v="2024-01-05T00:00:00"/>
    <d v="2024-01-06T00:00:00"/>
    <n v="1"/>
    <x v="1"/>
    <x v="2"/>
  </r>
  <r>
    <x v="213"/>
    <x v="0"/>
    <x v="7"/>
    <x v="3"/>
    <s v="Mean often miss student coach how whose really everybody."/>
    <x v="0"/>
    <x v="0"/>
    <d v="2024-03-10T00:00:00"/>
    <d v="2024-03-10T00:00:00"/>
    <n v="0"/>
    <x v="0"/>
    <x v="5"/>
  </r>
  <r>
    <x v="214"/>
    <x v="1"/>
    <x v="10"/>
    <x v="3"/>
    <s v="Fire require economy wear already arrive."/>
    <x v="2"/>
    <x v="0"/>
    <d v="2024-04-23T00:00:00"/>
    <d v="2024-04-23T00:00:00"/>
    <n v="0"/>
    <x v="0"/>
    <x v="3"/>
  </r>
  <r>
    <x v="215"/>
    <x v="0"/>
    <x v="0"/>
    <x v="5"/>
    <s v="Draw certainly where several discussion lay."/>
    <x v="0"/>
    <x v="3"/>
    <d v="2024-01-05T00:00:00"/>
    <d v="2024-01-05T00:00:00"/>
    <n v="0"/>
    <x v="0"/>
    <x v="2"/>
  </r>
  <r>
    <x v="216"/>
    <x v="0"/>
    <x v="7"/>
    <x v="3"/>
    <s v="Traditional public reduce party guess."/>
    <x v="0"/>
    <x v="3"/>
    <d v="2024-02-04T00:00:00"/>
    <d v="2024-02-04T00:00:00"/>
    <n v="0"/>
    <x v="0"/>
    <x v="0"/>
  </r>
  <r>
    <x v="217"/>
    <x v="2"/>
    <x v="5"/>
    <x v="3"/>
    <s v="Lose prove tax thousand son."/>
    <x v="2"/>
    <x v="0"/>
    <d v="2024-02-07T00:00:00"/>
    <d v="2024-02-07T00:00:00"/>
    <n v="0"/>
    <x v="0"/>
    <x v="0"/>
  </r>
  <r>
    <x v="218"/>
    <x v="3"/>
    <x v="3"/>
    <x v="6"/>
    <s v="Rule company beat station building executive purpose bar choose week."/>
    <x v="2"/>
    <x v="0"/>
    <d v="2024-01-10T00:00:00"/>
    <d v="2024-01-10T00:00:00"/>
    <n v="0"/>
    <x v="0"/>
    <x v="2"/>
  </r>
  <r>
    <x v="219"/>
    <x v="3"/>
    <x v="9"/>
    <x v="3"/>
    <s v="Serve radio toward kind fall or prevent protect able."/>
    <x v="1"/>
    <x v="5"/>
    <d v="2024-05-01T00:00:00"/>
    <d v="2024-05-01T00:00:00"/>
    <n v="0"/>
    <x v="0"/>
    <x v="4"/>
  </r>
  <r>
    <x v="220"/>
    <x v="0"/>
    <x v="0"/>
    <x v="0"/>
    <s v="Energy upon compare my ahead where matter."/>
    <x v="0"/>
    <x v="2"/>
    <d v="2024-03-26T00:00:00"/>
    <d v="2024-03-26T00:00:00"/>
    <n v="0"/>
    <x v="0"/>
    <x v="5"/>
  </r>
  <r>
    <x v="221"/>
    <x v="1"/>
    <x v="11"/>
    <x v="4"/>
    <s v="Near marriage stuff later option determine."/>
    <x v="1"/>
    <x v="1"/>
    <d v="2024-01-31T00:00:00"/>
    <d v="2024-01-31T00:00:00"/>
    <n v="0"/>
    <x v="0"/>
    <x v="2"/>
  </r>
  <r>
    <x v="222"/>
    <x v="4"/>
    <x v="12"/>
    <x v="7"/>
    <s v="She community worry improve response result get its fly box."/>
    <x v="2"/>
    <x v="5"/>
    <d v="2024-04-10T00:00:00"/>
    <d v="2024-04-10T00:00:00"/>
    <n v="0"/>
    <x v="0"/>
    <x v="3"/>
  </r>
  <r>
    <x v="223"/>
    <x v="4"/>
    <x v="13"/>
    <x v="1"/>
    <s v="Contain area start each reason."/>
    <x v="1"/>
    <x v="4"/>
    <d v="2024-01-24T00:00:00"/>
    <d v="2024-01-25T00:00:00"/>
    <n v="1"/>
    <x v="1"/>
    <x v="2"/>
  </r>
  <r>
    <x v="224"/>
    <x v="1"/>
    <x v="1"/>
    <x v="7"/>
    <s v="Image enough reach her staff everyone minute shake."/>
    <x v="0"/>
    <x v="3"/>
    <d v="2024-01-10T00:00:00"/>
    <d v="2024-01-10T00:00:00"/>
    <n v="0"/>
    <x v="0"/>
    <x v="2"/>
  </r>
  <r>
    <x v="225"/>
    <x v="0"/>
    <x v="0"/>
    <x v="3"/>
    <s v="Usually former stay age both safe."/>
    <x v="0"/>
    <x v="1"/>
    <d v="2024-01-31T00:00:00"/>
    <d v="2024-01-31T00:00:00"/>
    <n v="0"/>
    <x v="0"/>
    <x v="2"/>
  </r>
  <r>
    <x v="226"/>
    <x v="2"/>
    <x v="5"/>
    <x v="3"/>
    <s v="Kid almost establish explain record operation."/>
    <x v="2"/>
    <x v="0"/>
    <d v="2024-05-18T00:00:00"/>
    <d v="2024-05-18T00:00:00"/>
    <n v="0"/>
    <x v="0"/>
    <x v="4"/>
  </r>
  <r>
    <x v="227"/>
    <x v="0"/>
    <x v="0"/>
    <x v="5"/>
    <s v="Maybe shoulder either tend church ago city."/>
    <x v="1"/>
    <x v="1"/>
    <d v="2024-02-08T00:00:00"/>
    <d v="2024-02-08T00:00:00"/>
    <n v="0"/>
    <x v="0"/>
    <x v="0"/>
  </r>
  <r>
    <x v="228"/>
    <x v="0"/>
    <x v="8"/>
    <x v="4"/>
    <s v="Discuss lead miss run paper."/>
    <x v="1"/>
    <x v="3"/>
    <d v="2024-01-13T00:00:00"/>
    <d v="2024-01-13T00:00:00"/>
    <n v="0"/>
    <x v="0"/>
    <x v="2"/>
  </r>
  <r>
    <x v="229"/>
    <x v="3"/>
    <x v="3"/>
    <x v="5"/>
    <s v="Well arm exactly action."/>
    <x v="1"/>
    <x v="3"/>
    <d v="2024-04-25T00:00:00"/>
    <d v="2024-04-25T00:00:00"/>
    <n v="0"/>
    <x v="0"/>
    <x v="3"/>
  </r>
  <r>
    <x v="230"/>
    <x v="0"/>
    <x v="7"/>
    <x v="5"/>
    <s v="Energy care policy manage political customer tree dinner behavior region."/>
    <x v="2"/>
    <x v="1"/>
    <d v="2024-01-28T00:00:00"/>
    <d v="2024-01-28T00:00:00"/>
    <n v="0"/>
    <x v="0"/>
    <x v="2"/>
  </r>
  <r>
    <x v="231"/>
    <x v="3"/>
    <x v="9"/>
    <x v="6"/>
    <s v="Growth enjoy program ground charge parent listen so."/>
    <x v="0"/>
    <x v="4"/>
    <d v="2024-03-07T00:00:00"/>
    <d v="2024-03-07T00:00:00"/>
    <n v="0"/>
    <x v="0"/>
    <x v="5"/>
  </r>
  <r>
    <x v="232"/>
    <x v="0"/>
    <x v="0"/>
    <x v="3"/>
    <s v="About guess reality vote task any right."/>
    <x v="2"/>
    <x v="3"/>
    <d v="2024-06-06T00:00:00"/>
    <d v="2024-06-06T00:00:00"/>
    <n v="0"/>
    <x v="0"/>
    <x v="1"/>
  </r>
  <r>
    <x v="233"/>
    <x v="1"/>
    <x v="10"/>
    <x v="0"/>
    <s v="Upon again fund yet customer plant job."/>
    <x v="0"/>
    <x v="2"/>
    <d v="2024-05-02T00:00:00"/>
    <d v="2024-05-02T00:00:00"/>
    <n v="0"/>
    <x v="0"/>
    <x v="4"/>
  </r>
  <r>
    <x v="234"/>
    <x v="1"/>
    <x v="10"/>
    <x v="1"/>
    <s v="Must leader benefit phone nothing authority civil PM game."/>
    <x v="2"/>
    <x v="1"/>
    <d v="2024-02-04T00:00:00"/>
    <d v="2024-02-04T00:00:00"/>
    <n v="0"/>
    <x v="0"/>
    <x v="0"/>
  </r>
  <r>
    <x v="235"/>
    <x v="0"/>
    <x v="7"/>
    <x v="4"/>
    <s v="Husband majority perhaps seven ground strong focus."/>
    <x v="0"/>
    <x v="0"/>
    <d v="2024-02-23T00:00:00"/>
    <d v="2024-02-23T00:00:00"/>
    <n v="0"/>
    <x v="0"/>
    <x v="0"/>
  </r>
  <r>
    <x v="236"/>
    <x v="4"/>
    <x v="13"/>
    <x v="4"/>
    <s v="Mention identify meet condition produce agent none authority travel attack."/>
    <x v="2"/>
    <x v="1"/>
    <d v="2024-03-08T00:00:00"/>
    <d v="2024-03-08T00:00:00"/>
    <n v="0"/>
    <x v="0"/>
    <x v="5"/>
  </r>
  <r>
    <x v="237"/>
    <x v="4"/>
    <x v="13"/>
    <x v="3"/>
    <s v="Director so decade improve property social."/>
    <x v="1"/>
    <x v="1"/>
    <d v="2024-04-15T00:00:00"/>
    <d v="2024-04-15T00:00:00"/>
    <n v="0"/>
    <x v="0"/>
    <x v="3"/>
  </r>
  <r>
    <x v="238"/>
    <x v="4"/>
    <x v="12"/>
    <x v="2"/>
    <s v="Expert fund remain meet view without seven rich."/>
    <x v="2"/>
    <x v="0"/>
    <d v="2024-04-12T00:00:00"/>
    <d v="2024-04-12T00:00:00"/>
    <n v="0"/>
    <x v="0"/>
    <x v="3"/>
  </r>
  <r>
    <x v="239"/>
    <x v="1"/>
    <x v="1"/>
    <x v="2"/>
    <s v="Assume whom political according way over other."/>
    <x v="1"/>
    <x v="3"/>
    <d v="2024-05-22T00:00:00"/>
    <d v="2024-05-22T00:00:00"/>
    <n v="0"/>
    <x v="0"/>
    <x v="4"/>
  </r>
  <r>
    <x v="240"/>
    <x v="2"/>
    <x v="2"/>
    <x v="2"/>
    <s v="Employee view computer particularly successful."/>
    <x v="2"/>
    <x v="3"/>
    <d v="2024-01-30T00:00:00"/>
    <d v="2024-01-30T00:00:00"/>
    <n v="0"/>
    <x v="0"/>
    <x v="2"/>
  </r>
  <r>
    <x v="241"/>
    <x v="2"/>
    <x v="2"/>
    <x v="5"/>
    <s v="Theory type break picture choose son professor."/>
    <x v="2"/>
    <x v="1"/>
    <d v="2024-05-06T00:00:00"/>
    <d v="2024-05-06T00:00:00"/>
    <n v="0"/>
    <x v="0"/>
    <x v="4"/>
  </r>
  <r>
    <x v="242"/>
    <x v="0"/>
    <x v="0"/>
    <x v="3"/>
    <s v="Under woman individual baby do."/>
    <x v="0"/>
    <x v="0"/>
    <d v="2024-05-27T00:00:00"/>
    <d v="2024-05-27T00:00:00"/>
    <n v="0"/>
    <x v="0"/>
    <x v="4"/>
  </r>
  <r>
    <x v="243"/>
    <x v="0"/>
    <x v="0"/>
    <x v="3"/>
    <s v="Available represent notice subject knowledge."/>
    <x v="2"/>
    <x v="4"/>
    <d v="2024-03-21T00:00:00"/>
    <d v="2024-03-21T00:00:00"/>
    <n v="0"/>
    <x v="0"/>
    <x v="5"/>
  </r>
  <r>
    <x v="244"/>
    <x v="4"/>
    <x v="12"/>
    <x v="5"/>
    <s v="View wind small share energy fire arrive."/>
    <x v="2"/>
    <x v="2"/>
    <d v="2024-05-27T00:00:00"/>
    <d v="2024-05-27T00:00:00"/>
    <n v="0"/>
    <x v="0"/>
    <x v="4"/>
  </r>
  <r>
    <x v="245"/>
    <x v="4"/>
    <x v="4"/>
    <x v="2"/>
    <s v="College top with especially type how fire station four throughout."/>
    <x v="2"/>
    <x v="2"/>
    <d v="2024-04-08T00:00:00"/>
    <d v="2024-04-08T00:00:00"/>
    <n v="0"/>
    <x v="0"/>
    <x v="3"/>
  </r>
  <r>
    <x v="246"/>
    <x v="4"/>
    <x v="13"/>
    <x v="7"/>
    <s v="Region career speak figure role someone doctor young itself."/>
    <x v="2"/>
    <x v="0"/>
    <d v="2024-01-01T00:00:00"/>
    <d v="2024-01-01T00:00:00"/>
    <n v="0"/>
    <x v="0"/>
    <x v="2"/>
  </r>
  <r>
    <x v="247"/>
    <x v="0"/>
    <x v="0"/>
    <x v="6"/>
    <s v="All page he she decision protect head."/>
    <x v="0"/>
    <x v="4"/>
    <d v="2024-06-09T00:00:00"/>
    <d v="2024-06-09T00:00:00"/>
    <n v="0"/>
    <x v="0"/>
    <x v="1"/>
  </r>
  <r>
    <x v="248"/>
    <x v="2"/>
    <x v="14"/>
    <x v="1"/>
    <s v="Week act of piece kitchen technology drive blood."/>
    <x v="0"/>
    <x v="3"/>
    <d v="2024-05-11T00:00:00"/>
    <d v="2024-05-11T00:00:00"/>
    <n v="0"/>
    <x v="0"/>
    <x v="4"/>
  </r>
  <r>
    <x v="249"/>
    <x v="0"/>
    <x v="0"/>
    <x v="4"/>
    <s v="Back study similar what paper job church energy."/>
    <x v="0"/>
    <x v="0"/>
    <d v="2024-04-23T00:00:00"/>
    <d v="2024-04-23T00:00:00"/>
    <n v="0"/>
    <x v="0"/>
    <x v="3"/>
  </r>
  <r>
    <x v="250"/>
    <x v="1"/>
    <x v="10"/>
    <x v="3"/>
    <s v="Manager PM recent yes example word wide source far."/>
    <x v="2"/>
    <x v="2"/>
    <d v="2024-05-11T00:00:00"/>
    <d v="2024-05-11T00:00:00"/>
    <n v="0"/>
    <x v="0"/>
    <x v="4"/>
  </r>
  <r>
    <x v="251"/>
    <x v="3"/>
    <x v="9"/>
    <x v="5"/>
    <s v="Clearly around yeah network top available another save dog."/>
    <x v="0"/>
    <x v="5"/>
    <d v="2024-01-13T00:00:00"/>
    <d v="2024-01-14T00:00:00"/>
    <n v="1"/>
    <x v="1"/>
    <x v="2"/>
  </r>
  <r>
    <x v="252"/>
    <x v="3"/>
    <x v="9"/>
    <x v="4"/>
    <s v="Present style baby street board popular onto seven technology."/>
    <x v="1"/>
    <x v="4"/>
    <d v="2024-05-19T00:00:00"/>
    <d v="2024-05-19T00:00:00"/>
    <n v="0"/>
    <x v="0"/>
    <x v="4"/>
  </r>
  <r>
    <x v="253"/>
    <x v="0"/>
    <x v="7"/>
    <x v="6"/>
    <s v="Nature something president seven person between board hand myself they."/>
    <x v="0"/>
    <x v="4"/>
    <d v="2024-04-14T00:00:00"/>
    <d v="2024-04-14T00:00:00"/>
    <n v="0"/>
    <x v="0"/>
    <x v="3"/>
  </r>
  <r>
    <x v="254"/>
    <x v="3"/>
    <x v="6"/>
    <x v="3"/>
    <s v="Adult either work amount its other theory instead."/>
    <x v="1"/>
    <x v="5"/>
    <d v="2024-04-07T00:00:00"/>
    <d v="2024-04-07T00:00:00"/>
    <n v="0"/>
    <x v="0"/>
    <x v="3"/>
  </r>
  <r>
    <x v="255"/>
    <x v="1"/>
    <x v="10"/>
    <x v="1"/>
    <s v="Main model hand attorney mind parent guess or."/>
    <x v="2"/>
    <x v="4"/>
    <d v="2024-05-04T00:00:00"/>
    <d v="2024-05-04T00:00:00"/>
    <n v="0"/>
    <x v="0"/>
    <x v="4"/>
  </r>
  <r>
    <x v="256"/>
    <x v="0"/>
    <x v="0"/>
    <x v="2"/>
    <s v="Society front yourself sister data although."/>
    <x v="0"/>
    <x v="4"/>
    <d v="2024-02-20T00:00:00"/>
    <d v="2024-02-20T00:00:00"/>
    <n v="0"/>
    <x v="0"/>
    <x v="0"/>
  </r>
  <r>
    <x v="257"/>
    <x v="2"/>
    <x v="5"/>
    <x v="3"/>
    <s v="Put issue window late audience Congress friend available impact."/>
    <x v="2"/>
    <x v="2"/>
    <d v="2024-05-18T00:00:00"/>
    <d v="2024-05-18T00:00:00"/>
    <n v="0"/>
    <x v="0"/>
    <x v="4"/>
  </r>
  <r>
    <x v="258"/>
    <x v="0"/>
    <x v="7"/>
    <x v="5"/>
    <s v="Success summer off really public pull."/>
    <x v="1"/>
    <x v="5"/>
    <d v="2024-04-08T00:00:00"/>
    <d v="2024-04-08T00:00:00"/>
    <n v="0"/>
    <x v="0"/>
    <x v="3"/>
  </r>
  <r>
    <x v="259"/>
    <x v="0"/>
    <x v="8"/>
    <x v="7"/>
    <s v="Else support number prevent hand church win help."/>
    <x v="1"/>
    <x v="4"/>
    <d v="2024-03-01T00:00:00"/>
    <d v="2024-03-01T00:00:00"/>
    <n v="0"/>
    <x v="0"/>
    <x v="5"/>
  </r>
  <r>
    <x v="260"/>
    <x v="2"/>
    <x v="5"/>
    <x v="3"/>
    <s v="Interesting image protect early trip fine manage."/>
    <x v="2"/>
    <x v="0"/>
    <d v="2024-05-09T00:00:00"/>
    <d v="2024-05-09T00:00:00"/>
    <n v="0"/>
    <x v="0"/>
    <x v="4"/>
  </r>
  <r>
    <x v="261"/>
    <x v="2"/>
    <x v="14"/>
    <x v="2"/>
    <s v="More foot culture right happen."/>
    <x v="2"/>
    <x v="0"/>
    <d v="2024-01-18T00:00:00"/>
    <d v="2024-01-18T00:00:00"/>
    <n v="0"/>
    <x v="0"/>
    <x v="2"/>
  </r>
  <r>
    <x v="262"/>
    <x v="0"/>
    <x v="7"/>
    <x v="4"/>
    <s v="Choice become knowledge once until try media inside."/>
    <x v="0"/>
    <x v="0"/>
    <d v="2024-05-27T00:00:00"/>
    <d v="2024-05-27T00:00:00"/>
    <n v="0"/>
    <x v="0"/>
    <x v="4"/>
  </r>
  <r>
    <x v="263"/>
    <x v="2"/>
    <x v="2"/>
    <x v="1"/>
    <s v="Both modern any item small information according full side risk."/>
    <x v="1"/>
    <x v="1"/>
    <d v="2024-04-24T00:00:00"/>
    <d v="2024-04-24T00:00:00"/>
    <n v="0"/>
    <x v="0"/>
    <x v="3"/>
  </r>
  <r>
    <x v="264"/>
    <x v="0"/>
    <x v="0"/>
    <x v="4"/>
    <s v="Physical threat purpose these quality key rich."/>
    <x v="1"/>
    <x v="2"/>
    <d v="2024-01-03T00:00:00"/>
    <d v="2024-01-03T00:00:00"/>
    <n v="0"/>
    <x v="0"/>
    <x v="2"/>
  </r>
  <r>
    <x v="265"/>
    <x v="2"/>
    <x v="14"/>
    <x v="0"/>
    <s v="Firm during notice investment draw safe wind party."/>
    <x v="0"/>
    <x v="3"/>
    <d v="2024-04-26T00:00:00"/>
    <d v="2024-04-26T00:00:00"/>
    <n v="0"/>
    <x v="0"/>
    <x v="3"/>
  </r>
  <r>
    <x v="266"/>
    <x v="1"/>
    <x v="11"/>
    <x v="1"/>
    <s v="Sport look forget feel property less kid."/>
    <x v="2"/>
    <x v="1"/>
    <d v="2024-02-23T00:00:00"/>
    <d v="2024-02-23T00:00:00"/>
    <n v="0"/>
    <x v="0"/>
    <x v="0"/>
  </r>
  <r>
    <x v="267"/>
    <x v="2"/>
    <x v="14"/>
    <x v="1"/>
    <s v="Notice age how social camera personal."/>
    <x v="0"/>
    <x v="2"/>
    <d v="2024-04-15T00:00:00"/>
    <d v="2024-04-15T00:00:00"/>
    <n v="0"/>
    <x v="0"/>
    <x v="3"/>
  </r>
  <r>
    <x v="268"/>
    <x v="1"/>
    <x v="10"/>
    <x v="6"/>
    <s v="Address individual doctor fine."/>
    <x v="0"/>
    <x v="3"/>
    <d v="2024-04-04T00:00:00"/>
    <d v="2024-04-04T00:00:00"/>
    <n v="0"/>
    <x v="0"/>
    <x v="3"/>
  </r>
  <r>
    <x v="269"/>
    <x v="1"/>
    <x v="11"/>
    <x v="0"/>
    <s v="Window international always cause break set suffer thank order."/>
    <x v="1"/>
    <x v="3"/>
    <d v="2024-05-25T00:00:00"/>
    <d v="2024-05-25T00:00:00"/>
    <n v="0"/>
    <x v="0"/>
    <x v="4"/>
  </r>
  <r>
    <x v="270"/>
    <x v="1"/>
    <x v="11"/>
    <x v="1"/>
    <s v="Nothing manage nice move action those here."/>
    <x v="1"/>
    <x v="3"/>
    <d v="2024-04-06T00:00:00"/>
    <d v="2024-04-06T00:00:00"/>
    <n v="0"/>
    <x v="0"/>
    <x v="3"/>
  </r>
  <r>
    <x v="271"/>
    <x v="0"/>
    <x v="7"/>
    <x v="6"/>
    <s v="Rather end it employee."/>
    <x v="1"/>
    <x v="1"/>
    <d v="2024-03-20T00:00:00"/>
    <d v="2024-03-20T00:00:00"/>
    <n v="0"/>
    <x v="0"/>
    <x v="5"/>
  </r>
  <r>
    <x v="272"/>
    <x v="1"/>
    <x v="10"/>
    <x v="1"/>
    <s v="Themselves easy picture third share individual do now."/>
    <x v="1"/>
    <x v="2"/>
    <d v="2024-03-09T00:00:00"/>
    <d v="2024-03-09T00:00:00"/>
    <n v="0"/>
    <x v="0"/>
    <x v="5"/>
  </r>
  <r>
    <x v="273"/>
    <x v="0"/>
    <x v="8"/>
    <x v="2"/>
    <s v="Occur dream one late character pressure."/>
    <x v="0"/>
    <x v="3"/>
    <d v="2024-05-22T00:00:00"/>
    <d v="2024-05-22T00:00:00"/>
    <n v="0"/>
    <x v="0"/>
    <x v="4"/>
  </r>
  <r>
    <x v="274"/>
    <x v="2"/>
    <x v="2"/>
    <x v="6"/>
    <s v="Simply company choice recently least cover crime."/>
    <x v="0"/>
    <x v="2"/>
    <d v="2024-05-04T00:00:00"/>
    <d v="2024-05-04T00:00:00"/>
    <n v="0"/>
    <x v="0"/>
    <x v="4"/>
  </r>
  <r>
    <x v="275"/>
    <x v="4"/>
    <x v="12"/>
    <x v="6"/>
    <s v="Hit they you store."/>
    <x v="2"/>
    <x v="4"/>
    <d v="2024-02-14T00:00:00"/>
    <d v="2024-02-14T00:00:00"/>
    <n v="0"/>
    <x v="0"/>
    <x v="0"/>
  </r>
  <r>
    <x v="276"/>
    <x v="2"/>
    <x v="14"/>
    <x v="4"/>
    <s v="Administration opportunity education represent here."/>
    <x v="0"/>
    <x v="3"/>
    <d v="2024-03-05T00:00:00"/>
    <d v="2024-03-05T00:00:00"/>
    <n v="0"/>
    <x v="0"/>
    <x v="5"/>
  </r>
  <r>
    <x v="277"/>
    <x v="0"/>
    <x v="0"/>
    <x v="3"/>
    <s v="Reason new discover decide buy free contain any eat make he."/>
    <x v="0"/>
    <x v="2"/>
    <d v="2024-04-27T00:00:00"/>
    <d v="2024-04-27T00:00:00"/>
    <n v="0"/>
    <x v="0"/>
    <x v="3"/>
  </r>
  <r>
    <x v="278"/>
    <x v="3"/>
    <x v="3"/>
    <x v="7"/>
    <s v="Such act sort decision lose card history many."/>
    <x v="2"/>
    <x v="0"/>
    <d v="2024-04-14T00:00:00"/>
    <d v="2024-04-14T00:00:00"/>
    <n v="0"/>
    <x v="0"/>
    <x v="3"/>
  </r>
  <r>
    <x v="279"/>
    <x v="3"/>
    <x v="3"/>
    <x v="5"/>
    <s v="Coach everybody meet red fire nothing parent like here."/>
    <x v="0"/>
    <x v="4"/>
    <d v="2024-02-17T00:00:00"/>
    <d v="2024-02-17T00:00:00"/>
    <n v="0"/>
    <x v="0"/>
    <x v="0"/>
  </r>
  <r>
    <x v="280"/>
    <x v="2"/>
    <x v="5"/>
    <x v="4"/>
    <s v="Operation citizen rich environmental wrong example prepare."/>
    <x v="0"/>
    <x v="2"/>
    <d v="2024-03-26T00:00:00"/>
    <d v="2024-03-26T00:00:00"/>
    <n v="0"/>
    <x v="0"/>
    <x v="5"/>
  </r>
  <r>
    <x v="281"/>
    <x v="0"/>
    <x v="8"/>
    <x v="3"/>
    <s v="Rather about give dinner when instead since seven."/>
    <x v="1"/>
    <x v="0"/>
    <d v="2024-05-26T00:00:00"/>
    <d v="2024-05-26T00:00:00"/>
    <n v="0"/>
    <x v="0"/>
    <x v="4"/>
  </r>
  <r>
    <x v="282"/>
    <x v="2"/>
    <x v="14"/>
    <x v="3"/>
    <s v="Paper rich particularly country pay."/>
    <x v="1"/>
    <x v="1"/>
    <d v="2024-04-27T00:00:00"/>
    <d v="2024-04-27T00:00:00"/>
    <n v="0"/>
    <x v="0"/>
    <x v="3"/>
  </r>
  <r>
    <x v="283"/>
    <x v="3"/>
    <x v="9"/>
    <x v="7"/>
    <s v="Without use peace good apply activity make."/>
    <x v="2"/>
    <x v="4"/>
    <d v="2024-05-09T00:00:00"/>
    <d v="2024-05-09T00:00:00"/>
    <n v="0"/>
    <x v="0"/>
    <x v="4"/>
  </r>
  <r>
    <x v="284"/>
    <x v="0"/>
    <x v="0"/>
    <x v="6"/>
    <s v="Change concern factor green store worry well."/>
    <x v="1"/>
    <x v="3"/>
    <d v="2024-03-07T00:00:00"/>
    <d v="2024-03-07T00:00:00"/>
    <n v="0"/>
    <x v="0"/>
    <x v="5"/>
  </r>
  <r>
    <x v="285"/>
    <x v="0"/>
    <x v="8"/>
    <x v="6"/>
    <s v="Nature why once number idea owner power wait."/>
    <x v="0"/>
    <x v="3"/>
    <d v="2024-04-19T00:00:00"/>
    <d v="2024-04-19T00:00:00"/>
    <n v="0"/>
    <x v="0"/>
    <x v="3"/>
  </r>
  <r>
    <x v="286"/>
    <x v="4"/>
    <x v="4"/>
    <x v="7"/>
    <s v="Treatment clearly teach argue."/>
    <x v="1"/>
    <x v="5"/>
    <d v="2024-01-29T00:00:00"/>
    <d v="2024-01-29T00:00:00"/>
    <n v="0"/>
    <x v="0"/>
    <x v="2"/>
  </r>
  <r>
    <x v="287"/>
    <x v="0"/>
    <x v="0"/>
    <x v="4"/>
    <s v="Prepare effect strong sure sister yes."/>
    <x v="1"/>
    <x v="4"/>
    <d v="2024-03-15T00:00:00"/>
    <d v="2024-03-15T00:00:00"/>
    <n v="0"/>
    <x v="0"/>
    <x v="5"/>
  </r>
  <r>
    <x v="288"/>
    <x v="2"/>
    <x v="14"/>
    <x v="3"/>
    <s v="The scene employee of area stop them character southern."/>
    <x v="2"/>
    <x v="5"/>
    <d v="2024-03-21T00:00:00"/>
    <d v="2024-03-21T00:00:00"/>
    <n v="0"/>
    <x v="0"/>
    <x v="5"/>
  </r>
  <r>
    <x v="289"/>
    <x v="1"/>
    <x v="1"/>
    <x v="6"/>
    <s v="Activity drug agreement western hold himself very."/>
    <x v="2"/>
    <x v="1"/>
    <d v="2024-05-02T00:00:00"/>
    <d v="2024-05-02T00:00:00"/>
    <n v="0"/>
    <x v="0"/>
    <x v="4"/>
  </r>
  <r>
    <x v="290"/>
    <x v="3"/>
    <x v="6"/>
    <x v="5"/>
    <s v="Book degree new data night last focus it during into blood."/>
    <x v="1"/>
    <x v="2"/>
    <d v="2024-01-10T00:00:00"/>
    <d v="2024-01-10T00:00:00"/>
    <n v="0"/>
    <x v="0"/>
    <x v="2"/>
  </r>
  <r>
    <x v="291"/>
    <x v="0"/>
    <x v="0"/>
    <x v="1"/>
    <s v="Material ok ask attorney end simply image summer oil."/>
    <x v="0"/>
    <x v="0"/>
    <d v="2024-04-17T00:00:00"/>
    <d v="2024-04-17T00:00:00"/>
    <n v="0"/>
    <x v="0"/>
    <x v="3"/>
  </r>
  <r>
    <x v="292"/>
    <x v="1"/>
    <x v="1"/>
    <x v="2"/>
    <s v="Against manager reveal you down sing floor finally meeting main."/>
    <x v="1"/>
    <x v="4"/>
    <d v="2024-03-22T00:00:00"/>
    <d v="2024-03-22T00:00:00"/>
    <n v="0"/>
    <x v="0"/>
    <x v="5"/>
  </r>
  <r>
    <x v="293"/>
    <x v="2"/>
    <x v="2"/>
    <x v="6"/>
    <s v="Might bit group two court manage particularly meeting station relate."/>
    <x v="2"/>
    <x v="0"/>
    <d v="2024-03-05T00:00:00"/>
    <d v="2024-03-05T00:00:00"/>
    <n v="0"/>
    <x v="0"/>
    <x v="5"/>
  </r>
  <r>
    <x v="294"/>
    <x v="1"/>
    <x v="11"/>
    <x v="4"/>
    <s v="Six local itself size commercial."/>
    <x v="1"/>
    <x v="2"/>
    <d v="2024-01-30T00:00:00"/>
    <d v="2024-01-30T00:00:00"/>
    <n v="0"/>
    <x v="0"/>
    <x v="2"/>
  </r>
  <r>
    <x v="295"/>
    <x v="4"/>
    <x v="12"/>
    <x v="3"/>
    <s v="Democrat sound pattern how author include design bill poor television."/>
    <x v="2"/>
    <x v="5"/>
    <d v="2024-01-12T00:00:00"/>
    <d v="2024-01-12T00:00:00"/>
    <n v="0"/>
    <x v="0"/>
    <x v="2"/>
  </r>
  <r>
    <x v="296"/>
    <x v="4"/>
    <x v="13"/>
    <x v="6"/>
    <s v="Special effort provide interview word fight."/>
    <x v="1"/>
    <x v="4"/>
    <d v="2024-05-21T00:00:00"/>
    <d v="2024-05-21T00:00:00"/>
    <n v="0"/>
    <x v="0"/>
    <x v="4"/>
  </r>
  <r>
    <x v="297"/>
    <x v="2"/>
    <x v="5"/>
    <x v="6"/>
    <s v="Church like half activity first chance bad head standard kitchen."/>
    <x v="2"/>
    <x v="1"/>
    <d v="2024-05-03T00:00:00"/>
    <d v="2024-05-03T00:00:00"/>
    <n v="0"/>
    <x v="0"/>
    <x v="4"/>
  </r>
  <r>
    <x v="298"/>
    <x v="4"/>
    <x v="13"/>
    <x v="2"/>
    <s v="Entire necessary without front throughout office political."/>
    <x v="2"/>
    <x v="5"/>
    <d v="2024-05-09T00:00:00"/>
    <d v="2024-05-09T00:00:00"/>
    <n v="0"/>
    <x v="0"/>
    <x v="4"/>
  </r>
  <r>
    <x v="299"/>
    <x v="4"/>
    <x v="4"/>
    <x v="7"/>
    <s v="Traditional major already husband with follow sign purpose."/>
    <x v="1"/>
    <x v="5"/>
    <d v="2024-06-18T00:00:00"/>
    <d v="2024-06-18T00:00:00"/>
    <n v="0"/>
    <x v="0"/>
    <x v="1"/>
  </r>
  <r>
    <x v="300"/>
    <x v="2"/>
    <x v="5"/>
    <x v="7"/>
    <s v="Thus camera mother structure will society tell whom amount should campaign."/>
    <x v="0"/>
    <x v="3"/>
    <d v="2024-04-30T00:00:00"/>
    <d v="2024-04-30T00:00:00"/>
    <n v="0"/>
    <x v="0"/>
    <x v="3"/>
  </r>
  <r>
    <x v="301"/>
    <x v="4"/>
    <x v="13"/>
    <x v="3"/>
    <s v="Action year argue usually ground clear war interview garden brother."/>
    <x v="1"/>
    <x v="2"/>
    <d v="2024-04-09T00:00:00"/>
    <d v="2024-04-09T00:00:00"/>
    <n v="0"/>
    <x v="0"/>
    <x v="3"/>
  </r>
  <r>
    <x v="302"/>
    <x v="3"/>
    <x v="9"/>
    <x v="1"/>
    <s v="Thus red senior term movie fall less."/>
    <x v="2"/>
    <x v="3"/>
    <d v="2024-04-26T00:00:00"/>
    <d v="2024-04-26T00:00:00"/>
    <n v="0"/>
    <x v="0"/>
    <x v="3"/>
  </r>
  <r>
    <x v="303"/>
    <x v="2"/>
    <x v="5"/>
    <x v="2"/>
    <s v="Stand reveal story compare mean last war stock happen book."/>
    <x v="2"/>
    <x v="4"/>
    <d v="2024-03-05T00:00:00"/>
    <d v="2024-03-06T00:00:00"/>
    <n v="1"/>
    <x v="1"/>
    <x v="5"/>
  </r>
  <r>
    <x v="304"/>
    <x v="2"/>
    <x v="2"/>
    <x v="3"/>
    <s v="Pull official father political marriage traditional can perhaps."/>
    <x v="2"/>
    <x v="2"/>
    <d v="2024-05-18T00:00:00"/>
    <d v="2024-05-18T00:00:00"/>
    <n v="0"/>
    <x v="0"/>
    <x v="4"/>
  </r>
  <r>
    <x v="305"/>
    <x v="0"/>
    <x v="8"/>
    <x v="5"/>
    <s v="Worry time notice happen close daughter case."/>
    <x v="0"/>
    <x v="5"/>
    <d v="2024-03-09T00:00:00"/>
    <d v="2024-03-09T00:00:00"/>
    <n v="0"/>
    <x v="0"/>
    <x v="5"/>
  </r>
  <r>
    <x v="306"/>
    <x v="4"/>
    <x v="12"/>
    <x v="0"/>
    <s v="Parent outside fact base clear."/>
    <x v="2"/>
    <x v="3"/>
    <d v="2024-01-27T00:00:00"/>
    <d v="2024-01-27T00:00:00"/>
    <n v="0"/>
    <x v="0"/>
    <x v="2"/>
  </r>
  <r>
    <x v="307"/>
    <x v="2"/>
    <x v="14"/>
    <x v="3"/>
    <s v="Different interesting who both board lot course road drop around."/>
    <x v="1"/>
    <x v="4"/>
    <d v="2024-01-22T00:00:00"/>
    <d v="2024-01-22T00:00:00"/>
    <n v="0"/>
    <x v="0"/>
    <x v="2"/>
  </r>
  <r>
    <x v="308"/>
    <x v="1"/>
    <x v="11"/>
    <x v="3"/>
    <s v="Call exactly protect order their lose organization money."/>
    <x v="1"/>
    <x v="4"/>
    <d v="2024-03-27T00:00:00"/>
    <d v="2024-03-28T00:00:00"/>
    <n v="1"/>
    <x v="1"/>
    <x v="5"/>
  </r>
  <r>
    <x v="309"/>
    <x v="3"/>
    <x v="3"/>
    <x v="3"/>
    <s v="Describe account run hope turn run organization employee."/>
    <x v="0"/>
    <x v="1"/>
    <d v="2024-03-14T00:00:00"/>
    <d v="2024-03-14T00:00:00"/>
    <n v="0"/>
    <x v="0"/>
    <x v="5"/>
  </r>
  <r>
    <x v="310"/>
    <x v="0"/>
    <x v="7"/>
    <x v="4"/>
    <s v="Their shoulder involve opportunity present he market positive."/>
    <x v="0"/>
    <x v="4"/>
    <d v="2024-04-11T00:00:00"/>
    <d v="2024-04-11T00:00:00"/>
    <n v="0"/>
    <x v="0"/>
    <x v="3"/>
  </r>
  <r>
    <x v="311"/>
    <x v="2"/>
    <x v="2"/>
    <x v="4"/>
    <s v="Drop employee religious too age tell word size up."/>
    <x v="1"/>
    <x v="1"/>
    <d v="2024-05-20T00:00:00"/>
    <d v="2024-05-20T00:00:00"/>
    <n v="0"/>
    <x v="0"/>
    <x v="4"/>
  </r>
  <r>
    <x v="312"/>
    <x v="2"/>
    <x v="14"/>
    <x v="5"/>
    <s v="Control force be sell contain."/>
    <x v="2"/>
    <x v="5"/>
    <d v="2024-01-05T00:00:00"/>
    <d v="2024-01-05T00:00:00"/>
    <n v="0"/>
    <x v="0"/>
    <x v="2"/>
  </r>
  <r>
    <x v="313"/>
    <x v="1"/>
    <x v="10"/>
    <x v="7"/>
    <s v="Well town month should bag."/>
    <x v="2"/>
    <x v="5"/>
    <d v="2024-04-04T00:00:00"/>
    <d v="2024-04-04T00:00:00"/>
    <n v="0"/>
    <x v="0"/>
    <x v="3"/>
  </r>
  <r>
    <x v="314"/>
    <x v="4"/>
    <x v="13"/>
    <x v="5"/>
    <s v="North goal only since specific major just theory seek."/>
    <x v="1"/>
    <x v="0"/>
    <d v="2024-04-24T00:00:00"/>
    <d v="2024-04-24T00:00:00"/>
    <n v="0"/>
    <x v="0"/>
    <x v="3"/>
  </r>
  <r>
    <x v="315"/>
    <x v="1"/>
    <x v="1"/>
    <x v="4"/>
    <s v="City should discuss election rate."/>
    <x v="0"/>
    <x v="5"/>
    <d v="2024-02-16T00:00:00"/>
    <d v="2024-02-16T00:00:00"/>
    <n v="0"/>
    <x v="0"/>
    <x v="0"/>
  </r>
  <r>
    <x v="316"/>
    <x v="0"/>
    <x v="0"/>
    <x v="1"/>
    <s v="Model hand recent image around since history order."/>
    <x v="1"/>
    <x v="1"/>
    <d v="2024-04-21T00:00:00"/>
    <d v="2024-04-21T00:00:00"/>
    <n v="0"/>
    <x v="0"/>
    <x v="3"/>
  </r>
  <r>
    <x v="317"/>
    <x v="1"/>
    <x v="10"/>
    <x v="1"/>
    <s v="Word member certain policy no."/>
    <x v="1"/>
    <x v="3"/>
    <d v="2024-06-07T00:00:00"/>
    <d v="2024-06-07T00:00:00"/>
    <n v="0"/>
    <x v="0"/>
    <x v="1"/>
  </r>
  <r>
    <x v="318"/>
    <x v="3"/>
    <x v="3"/>
    <x v="5"/>
    <s v="Everybody late feeling lot sort follow investment figure other maintain."/>
    <x v="2"/>
    <x v="5"/>
    <d v="2024-01-08T00:00:00"/>
    <d v="2024-01-08T00:00:00"/>
    <n v="0"/>
    <x v="0"/>
    <x v="2"/>
  </r>
  <r>
    <x v="319"/>
    <x v="3"/>
    <x v="6"/>
    <x v="7"/>
    <s v="Build interesting interest little level often national."/>
    <x v="0"/>
    <x v="5"/>
    <d v="2024-05-20T00:00:00"/>
    <d v="2024-05-20T00:00:00"/>
    <n v="0"/>
    <x v="0"/>
    <x v="4"/>
  </r>
  <r>
    <x v="320"/>
    <x v="2"/>
    <x v="2"/>
    <x v="6"/>
    <s v="Find board region draw reflect goal event special way along."/>
    <x v="1"/>
    <x v="0"/>
    <d v="2024-04-23T00:00:00"/>
    <d v="2024-04-23T00:00:00"/>
    <n v="0"/>
    <x v="0"/>
    <x v="3"/>
  </r>
  <r>
    <x v="321"/>
    <x v="4"/>
    <x v="4"/>
    <x v="0"/>
    <s v="Debate history art know either."/>
    <x v="1"/>
    <x v="3"/>
    <d v="2024-02-08T00:00:00"/>
    <d v="2024-02-08T00:00:00"/>
    <n v="0"/>
    <x v="0"/>
    <x v="0"/>
  </r>
  <r>
    <x v="322"/>
    <x v="2"/>
    <x v="2"/>
    <x v="3"/>
    <s v="Attention road physical imagine drop eight writer wind middle of."/>
    <x v="1"/>
    <x v="4"/>
    <d v="2024-05-02T00:00:00"/>
    <d v="2024-05-02T00:00:00"/>
    <n v="0"/>
    <x v="0"/>
    <x v="4"/>
  </r>
  <r>
    <x v="323"/>
    <x v="0"/>
    <x v="7"/>
    <x v="6"/>
    <s v="Through nothing money recognize."/>
    <x v="2"/>
    <x v="3"/>
    <d v="2024-04-17T00:00:00"/>
    <d v="2024-04-17T00:00:00"/>
    <n v="0"/>
    <x v="0"/>
    <x v="3"/>
  </r>
  <r>
    <x v="324"/>
    <x v="2"/>
    <x v="5"/>
    <x v="4"/>
    <s v="Far these him easy girl street."/>
    <x v="0"/>
    <x v="0"/>
    <d v="2024-01-13T00:00:00"/>
    <d v="2024-01-13T00:00:00"/>
    <n v="0"/>
    <x v="0"/>
    <x v="2"/>
  </r>
  <r>
    <x v="325"/>
    <x v="1"/>
    <x v="1"/>
    <x v="3"/>
    <s v="Week when future region travel."/>
    <x v="0"/>
    <x v="2"/>
    <d v="2024-01-14T00:00:00"/>
    <d v="2024-01-15T00:00:00"/>
    <n v="1"/>
    <x v="1"/>
    <x v="2"/>
  </r>
  <r>
    <x v="326"/>
    <x v="0"/>
    <x v="7"/>
    <x v="3"/>
    <s v="Call despite for American whether call during may."/>
    <x v="0"/>
    <x v="5"/>
    <d v="2024-02-15T00:00:00"/>
    <d v="2024-02-15T00:00:00"/>
    <n v="0"/>
    <x v="0"/>
    <x v="0"/>
  </r>
  <r>
    <x v="327"/>
    <x v="2"/>
    <x v="14"/>
    <x v="0"/>
    <s v="Himself benefit food true skill add on."/>
    <x v="1"/>
    <x v="2"/>
    <d v="2024-01-11T00:00:00"/>
    <d v="2024-01-11T00:00:00"/>
    <n v="0"/>
    <x v="0"/>
    <x v="2"/>
  </r>
  <r>
    <x v="328"/>
    <x v="3"/>
    <x v="9"/>
    <x v="3"/>
    <s v="Suddenly figure again but keep leave form real threat."/>
    <x v="2"/>
    <x v="5"/>
    <d v="2024-03-30T00:00:00"/>
    <d v="2024-03-30T00:00:00"/>
    <n v="0"/>
    <x v="0"/>
    <x v="5"/>
  </r>
  <r>
    <x v="329"/>
    <x v="0"/>
    <x v="0"/>
    <x v="7"/>
    <s v="Home word worry east that."/>
    <x v="0"/>
    <x v="4"/>
    <d v="2024-01-15T00:00:00"/>
    <d v="2024-01-16T00:00:00"/>
    <n v="1"/>
    <x v="1"/>
    <x v="2"/>
  </r>
  <r>
    <x v="330"/>
    <x v="0"/>
    <x v="8"/>
    <x v="3"/>
    <s v="Stay money education can debate care traditional left."/>
    <x v="0"/>
    <x v="3"/>
    <d v="2024-04-04T00:00:00"/>
    <d v="2024-04-04T00:00:00"/>
    <n v="0"/>
    <x v="0"/>
    <x v="3"/>
  </r>
  <r>
    <x v="331"/>
    <x v="0"/>
    <x v="0"/>
    <x v="2"/>
    <s v="Often offer he box road they inside huge animal."/>
    <x v="1"/>
    <x v="0"/>
    <d v="2024-02-11T00:00:00"/>
    <d v="2024-02-11T00:00:00"/>
    <n v="0"/>
    <x v="0"/>
    <x v="0"/>
  </r>
  <r>
    <x v="332"/>
    <x v="1"/>
    <x v="11"/>
    <x v="3"/>
    <s v="Central data year recently one former television how financial describe type."/>
    <x v="1"/>
    <x v="5"/>
    <d v="2024-03-02T00:00:00"/>
    <d v="2024-03-02T00:00:00"/>
    <n v="0"/>
    <x v="0"/>
    <x v="5"/>
  </r>
  <r>
    <x v="333"/>
    <x v="4"/>
    <x v="13"/>
    <x v="3"/>
    <s v="Simply fact like alone cover yeah listen rather."/>
    <x v="1"/>
    <x v="5"/>
    <d v="2024-06-24T00:00:00"/>
    <d v="2024-06-24T00:00:00"/>
    <n v="0"/>
    <x v="0"/>
    <x v="1"/>
  </r>
  <r>
    <x v="334"/>
    <x v="0"/>
    <x v="8"/>
    <x v="3"/>
    <s v="People billion through resource meet believe rather build huge establish."/>
    <x v="2"/>
    <x v="3"/>
    <d v="2024-03-01T00:00:00"/>
    <d v="2024-03-01T00:00:00"/>
    <n v="0"/>
    <x v="0"/>
    <x v="5"/>
  </r>
  <r>
    <x v="335"/>
    <x v="1"/>
    <x v="10"/>
    <x v="7"/>
    <s v="Fire administration notice voice address much student play send."/>
    <x v="0"/>
    <x v="5"/>
    <d v="2024-02-17T00:00:00"/>
    <d v="2024-02-17T00:00:00"/>
    <n v="0"/>
    <x v="0"/>
    <x v="0"/>
  </r>
  <r>
    <x v="336"/>
    <x v="0"/>
    <x v="0"/>
    <x v="3"/>
    <s v="Behavior tonight also day fill."/>
    <x v="2"/>
    <x v="4"/>
    <d v="2024-01-13T00:00:00"/>
    <d v="2024-01-14T00:00:00"/>
    <n v="1"/>
    <x v="1"/>
    <x v="2"/>
  </r>
  <r>
    <x v="337"/>
    <x v="1"/>
    <x v="1"/>
    <x v="0"/>
    <s v="Practice throw protect good without note reach pull."/>
    <x v="1"/>
    <x v="2"/>
    <d v="2024-03-27T00:00:00"/>
    <d v="2024-03-27T00:00:00"/>
    <n v="0"/>
    <x v="0"/>
    <x v="5"/>
  </r>
  <r>
    <x v="338"/>
    <x v="3"/>
    <x v="3"/>
    <x v="7"/>
    <s v="Suffer end lay north move again."/>
    <x v="1"/>
    <x v="5"/>
    <d v="2024-03-09T00:00:00"/>
    <d v="2024-03-09T00:00:00"/>
    <n v="0"/>
    <x v="0"/>
    <x v="5"/>
  </r>
  <r>
    <x v="339"/>
    <x v="1"/>
    <x v="10"/>
    <x v="0"/>
    <s v="Only than who know."/>
    <x v="2"/>
    <x v="1"/>
    <d v="2024-04-23T00:00:00"/>
    <d v="2024-04-23T00:00:00"/>
    <n v="0"/>
    <x v="0"/>
    <x v="3"/>
  </r>
  <r>
    <x v="340"/>
    <x v="2"/>
    <x v="14"/>
    <x v="5"/>
    <s v="Big once who suggest either."/>
    <x v="0"/>
    <x v="0"/>
    <d v="2024-04-11T00:00:00"/>
    <d v="2024-04-11T00:00:00"/>
    <n v="0"/>
    <x v="0"/>
    <x v="3"/>
  </r>
  <r>
    <x v="341"/>
    <x v="1"/>
    <x v="10"/>
    <x v="5"/>
    <s v="Short practice easy front left what owner condition."/>
    <x v="1"/>
    <x v="4"/>
    <d v="2024-01-13T00:00:00"/>
    <d v="2024-01-13T00:00:00"/>
    <n v="0"/>
    <x v="0"/>
    <x v="2"/>
  </r>
  <r>
    <x v="342"/>
    <x v="1"/>
    <x v="10"/>
    <x v="6"/>
    <s v="Price yourself entire price pull another safe gas."/>
    <x v="2"/>
    <x v="2"/>
    <d v="2024-03-24T00:00:00"/>
    <d v="2024-03-24T00:00:00"/>
    <n v="0"/>
    <x v="0"/>
    <x v="5"/>
  </r>
  <r>
    <x v="343"/>
    <x v="0"/>
    <x v="8"/>
    <x v="7"/>
    <s v="Fill research kid left wonder send difference seven."/>
    <x v="0"/>
    <x v="5"/>
    <d v="2024-01-24T00:00:00"/>
    <d v="2024-01-24T00:00:00"/>
    <n v="0"/>
    <x v="0"/>
    <x v="2"/>
  </r>
  <r>
    <x v="344"/>
    <x v="3"/>
    <x v="9"/>
    <x v="2"/>
    <s v="Activity let law economy body couple ever possible past career."/>
    <x v="2"/>
    <x v="1"/>
    <d v="2024-04-17T00:00:00"/>
    <d v="2024-04-17T00:00:00"/>
    <n v="0"/>
    <x v="0"/>
    <x v="3"/>
  </r>
  <r>
    <x v="345"/>
    <x v="3"/>
    <x v="9"/>
    <x v="3"/>
    <s v="Full we keep member total find none."/>
    <x v="2"/>
    <x v="5"/>
    <d v="2024-05-13T00:00:00"/>
    <d v="2024-05-13T00:00:00"/>
    <n v="0"/>
    <x v="0"/>
    <x v="4"/>
  </r>
  <r>
    <x v="346"/>
    <x v="4"/>
    <x v="4"/>
    <x v="5"/>
    <s v="That feeling end second happy week impact clear."/>
    <x v="1"/>
    <x v="4"/>
    <d v="2024-04-23T00:00:00"/>
    <d v="2024-04-23T00:00:00"/>
    <n v="0"/>
    <x v="0"/>
    <x v="3"/>
  </r>
  <r>
    <x v="347"/>
    <x v="0"/>
    <x v="0"/>
    <x v="0"/>
    <s v="Maybe four character end product."/>
    <x v="2"/>
    <x v="5"/>
    <d v="2024-02-11T00:00:00"/>
    <d v="2024-02-11T00:00:00"/>
    <n v="0"/>
    <x v="0"/>
    <x v="0"/>
  </r>
  <r>
    <x v="348"/>
    <x v="3"/>
    <x v="3"/>
    <x v="7"/>
    <s v="No should most social open nice form recognize east have."/>
    <x v="0"/>
    <x v="0"/>
    <d v="2024-03-28T00:00:00"/>
    <d v="2024-03-28T00:00:00"/>
    <n v="0"/>
    <x v="0"/>
    <x v="5"/>
  </r>
  <r>
    <x v="349"/>
    <x v="1"/>
    <x v="10"/>
    <x v="5"/>
    <s v="Work successful your walk the with class million determine attention it."/>
    <x v="0"/>
    <x v="3"/>
    <d v="2024-06-04T00:00:00"/>
    <d v="2024-06-04T00:00:00"/>
    <n v="0"/>
    <x v="0"/>
    <x v="1"/>
  </r>
  <r>
    <x v="350"/>
    <x v="4"/>
    <x v="13"/>
    <x v="3"/>
    <s v="Before note could discuss officer."/>
    <x v="1"/>
    <x v="5"/>
    <d v="2024-03-16T00:00:00"/>
    <d v="2024-03-16T00:00:00"/>
    <n v="0"/>
    <x v="0"/>
    <x v="5"/>
  </r>
  <r>
    <x v="351"/>
    <x v="3"/>
    <x v="6"/>
    <x v="3"/>
    <s v="Career protect college us discussion."/>
    <x v="1"/>
    <x v="2"/>
    <d v="2024-05-05T00:00:00"/>
    <d v="2024-05-05T00:00:00"/>
    <n v="0"/>
    <x v="0"/>
    <x v="4"/>
  </r>
  <r>
    <x v="352"/>
    <x v="4"/>
    <x v="13"/>
    <x v="0"/>
    <s v="Collection subject response peace add something."/>
    <x v="2"/>
    <x v="1"/>
    <d v="2024-04-02T00:00:00"/>
    <d v="2024-04-02T00:00:00"/>
    <n v="0"/>
    <x v="0"/>
    <x v="3"/>
  </r>
  <r>
    <x v="353"/>
    <x v="3"/>
    <x v="3"/>
    <x v="1"/>
    <s v="Individual also claim ask hit avoid day already."/>
    <x v="2"/>
    <x v="3"/>
    <d v="2024-01-20T00:00:00"/>
    <d v="2024-01-20T00:00:00"/>
    <n v="0"/>
    <x v="0"/>
    <x v="2"/>
  </r>
  <r>
    <x v="354"/>
    <x v="0"/>
    <x v="8"/>
    <x v="0"/>
    <s v="Bad lay apply affect watch religious development commercial."/>
    <x v="1"/>
    <x v="1"/>
    <d v="2024-06-03T00:00:00"/>
    <d v="2024-06-03T00:00:00"/>
    <n v="0"/>
    <x v="0"/>
    <x v="1"/>
  </r>
  <r>
    <x v="355"/>
    <x v="0"/>
    <x v="8"/>
    <x v="5"/>
    <s v="Pm game cup international important those everyone term start management."/>
    <x v="0"/>
    <x v="0"/>
    <d v="2024-03-19T00:00:00"/>
    <d v="2024-03-19T00:00:00"/>
    <n v="0"/>
    <x v="0"/>
    <x v="5"/>
  </r>
  <r>
    <x v="356"/>
    <x v="0"/>
    <x v="7"/>
    <x v="3"/>
    <s v="Boy standard ahead before first point page than."/>
    <x v="0"/>
    <x v="5"/>
    <d v="2024-03-26T00:00:00"/>
    <d v="2024-03-26T00:00:00"/>
    <n v="0"/>
    <x v="0"/>
    <x v="5"/>
  </r>
  <r>
    <x v="357"/>
    <x v="2"/>
    <x v="5"/>
    <x v="2"/>
    <s v="Himself nothing public season why."/>
    <x v="0"/>
    <x v="0"/>
    <d v="2024-03-11T00:00:00"/>
    <d v="2024-03-11T00:00:00"/>
    <n v="0"/>
    <x v="0"/>
    <x v="5"/>
  </r>
  <r>
    <x v="358"/>
    <x v="1"/>
    <x v="1"/>
    <x v="0"/>
    <s v="Share miss everyone structure sign change."/>
    <x v="2"/>
    <x v="3"/>
    <d v="2024-05-25T00:00:00"/>
    <d v="2024-05-25T00:00:00"/>
    <n v="0"/>
    <x v="0"/>
    <x v="4"/>
  </r>
  <r>
    <x v="359"/>
    <x v="2"/>
    <x v="5"/>
    <x v="0"/>
    <s v="History cold account attack lawyer unit peace although film onto run."/>
    <x v="2"/>
    <x v="0"/>
    <d v="2024-01-05T00:00:00"/>
    <d v="2024-01-05T00:00:00"/>
    <n v="0"/>
    <x v="0"/>
    <x v="2"/>
  </r>
  <r>
    <x v="360"/>
    <x v="4"/>
    <x v="13"/>
    <x v="3"/>
    <s v="What continue help cut situation Democrat."/>
    <x v="2"/>
    <x v="2"/>
    <d v="2024-01-13T00:00:00"/>
    <d v="2024-01-13T00:00:00"/>
    <n v="0"/>
    <x v="0"/>
    <x v="2"/>
  </r>
  <r>
    <x v="361"/>
    <x v="1"/>
    <x v="11"/>
    <x v="4"/>
    <s v="Bed reduce major feel seem federal reality concern movement table clear."/>
    <x v="2"/>
    <x v="5"/>
    <d v="2024-04-21T00:00:00"/>
    <d v="2024-04-21T00:00:00"/>
    <n v="0"/>
    <x v="0"/>
    <x v="3"/>
  </r>
  <r>
    <x v="362"/>
    <x v="3"/>
    <x v="3"/>
    <x v="3"/>
    <s v="Western off where hold hotel public least."/>
    <x v="1"/>
    <x v="2"/>
    <d v="2024-04-17T00:00:00"/>
    <d v="2024-04-17T00:00:00"/>
    <n v="0"/>
    <x v="0"/>
    <x v="3"/>
  </r>
  <r>
    <x v="363"/>
    <x v="2"/>
    <x v="5"/>
    <x v="3"/>
    <s v="Reduce truth without medical hand."/>
    <x v="0"/>
    <x v="5"/>
    <d v="2024-03-30T00:00:00"/>
    <d v="2024-03-30T00:00:00"/>
    <n v="0"/>
    <x v="0"/>
    <x v="5"/>
  </r>
  <r>
    <x v="364"/>
    <x v="1"/>
    <x v="1"/>
    <x v="2"/>
    <s v="Task personal community various and room build present fund big."/>
    <x v="0"/>
    <x v="1"/>
    <d v="2024-02-21T00:00:00"/>
    <d v="2024-02-21T00:00:00"/>
    <n v="0"/>
    <x v="0"/>
    <x v="0"/>
  </r>
  <r>
    <x v="365"/>
    <x v="1"/>
    <x v="1"/>
    <x v="0"/>
    <s v="Sure couple consider service really discussion look responsibility lead."/>
    <x v="1"/>
    <x v="1"/>
    <d v="2024-02-24T00:00:00"/>
    <d v="2024-02-24T00:00:00"/>
    <n v="0"/>
    <x v="0"/>
    <x v="0"/>
  </r>
  <r>
    <x v="366"/>
    <x v="3"/>
    <x v="3"/>
    <x v="2"/>
    <s v="Final seem financial appear represent chance."/>
    <x v="0"/>
    <x v="2"/>
    <d v="2024-01-16T00:00:00"/>
    <d v="2024-01-17T00:00:00"/>
    <n v="1"/>
    <x v="1"/>
    <x v="2"/>
  </r>
  <r>
    <x v="367"/>
    <x v="0"/>
    <x v="7"/>
    <x v="3"/>
    <s v="Research far not detail opportunity instead."/>
    <x v="2"/>
    <x v="1"/>
    <d v="2024-01-14T00:00:00"/>
    <d v="2024-01-14T00:00:00"/>
    <n v="0"/>
    <x v="0"/>
    <x v="2"/>
  </r>
  <r>
    <x v="368"/>
    <x v="4"/>
    <x v="12"/>
    <x v="7"/>
    <s v="Wear play marriage age window player her risk meet."/>
    <x v="1"/>
    <x v="2"/>
    <d v="2024-06-28T00:00:00"/>
    <d v="2024-06-28T00:00:00"/>
    <n v="0"/>
    <x v="0"/>
    <x v="1"/>
  </r>
  <r>
    <x v="369"/>
    <x v="4"/>
    <x v="4"/>
    <x v="4"/>
    <s v="Service total story daughter ready arm."/>
    <x v="1"/>
    <x v="1"/>
    <d v="2024-06-08T00:00:00"/>
    <d v="2024-06-08T00:00:00"/>
    <n v="0"/>
    <x v="0"/>
    <x v="1"/>
  </r>
  <r>
    <x v="370"/>
    <x v="0"/>
    <x v="0"/>
    <x v="1"/>
    <s v="Else arrive physical prove example what prevent impact his PM."/>
    <x v="0"/>
    <x v="2"/>
    <d v="2024-05-30T00:00:00"/>
    <d v="2024-05-30T00:00:00"/>
    <n v="0"/>
    <x v="0"/>
    <x v="4"/>
  </r>
  <r>
    <x v="371"/>
    <x v="1"/>
    <x v="10"/>
    <x v="4"/>
    <s v="Catch machine computer author prevent bring in force."/>
    <x v="2"/>
    <x v="4"/>
    <d v="2024-03-31T00:00:00"/>
    <d v="2024-03-31T00:00:00"/>
    <n v="0"/>
    <x v="0"/>
    <x v="5"/>
  </r>
  <r>
    <x v="372"/>
    <x v="0"/>
    <x v="8"/>
    <x v="3"/>
    <s v="Face director represent executive sense price phone style choose."/>
    <x v="1"/>
    <x v="4"/>
    <d v="2024-05-22T00:00:00"/>
    <d v="2024-05-22T00:00:00"/>
    <n v="0"/>
    <x v="0"/>
    <x v="4"/>
  </r>
  <r>
    <x v="373"/>
    <x v="4"/>
    <x v="13"/>
    <x v="7"/>
    <s v="Thousand whole building appear collection structure color walk right."/>
    <x v="2"/>
    <x v="4"/>
    <d v="2024-02-06T00:00:00"/>
    <d v="2024-02-07T00:00:00"/>
    <n v="1"/>
    <x v="1"/>
    <x v="0"/>
  </r>
  <r>
    <x v="374"/>
    <x v="1"/>
    <x v="11"/>
    <x v="3"/>
    <s v="Accept soon any fill seek may."/>
    <x v="1"/>
    <x v="0"/>
    <d v="2024-02-03T00:00:00"/>
    <d v="2024-02-03T00:00:00"/>
    <n v="0"/>
    <x v="0"/>
    <x v="0"/>
  </r>
  <r>
    <x v="375"/>
    <x v="2"/>
    <x v="2"/>
    <x v="3"/>
    <s v="Trouble certain happen imagine throughout Democrat goal crime also above."/>
    <x v="2"/>
    <x v="0"/>
    <d v="2024-04-20T00:00:00"/>
    <d v="2024-04-20T00:00:00"/>
    <n v="0"/>
    <x v="0"/>
    <x v="3"/>
  </r>
  <r>
    <x v="376"/>
    <x v="2"/>
    <x v="2"/>
    <x v="1"/>
    <s v="Concern charge opportunity against challenge Congress someone else late."/>
    <x v="2"/>
    <x v="1"/>
    <d v="2024-05-19T00:00:00"/>
    <d v="2024-05-19T00:00:00"/>
    <n v="0"/>
    <x v="0"/>
    <x v="4"/>
  </r>
  <r>
    <x v="377"/>
    <x v="2"/>
    <x v="5"/>
    <x v="5"/>
    <s v="Move well cause reveal improve include business."/>
    <x v="1"/>
    <x v="4"/>
    <d v="2024-02-14T00:00:00"/>
    <d v="2024-02-14T00:00:00"/>
    <n v="0"/>
    <x v="0"/>
    <x v="0"/>
  </r>
  <r>
    <x v="378"/>
    <x v="4"/>
    <x v="4"/>
    <x v="3"/>
    <s v="Push heart discussion however receive film each past its I near."/>
    <x v="2"/>
    <x v="0"/>
    <d v="2024-01-01T00:00:00"/>
    <d v="2024-01-01T00:00:00"/>
    <n v="0"/>
    <x v="0"/>
    <x v="2"/>
  </r>
  <r>
    <x v="379"/>
    <x v="2"/>
    <x v="14"/>
    <x v="6"/>
    <s v="Whom run note send hold first build serious."/>
    <x v="0"/>
    <x v="0"/>
    <d v="2024-06-02T00:00:00"/>
    <d v="2024-06-02T00:00:00"/>
    <n v="0"/>
    <x v="0"/>
    <x v="1"/>
  </r>
  <r>
    <x v="380"/>
    <x v="3"/>
    <x v="6"/>
    <x v="4"/>
    <s v="Condition spring foot far avoid many wear line president."/>
    <x v="2"/>
    <x v="2"/>
    <d v="2024-02-18T00:00:00"/>
    <d v="2024-02-18T00:00:00"/>
    <n v="0"/>
    <x v="0"/>
    <x v="0"/>
  </r>
  <r>
    <x v="381"/>
    <x v="3"/>
    <x v="3"/>
    <x v="3"/>
    <s v="Likely view see important paper."/>
    <x v="2"/>
    <x v="3"/>
    <d v="2024-02-21T00:00:00"/>
    <d v="2024-02-21T00:00:00"/>
    <n v="0"/>
    <x v="0"/>
    <x v="0"/>
  </r>
  <r>
    <x v="382"/>
    <x v="0"/>
    <x v="7"/>
    <x v="0"/>
    <s v="Behind foreign after serve good skin knowledge hope."/>
    <x v="0"/>
    <x v="2"/>
    <d v="2024-03-29T00:00:00"/>
    <d v="2024-03-29T00:00:00"/>
    <n v="0"/>
    <x v="0"/>
    <x v="5"/>
  </r>
  <r>
    <x v="383"/>
    <x v="1"/>
    <x v="1"/>
    <x v="1"/>
    <s v="Item fund own as feel source way."/>
    <x v="1"/>
    <x v="0"/>
    <d v="2024-03-31T00:00:00"/>
    <d v="2024-03-31T00:00:00"/>
    <n v="0"/>
    <x v="0"/>
    <x v="5"/>
  </r>
  <r>
    <x v="384"/>
    <x v="3"/>
    <x v="6"/>
    <x v="1"/>
    <s v="Education through produce series last several record likely me."/>
    <x v="2"/>
    <x v="5"/>
    <d v="2024-06-07T00:00:00"/>
    <d v="2024-06-07T00:00:00"/>
    <n v="0"/>
    <x v="0"/>
    <x v="1"/>
  </r>
  <r>
    <x v="385"/>
    <x v="0"/>
    <x v="0"/>
    <x v="3"/>
    <s v="Yes explain why morning voice Republican again step old."/>
    <x v="1"/>
    <x v="1"/>
    <d v="2024-02-06T00:00:00"/>
    <d v="2024-02-06T00:00:00"/>
    <n v="0"/>
    <x v="0"/>
    <x v="0"/>
  </r>
  <r>
    <x v="386"/>
    <x v="2"/>
    <x v="5"/>
    <x v="4"/>
    <s v="Toward since civil away."/>
    <x v="2"/>
    <x v="2"/>
    <d v="2024-06-07T00:00:00"/>
    <d v="2024-06-07T00:00:00"/>
    <n v="0"/>
    <x v="0"/>
    <x v="1"/>
  </r>
  <r>
    <x v="387"/>
    <x v="2"/>
    <x v="2"/>
    <x v="3"/>
    <s v="Sport her radio look marriage."/>
    <x v="1"/>
    <x v="4"/>
    <d v="2024-01-01T00:00:00"/>
    <d v="2024-01-01T00:00:00"/>
    <n v="0"/>
    <x v="0"/>
    <x v="2"/>
  </r>
  <r>
    <x v="388"/>
    <x v="3"/>
    <x v="9"/>
    <x v="0"/>
    <s v="Against they event which whose."/>
    <x v="1"/>
    <x v="4"/>
    <d v="2024-03-03T00:00:00"/>
    <d v="2024-03-03T00:00:00"/>
    <n v="0"/>
    <x v="0"/>
    <x v="5"/>
  </r>
  <r>
    <x v="389"/>
    <x v="2"/>
    <x v="2"/>
    <x v="3"/>
    <s v="Top act about police fill."/>
    <x v="0"/>
    <x v="3"/>
    <d v="2024-01-19T00:00:00"/>
    <d v="2024-01-19T00:00:00"/>
    <n v="0"/>
    <x v="0"/>
    <x v="2"/>
  </r>
  <r>
    <x v="390"/>
    <x v="1"/>
    <x v="10"/>
    <x v="6"/>
    <s v="Soon especially expect he today entire protect risk radio."/>
    <x v="1"/>
    <x v="1"/>
    <d v="2024-04-25T00:00:00"/>
    <d v="2024-04-25T00:00:00"/>
    <n v="0"/>
    <x v="0"/>
    <x v="3"/>
  </r>
  <r>
    <x v="391"/>
    <x v="1"/>
    <x v="1"/>
    <x v="4"/>
    <s v="Decade natural stock hard someone."/>
    <x v="1"/>
    <x v="3"/>
    <d v="2024-06-02T00:00:00"/>
    <d v="2024-06-02T00:00:00"/>
    <n v="0"/>
    <x v="0"/>
    <x v="1"/>
  </r>
  <r>
    <x v="392"/>
    <x v="1"/>
    <x v="10"/>
    <x v="1"/>
    <s v="I what question until sister media receive list sound project floor."/>
    <x v="1"/>
    <x v="0"/>
    <d v="2024-05-03T00:00:00"/>
    <d v="2024-05-03T00:00:00"/>
    <n v="0"/>
    <x v="0"/>
    <x v="4"/>
  </r>
  <r>
    <x v="393"/>
    <x v="4"/>
    <x v="4"/>
    <x v="3"/>
    <s v="Drive that stay why imagine partner country care employee."/>
    <x v="1"/>
    <x v="0"/>
    <d v="2024-06-16T00:00:00"/>
    <d v="2024-06-16T00:00:00"/>
    <n v="0"/>
    <x v="0"/>
    <x v="1"/>
  </r>
  <r>
    <x v="394"/>
    <x v="0"/>
    <x v="8"/>
    <x v="3"/>
    <s v="Rather about give dinner when instead since seven."/>
    <x v="1"/>
    <x v="0"/>
    <d v="2024-05-26T00:00:00"/>
    <d v="2024-05-26T00:00:00"/>
    <n v="0"/>
    <x v="0"/>
    <x v="4"/>
  </r>
  <r>
    <x v="395"/>
    <x v="2"/>
    <x v="14"/>
    <x v="3"/>
    <s v="Paper rich particularly country pay."/>
    <x v="1"/>
    <x v="1"/>
    <d v="2024-04-27T00:00:00"/>
    <d v="2024-04-27T00:00:00"/>
    <n v="0"/>
    <x v="0"/>
    <x v="3"/>
  </r>
  <r>
    <x v="396"/>
    <x v="3"/>
    <x v="9"/>
    <x v="7"/>
    <s v="Without use peace good apply activity make."/>
    <x v="2"/>
    <x v="4"/>
    <d v="2024-05-09T00:00:00"/>
    <d v="2024-05-09T00:00:00"/>
    <n v="0"/>
    <x v="0"/>
    <x v="4"/>
  </r>
  <r>
    <x v="397"/>
    <x v="0"/>
    <x v="0"/>
    <x v="6"/>
    <s v="Change concern factor green store worry well."/>
    <x v="1"/>
    <x v="3"/>
    <d v="2024-03-07T00:00:00"/>
    <d v="2024-03-07T00:00:00"/>
    <n v="0"/>
    <x v="0"/>
    <x v="5"/>
  </r>
  <r>
    <x v="398"/>
    <x v="0"/>
    <x v="8"/>
    <x v="6"/>
    <s v="Nature why once number idea owner power wait."/>
    <x v="0"/>
    <x v="3"/>
    <d v="2024-04-19T00:00:00"/>
    <d v="2024-04-19T00:00:00"/>
    <n v="0"/>
    <x v="0"/>
    <x v="3"/>
  </r>
  <r>
    <x v="399"/>
    <x v="4"/>
    <x v="4"/>
    <x v="7"/>
    <s v="Treatment clearly teach argue."/>
    <x v="1"/>
    <x v="5"/>
    <d v="2024-01-29T00:00:00"/>
    <d v="2024-01-29T00:00:00"/>
    <n v="0"/>
    <x v="0"/>
    <x v="2"/>
  </r>
  <r>
    <x v="400"/>
    <x v="0"/>
    <x v="0"/>
    <x v="3"/>
    <s v="Prepare effect strong sure sister yes."/>
    <x v="1"/>
    <x v="4"/>
    <d v="2024-03-15T00:00:00"/>
    <d v="2024-03-16T00:00:00"/>
    <n v="1"/>
    <x v="1"/>
    <x v="5"/>
  </r>
  <r>
    <x v="401"/>
    <x v="2"/>
    <x v="14"/>
    <x v="3"/>
    <s v="The scene employee of area stop them character southern."/>
    <x v="2"/>
    <x v="5"/>
    <d v="2024-03-21T00:00:00"/>
    <d v="2024-03-21T00:00:00"/>
    <n v="0"/>
    <x v="0"/>
    <x v="5"/>
  </r>
  <r>
    <x v="402"/>
    <x v="1"/>
    <x v="1"/>
    <x v="6"/>
    <s v="Activity drug agreement western hold himself very."/>
    <x v="2"/>
    <x v="1"/>
    <d v="2024-05-02T00:00:00"/>
    <d v="2024-05-02T00:00:00"/>
    <n v="0"/>
    <x v="0"/>
    <x v="4"/>
  </r>
  <r>
    <x v="403"/>
    <x v="3"/>
    <x v="6"/>
    <x v="5"/>
    <s v="Book degree new data night last focus it during into blood."/>
    <x v="1"/>
    <x v="2"/>
    <d v="2024-01-10T00:00:00"/>
    <d v="2024-01-10T00:00:00"/>
    <n v="0"/>
    <x v="0"/>
    <x v="2"/>
  </r>
  <r>
    <x v="404"/>
    <x v="0"/>
    <x v="0"/>
    <x v="1"/>
    <s v="Material ok ask attorney end simply image summer oil."/>
    <x v="0"/>
    <x v="0"/>
    <d v="2024-04-17T00:00:00"/>
    <d v="2024-04-17T00:00:00"/>
    <n v="0"/>
    <x v="0"/>
    <x v="3"/>
  </r>
  <r>
    <x v="405"/>
    <x v="1"/>
    <x v="1"/>
    <x v="4"/>
    <s v="Against manager reveal you down sing floor finally meeting main."/>
    <x v="1"/>
    <x v="4"/>
    <d v="2024-03-22T00:00:00"/>
    <d v="2024-03-23T00:00:00"/>
    <n v="1"/>
    <x v="1"/>
    <x v="5"/>
  </r>
  <r>
    <x v="406"/>
    <x v="2"/>
    <x v="2"/>
    <x v="6"/>
    <s v="Might bit group two court manage particularly meeting station relate."/>
    <x v="2"/>
    <x v="0"/>
    <d v="2024-03-05T00:00:00"/>
    <d v="2024-03-05T00:00:00"/>
    <n v="0"/>
    <x v="0"/>
    <x v="5"/>
  </r>
  <r>
    <x v="407"/>
    <x v="1"/>
    <x v="11"/>
    <x v="4"/>
    <s v="Six local itself size commercial."/>
    <x v="1"/>
    <x v="2"/>
    <d v="2024-01-30T00:00:00"/>
    <d v="2024-01-30T00:00:00"/>
    <n v="0"/>
    <x v="0"/>
    <x v="2"/>
  </r>
  <r>
    <x v="408"/>
    <x v="4"/>
    <x v="12"/>
    <x v="3"/>
    <s v="Democrat sound pattern how author include design bill poor television."/>
    <x v="2"/>
    <x v="5"/>
    <d v="2024-01-12T00:00:00"/>
    <d v="2024-01-12T00:00:00"/>
    <n v="0"/>
    <x v="0"/>
    <x v="2"/>
  </r>
  <r>
    <x v="409"/>
    <x v="4"/>
    <x v="13"/>
    <x v="6"/>
    <s v="Special effort provide interview word fight."/>
    <x v="1"/>
    <x v="4"/>
    <d v="2024-06-21T00:00:00"/>
    <d v="2024-06-21T00:00:00"/>
    <n v="0"/>
    <x v="0"/>
    <x v="1"/>
  </r>
  <r>
    <x v="410"/>
    <x v="2"/>
    <x v="5"/>
    <x v="6"/>
    <s v="Church like half activity first chance bad head standard kitchen."/>
    <x v="2"/>
    <x v="1"/>
    <d v="2024-05-03T00:00:00"/>
    <d v="2024-05-03T00:00:00"/>
    <n v="0"/>
    <x v="0"/>
    <x v="4"/>
  </r>
  <r>
    <x v="411"/>
    <x v="4"/>
    <x v="13"/>
    <x v="2"/>
    <s v="Entire necessary without front throughout office political."/>
    <x v="2"/>
    <x v="5"/>
    <d v="2024-06-09T00:00:00"/>
    <d v="2024-06-09T00:00:00"/>
    <n v="0"/>
    <x v="0"/>
    <x v="1"/>
  </r>
  <r>
    <x v="412"/>
    <x v="4"/>
    <x v="4"/>
    <x v="1"/>
    <s v="Traditional major already husband with follow sign purpose."/>
    <x v="1"/>
    <x v="5"/>
    <d v="2024-06-18T00:00:00"/>
    <d v="2024-06-18T00:00:00"/>
    <n v="0"/>
    <x v="0"/>
    <x v="1"/>
  </r>
  <r>
    <x v="413"/>
    <x v="2"/>
    <x v="5"/>
    <x v="7"/>
    <s v="Thus camera mother structure will society tell whom amount should campaign."/>
    <x v="0"/>
    <x v="3"/>
    <d v="2024-04-30T00:00:00"/>
    <d v="2024-04-30T00:00:00"/>
    <n v="0"/>
    <x v="0"/>
    <x v="3"/>
  </r>
  <r>
    <x v="414"/>
    <x v="4"/>
    <x v="13"/>
    <x v="3"/>
    <s v="Action year argue usually ground clear war interview garden brother."/>
    <x v="1"/>
    <x v="2"/>
    <d v="2024-04-09T00:00:00"/>
    <d v="2024-04-09T00:00:00"/>
    <n v="0"/>
    <x v="0"/>
    <x v="3"/>
  </r>
  <r>
    <x v="415"/>
    <x v="3"/>
    <x v="9"/>
    <x v="1"/>
    <s v="Thus red senior term movie fall less."/>
    <x v="2"/>
    <x v="3"/>
    <d v="2024-04-26T00:00:00"/>
    <d v="2024-04-26T00:00:00"/>
    <n v="0"/>
    <x v="0"/>
    <x v="3"/>
  </r>
  <r>
    <x v="416"/>
    <x v="2"/>
    <x v="5"/>
    <x v="2"/>
    <s v="Stand reveal story compare mean last war stock happen book."/>
    <x v="2"/>
    <x v="1"/>
    <d v="2024-03-05T00:00:00"/>
    <d v="2024-03-05T00:00:00"/>
    <n v="0"/>
    <x v="0"/>
    <x v="5"/>
  </r>
  <r>
    <x v="417"/>
    <x v="2"/>
    <x v="2"/>
    <x v="3"/>
    <s v="Pull official father political marriage traditional can perhaps."/>
    <x v="2"/>
    <x v="2"/>
    <d v="2024-05-18T00:00:00"/>
    <d v="2024-05-18T00:00:00"/>
    <n v="0"/>
    <x v="0"/>
    <x v="4"/>
  </r>
  <r>
    <x v="418"/>
    <x v="0"/>
    <x v="8"/>
    <x v="5"/>
    <s v="Worry time notice happen close daughter case."/>
    <x v="0"/>
    <x v="5"/>
    <d v="2024-03-09T00:00:00"/>
    <d v="2024-03-09T00:00:00"/>
    <n v="0"/>
    <x v="0"/>
    <x v="5"/>
  </r>
  <r>
    <x v="419"/>
    <x v="4"/>
    <x v="12"/>
    <x v="0"/>
    <s v="Parent outside fact base clear."/>
    <x v="2"/>
    <x v="3"/>
    <d v="2024-01-27T00:00:00"/>
    <d v="2024-01-27T00:00:00"/>
    <n v="0"/>
    <x v="0"/>
    <x v="2"/>
  </r>
  <r>
    <x v="420"/>
    <x v="2"/>
    <x v="14"/>
    <x v="3"/>
    <s v="Different interesting who both board lot course road drop around."/>
    <x v="1"/>
    <x v="4"/>
    <d v="2024-01-22T00:00:00"/>
    <d v="2024-01-22T00:00:00"/>
    <n v="0"/>
    <x v="0"/>
    <x v="2"/>
  </r>
  <r>
    <x v="421"/>
    <x v="1"/>
    <x v="11"/>
    <x v="2"/>
    <s v="Call exactly protect order their lose organization money."/>
    <x v="1"/>
    <x v="4"/>
    <d v="2024-03-27T00:00:00"/>
    <d v="2024-03-27T00:00:00"/>
    <n v="0"/>
    <x v="0"/>
    <x v="5"/>
  </r>
  <r>
    <x v="422"/>
    <x v="3"/>
    <x v="3"/>
    <x v="3"/>
    <s v="Describe account run hope turn run organization employee."/>
    <x v="0"/>
    <x v="1"/>
    <d v="2024-03-14T00:00:00"/>
    <d v="2024-03-14T00:00:00"/>
    <n v="0"/>
    <x v="0"/>
    <x v="5"/>
  </r>
  <r>
    <x v="423"/>
    <x v="0"/>
    <x v="7"/>
    <x v="4"/>
    <s v="Their shoulder involve opportunity present he market positive."/>
    <x v="0"/>
    <x v="4"/>
    <d v="2024-04-11T00:00:00"/>
    <d v="2024-04-11T00:00:00"/>
    <n v="0"/>
    <x v="0"/>
    <x v="3"/>
  </r>
  <r>
    <x v="424"/>
    <x v="2"/>
    <x v="2"/>
    <x v="4"/>
    <s v="Drop employee religious too age tell word size up."/>
    <x v="1"/>
    <x v="1"/>
    <d v="2024-05-20T00:00:00"/>
    <d v="2024-05-20T00:00:00"/>
    <n v="0"/>
    <x v="0"/>
    <x v="4"/>
  </r>
  <r>
    <x v="425"/>
    <x v="2"/>
    <x v="14"/>
    <x v="5"/>
    <s v="Control force be sell contain."/>
    <x v="2"/>
    <x v="5"/>
    <d v="2024-01-05T00:00:00"/>
    <d v="2024-01-05T00:00:00"/>
    <n v="0"/>
    <x v="0"/>
    <x v="2"/>
  </r>
  <r>
    <x v="426"/>
    <x v="1"/>
    <x v="10"/>
    <x v="7"/>
    <s v="Well town month should bag."/>
    <x v="2"/>
    <x v="5"/>
    <d v="2024-04-04T00:00:00"/>
    <d v="2024-04-04T00:00:00"/>
    <n v="0"/>
    <x v="0"/>
    <x v="3"/>
  </r>
  <r>
    <x v="427"/>
    <x v="4"/>
    <x v="13"/>
    <x v="5"/>
    <s v="North goal only since specific major just theory seek."/>
    <x v="1"/>
    <x v="0"/>
    <d v="2024-04-24T00:00:00"/>
    <d v="2024-04-24T00:00:00"/>
    <n v="0"/>
    <x v="0"/>
    <x v="3"/>
  </r>
  <r>
    <x v="428"/>
    <x v="1"/>
    <x v="1"/>
    <x v="2"/>
    <s v="City should discuss election rate."/>
    <x v="0"/>
    <x v="5"/>
    <d v="2024-02-16T00:00:00"/>
    <d v="2024-02-16T00:00:00"/>
    <n v="0"/>
    <x v="0"/>
    <x v="0"/>
  </r>
  <r>
    <x v="429"/>
    <x v="0"/>
    <x v="0"/>
    <x v="1"/>
    <s v="Model hand recent image around since history order."/>
    <x v="1"/>
    <x v="1"/>
    <d v="2024-04-21T00:00:00"/>
    <d v="2024-04-21T00:00:00"/>
    <n v="0"/>
    <x v="0"/>
    <x v="3"/>
  </r>
  <r>
    <x v="430"/>
    <x v="1"/>
    <x v="10"/>
    <x v="1"/>
    <s v="Word member certain policy no."/>
    <x v="1"/>
    <x v="3"/>
    <d v="2024-06-07T00:00:00"/>
    <d v="2024-06-07T00:00:00"/>
    <n v="0"/>
    <x v="0"/>
    <x v="1"/>
  </r>
  <r>
    <x v="431"/>
    <x v="3"/>
    <x v="3"/>
    <x v="5"/>
    <s v="Everybody late feeling lot sort follow investment figure other maintain."/>
    <x v="2"/>
    <x v="5"/>
    <d v="2024-01-08T00:00:00"/>
    <d v="2024-01-08T00:00:00"/>
    <n v="0"/>
    <x v="0"/>
    <x v="2"/>
  </r>
  <r>
    <x v="432"/>
    <x v="1"/>
    <x v="10"/>
    <x v="0"/>
    <s v="Huge yourself just amount list."/>
    <x v="2"/>
    <x v="4"/>
    <d v="2024-01-14T00:00:00"/>
    <d v="2024-01-15T00:00:00"/>
    <n v="1"/>
    <x v="1"/>
    <x v="2"/>
  </r>
  <r>
    <x v="433"/>
    <x v="3"/>
    <x v="6"/>
    <x v="7"/>
    <s v="Build interesting interest little level often national."/>
    <x v="0"/>
    <x v="5"/>
    <d v="2024-05-20T00:00:00"/>
    <d v="2024-05-20T00:00:00"/>
    <n v="0"/>
    <x v="0"/>
    <x v="4"/>
  </r>
  <r>
    <x v="434"/>
    <x v="2"/>
    <x v="2"/>
    <x v="6"/>
    <s v="Find board region draw reflect goal event special way along."/>
    <x v="1"/>
    <x v="0"/>
    <d v="2024-04-23T00:00:00"/>
    <d v="2024-04-23T00:00:00"/>
    <n v="0"/>
    <x v="0"/>
    <x v="3"/>
  </r>
  <r>
    <x v="435"/>
    <x v="4"/>
    <x v="4"/>
    <x v="0"/>
    <s v="Debate history art know either."/>
    <x v="1"/>
    <x v="3"/>
    <d v="2024-02-08T00:00:00"/>
    <d v="2024-02-08T00:00:00"/>
    <n v="0"/>
    <x v="0"/>
    <x v="0"/>
  </r>
  <r>
    <x v="436"/>
    <x v="2"/>
    <x v="2"/>
    <x v="3"/>
    <s v="Attention road physical imagine drop eight writer wind middle of."/>
    <x v="1"/>
    <x v="4"/>
    <d v="2024-05-02T00:00:00"/>
    <d v="2024-05-02T00:00:00"/>
    <n v="0"/>
    <x v="0"/>
    <x v="4"/>
  </r>
  <r>
    <x v="437"/>
    <x v="0"/>
    <x v="7"/>
    <x v="6"/>
    <s v="Through nothing money recognize."/>
    <x v="2"/>
    <x v="3"/>
    <d v="2024-04-17T00:00:00"/>
    <d v="2024-04-17T00:00:00"/>
    <n v="0"/>
    <x v="0"/>
    <x v="3"/>
  </r>
  <r>
    <x v="438"/>
    <x v="2"/>
    <x v="5"/>
    <x v="4"/>
    <s v="Far these him easy girl street."/>
    <x v="0"/>
    <x v="0"/>
    <d v="2024-01-13T00:00:00"/>
    <d v="2024-01-13T00:00:00"/>
    <n v="0"/>
    <x v="0"/>
    <x v="2"/>
  </r>
  <r>
    <x v="439"/>
    <x v="1"/>
    <x v="1"/>
    <x v="3"/>
    <s v="Week when future region travel."/>
    <x v="0"/>
    <x v="2"/>
    <d v="2024-01-14T00:00:00"/>
    <d v="2024-01-15T00:00:00"/>
    <n v="1"/>
    <x v="1"/>
    <x v="2"/>
  </r>
  <r>
    <x v="440"/>
    <x v="0"/>
    <x v="7"/>
    <x v="3"/>
    <s v="Call despite for American whether call during may."/>
    <x v="0"/>
    <x v="5"/>
    <d v="2024-02-15T00:00:00"/>
    <d v="2024-02-15T00:00:00"/>
    <n v="0"/>
    <x v="0"/>
    <x v="0"/>
  </r>
  <r>
    <x v="441"/>
    <x v="2"/>
    <x v="14"/>
    <x v="0"/>
    <s v="Himself benefit food true skill add on."/>
    <x v="1"/>
    <x v="2"/>
    <d v="2024-01-11T00:00:00"/>
    <d v="2024-01-11T00:00:00"/>
    <n v="0"/>
    <x v="0"/>
    <x v="2"/>
  </r>
  <r>
    <x v="442"/>
    <x v="3"/>
    <x v="9"/>
    <x v="3"/>
    <s v="Suddenly figure again but keep leave form real threat."/>
    <x v="2"/>
    <x v="5"/>
    <d v="2024-03-30T00:00:00"/>
    <d v="2024-03-30T00:00:00"/>
    <n v="0"/>
    <x v="0"/>
    <x v="5"/>
  </r>
  <r>
    <x v="443"/>
    <x v="0"/>
    <x v="0"/>
    <x v="7"/>
    <s v="Home word worry east that."/>
    <x v="0"/>
    <x v="4"/>
    <d v="2024-01-15T00:00:00"/>
    <d v="2024-01-16T00:00:00"/>
    <n v="1"/>
    <x v="1"/>
    <x v="2"/>
  </r>
  <r>
    <x v="444"/>
    <x v="0"/>
    <x v="8"/>
    <x v="3"/>
    <s v="Stay money education can debate care traditional left."/>
    <x v="0"/>
    <x v="3"/>
    <d v="2024-04-04T00:00:00"/>
    <d v="2024-04-04T00:00:00"/>
    <n v="0"/>
    <x v="0"/>
    <x v="3"/>
  </r>
  <r>
    <x v="445"/>
    <x v="0"/>
    <x v="0"/>
    <x v="2"/>
    <s v="Often offer he box road they inside huge animal."/>
    <x v="1"/>
    <x v="0"/>
    <d v="2024-02-11T00:00:00"/>
    <d v="2024-02-11T00:00:00"/>
    <n v="0"/>
    <x v="0"/>
    <x v="0"/>
  </r>
  <r>
    <x v="446"/>
    <x v="1"/>
    <x v="11"/>
    <x v="3"/>
    <s v="Central data year recently one former television how financial describe type."/>
    <x v="1"/>
    <x v="5"/>
    <d v="2024-03-02T00:00:00"/>
    <d v="2024-03-02T00:00:00"/>
    <n v="0"/>
    <x v="0"/>
    <x v="5"/>
  </r>
  <r>
    <x v="447"/>
    <x v="4"/>
    <x v="13"/>
    <x v="3"/>
    <s v="Simply fact like alone cover yeah listen rather."/>
    <x v="1"/>
    <x v="5"/>
    <d v="2024-06-24T00:00:00"/>
    <d v="2024-06-24T00:00:00"/>
    <n v="0"/>
    <x v="0"/>
    <x v="1"/>
  </r>
  <r>
    <x v="448"/>
    <x v="0"/>
    <x v="8"/>
    <x v="3"/>
    <s v="People billion through resource meet believe rather build huge establish."/>
    <x v="2"/>
    <x v="3"/>
    <d v="2024-03-01T00:00:00"/>
    <d v="2024-03-01T00:00:00"/>
    <n v="0"/>
    <x v="0"/>
    <x v="5"/>
  </r>
  <r>
    <x v="449"/>
    <x v="1"/>
    <x v="10"/>
    <x v="1"/>
    <s v="Fire administration notice voice address much student play send."/>
    <x v="0"/>
    <x v="5"/>
    <d v="2024-02-17T00:00:00"/>
    <d v="2024-02-17T00:00:00"/>
    <n v="0"/>
    <x v="0"/>
    <x v="0"/>
  </r>
  <r>
    <x v="450"/>
    <x v="0"/>
    <x v="0"/>
    <x v="4"/>
    <s v="Behavior tonight also day fill."/>
    <x v="2"/>
    <x v="4"/>
    <d v="2024-01-13T00:00:00"/>
    <d v="2024-01-14T00:00:00"/>
    <n v="1"/>
    <x v="1"/>
    <x v="2"/>
  </r>
  <r>
    <x v="451"/>
    <x v="1"/>
    <x v="1"/>
    <x v="0"/>
    <s v="Practice throw protect good without note reach pull."/>
    <x v="1"/>
    <x v="2"/>
    <d v="2024-03-27T00:00:00"/>
    <d v="2024-03-27T00:00:00"/>
    <n v="0"/>
    <x v="0"/>
    <x v="5"/>
  </r>
  <r>
    <x v="452"/>
    <x v="3"/>
    <x v="3"/>
    <x v="7"/>
    <s v="Suffer end lay north move again."/>
    <x v="1"/>
    <x v="5"/>
    <d v="2024-03-09T00:00:00"/>
    <d v="2024-03-09T00:00:00"/>
    <n v="0"/>
    <x v="0"/>
    <x v="5"/>
  </r>
  <r>
    <x v="453"/>
    <x v="1"/>
    <x v="10"/>
    <x v="0"/>
    <s v="Only than who know."/>
    <x v="2"/>
    <x v="1"/>
    <d v="2024-04-23T00:00:00"/>
    <d v="2024-04-23T00:00:00"/>
    <n v="0"/>
    <x v="0"/>
    <x v="3"/>
  </r>
  <r>
    <x v="454"/>
    <x v="2"/>
    <x v="14"/>
    <x v="5"/>
    <s v="Big once who suggest either."/>
    <x v="0"/>
    <x v="0"/>
    <d v="2024-04-11T00:00:00"/>
    <d v="2024-04-11T00:00:00"/>
    <n v="0"/>
    <x v="0"/>
    <x v="3"/>
  </r>
  <r>
    <x v="455"/>
    <x v="1"/>
    <x v="10"/>
    <x v="5"/>
    <s v="Short practice easy front left what owner condition."/>
    <x v="1"/>
    <x v="4"/>
    <d v="2024-01-13T00:00:00"/>
    <d v="2024-01-13T00:00:00"/>
    <n v="0"/>
    <x v="0"/>
    <x v="2"/>
  </r>
  <r>
    <x v="456"/>
    <x v="1"/>
    <x v="10"/>
    <x v="6"/>
    <s v="Price yourself entire price pull another safe gas."/>
    <x v="2"/>
    <x v="2"/>
    <d v="2024-03-24T00:00:00"/>
    <d v="2024-03-24T00:00:00"/>
    <n v="0"/>
    <x v="0"/>
    <x v="5"/>
  </r>
  <r>
    <x v="457"/>
    <x v="0"/>
    <x v="8"/>
    <x v="1"/>
    <s v="Fill research kid left wonder send difference seven."/>
    <x v="0"/>
    <x v="5"/>
    <d v="2024-01-24T00:00:00"/>
    <d v="2024-01-24T00:00:00"/>
    <n v="0"/>
    <x v="0"/>
    <x v="2"/>
  </r>
  <r>
    <x v="458"/>
    <x v="3"/>
    <x v="9"/>
    <x v="2"/>
    <s v="Activity let law economy body couple ever possible past career."/>
    <x v="2"/>
    <x v="1"/>
    <d v="2024-04-17T00:00:00"/>
    <d v="2024-04-17T00:00:00"/>
    <n v="0"/>
    <x v="0"/>
    <x v="3"/>
  </r>
  <r>
    <x v="459"/>
    <x v="3"/>
    <x v="9"/>
    <x v="3"/>
    <s v="Full we keep member total find none."/>
    <x v="2"/>
    <x v="5"/>
    <d v="2024-05-13T00:00:00"/>
    <d v="2024-05-13T00:00:00"/>
    <n v="0"/>
    <x v="0"/>
    <x v="4"/>
  </r>
  <r>
    <x v="460"/>
    <x v="4"/>
    <x v="4"/>
    <x v="5"/>
    <s v="That feeling end second happy week impact clear."/>
    <x v="1"/>
    <x v="4"/>
    <d v="2024-04-23T00:00:00"/>
    <d v="2024-04-23T00:00:00"/>
    <n v="0"/>
    <x v="0"/>
    <x v="3"/>
  </r>
  <r>
    <x v="461"/>
    <x v="0"/>
    <x v="0"/>
    <x v="0"/>
    <s v="Maybe four character end product."/>
    <x v="2"/>
    <x v="5"/>
    <d v="2024-02-11T00:00:00"/>
    <d v="2024-02-11T00:00:00"/>
    <n v="0"/>
    <x v="0"/>
    <x v="0"/>
  </r>
  <r>
    <x v="462"/>
    <x v="3"/>
    <x v="3"/>
    <x v="7"/>
    <s v="No should most social open nice form recognize east have."/>
    <x v="0"/>
    <x v="0"/>
    <d v="2024-03-28T00:00:00"/>
    <d v="2024-03-28T00:00:00"/>
    <n v="0"/>
    <x v="0"/>
    <x v="5"/>
  </r>
  <r>
    <x v="463"/>
    <x v="1"/>
    <x v="10"/>
    <x v="5"/>
    <s v="Work successful your walk the with class million determine attention it."/>
    <x v="0"/>
    <x v="3"/>
    <d v="2024-06-04T00:00:00"/>
    <d v="2024-06-04T00:00:00"/>
    <n v="0"/>
    <x v="0"/>
    <x v="1"/>
  </r>
  <r>
    <x v="464"/>
    <x v="2"/>
    <x v="2"/>
    <x v="2"/>
    <s v="Away only happy quality even we take consider."/>
    <x v="1"/>
    <x v="2"/>
    <d v="2024-02-09T00:00:00"/>
    <d v="2024-02-09T00:00:00"/>
    <n v="0"/>
    <x v="0"/>
    <x v="0"/>
  </r>
  <r>
    <x v="465"/>
    <x v="2"/>
    <x v="5"/>
    <x v="0"/>
    <s v="Teach pick expect on director go wide agent thousand force."/>
    <x v="2"/>
    <x v="4"/>
    <d v="2024-01-23T00:00:00"/>
    <d v="2024-01-24T00:00:00"/>
    <n v="1"/>
    <x v="1"/>
    <x v="2"/>
  </r>
  <r>
    <x v="466"/>
    <x v="2"/>
    <x v="5"/>
    <x v="2"/>
    <s v="Those too car yard early ever only such fall necessary."/>
    <x v="0"/>
    <x v="2"/>
    <d v="2024-04-18T00:00:00"/>
    <d v="2024-04-18T00:00:00"/>
    <n v="0"/>
    <x v="0"/>
    <x v="3"/>
  </r>
  <r>
    <x v="467"/>
    <x v="2"/>
    <x v="5"/>
    <x v="3"/>
    <s v="Lose prove tax thousand son."/>
    <x v="2"/>
    <x v="0"/>
    <d v="2024-02-07T00:00:00"/>
    <d v="2024-02-07T00:00:00"/>
    <n v="0"/>
    <x v="0"/>
    <x v="0"/>
  </r>
  <r>
    <x v="468"/>
    <x v="2"/>
    <x v="5"/>
    <x v="3"/>
    <s v="Kid almost establish explain record operation."/>
    <x v="2"/>
    <x v="0"/>
    <d v="2024-05-18T00:00:00"/>
    <d v="2024-05-18T00:00:00"/>
    <n v="0"/>
    <x v="0"/>
    <x v="4"/>
  </r>
  <r>
    <x v="469"/>
    <x v="2"/>
    <x v="2"/>
    <x v="2"/>
    <s v="Employee view computer particularly successful."/>
    <x v="2"/>
    <x v="3"/>
    <d v="2024-01-30T00:00:00"/>
    <d v="2024-01-30T00:00:00"/>
    <n v="0"/>
    <x v="0"/>
    <x v="2"/>
  </r>
  <r>
    <x v="470"/>
    <x v="2"/>
    <x v="2"/>
    <x v="5"/>
    <s v="Theory type break picture choose son professor."/>
    <x v="2"/>
    <x v="1"/>
    <d v="2024-05-06T00:00:00"/>
    <d v="2024-05-06T00:00:00"/>
    <n v="0"/>
    <x v="0"/>
    <x v="4"/>
  </r>
  <r>
    <x v="471"/>
    <x v="2"/>
    <x v="14"/>
    <x v="1"/>
    <s v="Week act of piece kitchen technology drive blood."/>
    <x v="0"/>
    <x v="3"/>
    <d v="2024-05-11T00:00:00"/>
    <d v="2024-05-11T00:00:00"/>
    <n v="0"/>
    <x v="0"/>
    <x v="4"/>
  </r>
  <r>
    <x v="472"/>
    <x v="2"/>
    <x v="5"/>
    <x v="3"/>
    <s v="Put issue window late audience Congress friend available impact."/>
    <x v="2"/>
    <x v="2"/>
    <d v="2024-05-18T00:00:00"/>
    <d v="2024-05-18T00:00:00"/>
    <n v="0"/>
    <x v="0"/>
    <x v="4"/>
  </r>
  <r>
    <x v="473"/>
    <x v="2"/>
    <x v="5"/>
    <x v="3"/>
    <s v="Interesting image protect early trip fine manage."/>
    <x v="2"/>
    <x v="0"/>
    <d v="2024-05-09T00:00:00"/>
    <d v="2024-05-09T00:00:00"/>
    <n v="0"/>
    <x v="0"/>
    <x v="4"/>
  </r>
  <r>
    <x v="474"/>
    <x v="2"/>
    <x v="14"/>
    <x v="2"/>
    <s v="More foot culture right happen."/>
    <x v="2"/>
    <x v="0"/>
    <d v="2024-01-18T00:00:00"/>
    <d v="2024-01-18T00:00:00"/>
    <n v="0"/>
    <x v="0"/>
    <x v="2"/>
  </r>
  <r>
    <x v="475"/>
    <x v="2"/>
    <x v="2"/>
    <x v="1"/>
    <s v="Both modern any item small information according full side risk."/>
    <x v="1"/>
    <x v="1"/>
    <d v="2024-04-24T00:00:00"/>
    <d v="2024-04-24T00:00:00"/>
    <n v="0"/>
    <x v="0"/>
    <x v="3"/>
  </r>
  <r>
    <x v="476"/>
    <x v="2"/>
    <x v="14"/>
    <x v="0"/>
    <s v="Firm during notice investment draw safe wind party."/>
    <x v="0"/>
    <x v="3"/>
    <d v="2024-04-26T00:00:00"/>
    <d v="2024-04-26T00:00:00"/>
    <n v="0"/>
    <x v="0"/>
    <x v="3"/>
  </r>
  <r>
    <x v="477"/>
    <x v="2"/>
    <x v="14"/>
    <x v="1"/>
    <s v="Notice age how social camera personal."/>
    <x v="0"/>
    <x v="2"/>
    <d v="2024-04-15T00:00:00"/>
    <d v="2024-04-15T00:00:00"/>
    <n v="0"/>
    <x v="0"/>
    <x v="3"/>
  </r>
  <r>
    <x v="478"/>
    <x v="2"/>
    <x v="2"/>
    <x v="6"/>
    <s v="Simply company choice recently least cover crime."/>
    <x v="0"/>
    <x v="2"/>
    <d v="2024-05-04T00:00:00"/>
    <d v="2024-05-04T00:00:00"/>
    <n v="0"/>
    <x v="0"/>
    <x v="4"/>
  </r>
  <r>
    <x v="479"/>
    <x v="2"/>
    <x v="14"/>
    <x v="4"/>
    <s v="Administration opportunity education represent here."/>
    <x v="0"/>
    <x v="3"/>
    <d v="2024-03-05T00:00:00"/>
    <d v="2024-03-05T00:00:00"/>
    <n v="0"/>
    <x v="0"/>
    <x v="5"/>
  </r>
  <r>
    <x v="480"/>
    <x v="2"/>
    <x v="5"/>
    <x v="4"/>
    <s v="Operation citizen rich environmental wrong example prepare."/>
    <x v="0"/>
    <x v="2"/>
    <d v="2024-03-26T00:00:00"/>
    <d v="2024-03-26T00:00:00"/>
    <n v="0"/>
    <x v="0"/>
    <x v="5"/>
  </r>
  <r>
    <x v="481"/>
    <x v="2"/>
    <x v="14"/>
    <x v="3"/>
    <s v="Paper rich particularly country pay."/>
    <x v="1"/>
    <x v="1"/>
    <d v="2024-04-27T00:00:00"/>
    <d v="2024-04-27T00:00:00"/>
    <n v="0"/>
    <x v="0"/>
    <x v="3"/>
  </r>
  <r>
    <x v="482"/>
    <x v="2"/>
    <x v="14"/>
    <x v="3"/>
    <s v="The scene employee of area stop them character southern."/>
    <x v="2"/>
    <x v="5"/>
    <d v="2024-03-21T00:00:00"/>
    <d v="2024-03-21T00:00:00"/>
    <n v="0"/>
    <x v="0"/>
    <x v="5"/>
  </r>
  <r>
    <x v="483"/>
    <x v="2"/>
    <x v="2"/>
    <x v="6"/>
    <s v="Might bit group two court manage particularly meeting station relate."/>
    <x v="2"/>
    <x v="0"/>
    <d v="2024-03-05T00:00:00"/>
    <d v="2024-03-05T00:00:00"/>
    <n v="0"/>
    <x v="0"/>
    <x v="5"/>
  </r>
  <r>
    <x v="484"/>
    <x v="2"/>
    <x v="5"/>
    <x v="6"/>
    <s v="Church like half activity first chance bad head standard kitchen."/>
    <x v="2"/>
    <x v="1"/>
    <d v="2024-05-03T00:00:00"/>
    <d v="2024-05-03T00:00:00"/>
    <n v="0"/>
    <x v="0"/>
    <x v="4"/>
  </r>
  <r>
    <x v="485"/>
    <x v="2"/>
    <x v="5"/>
    <x v="7"/>
    <s v="Thus camera mother structure will society tell whom amount should campaign."/>
    <x v="0"/>
    <x v="3"/>
    <d v="2024-04-30T00:00:00"/>
    <d v="2024-04-30T00:00:00"/>
    <n v="0"/>
    <x v="0"/>
    <x v="3"/>
  </r>
  <r>
    <x v="486"/>
    <x v="2"/>
    <x v="5"/>
    <x v="3"/>
    <s v="Stand reveal story compare mean last war stock happen book."/>
    <x v="2"/>
    <x v="1"/>
    <d v="2024-03-05T00:00:00"/>
    <d v="2024-03-06T00:00:00"/>
    <n v="1"/>
    <x v="1"/>
    <x v="5"/>
  </r>
  <r>
    <x v="487"/>
    <x v="2"/>
    <x v="2"/>
    <x v="3"/>
    <s v="Pull official father political marriage traditional can perhaps."/>
    <x v="2"/>
    <x v="2"/>
    <d v="2024-05-18T00:00:00"/>
    <d v="2024-05-18T00:00:00"/>
    <n v="0"/>
    <x v="0"/>
    <x v="4"/>
  </r>
  <r>
    <x v="488"/>
    <x v="2"/>
    <x v="14"/>
    <x v="3"/>
    <s v="Different interesting who both board lot course road drop around."/>
    <x v="1"/>
    <x v="4"/>
    <d v="2024-01-22T00:00:00"/>
    <d v="2024-01-22T00:00:00"/>
    <n v="0"/>
    <x v="0"/>
    <x v="2"/>
  </r>
  <r>
    <x v="489"/>
    <x v="2"/>
    <x v="2"/>
    <x v="4"/>
    <s v="Drop employee religious too age tell word size up."/>
    <x v="1"/>
    <x v="1"/>
    <d v="2024-05-20T00:00:00"/>
    <d v="2024-05-20T00:00:00"/>
    <n v="0"/>
    <x v="0"/>
    <x v="4"/>
  </r>
  <r>
    <x v="490"/>
    <x v="2"/>
    <x v="14"/>
    <x v="5"/>
    <s v="Control force be sell contain."/>
    <x v="2"/>
    <x v="5"/>
    <d v="2024-01-05T00:00:00"/>
    <d v="2024-01-05T00:00:00"/>
    <n v="0"/>
    <x v="0"/>
    <x v="2"/>
  </r>
  <r>
    <x v="491"/>
    <x v="2"/>
    <x v="2"/>
    <x v="6"/>
    <s v="Find board region draw reflect goal event special way along."/>
    <x v="1"/>
    <x v="0"/>
    <d v="2024-04-23T00:00:00"/>
    <d v="2024-04-23T00:00:00"/>
    <n v="0"/>
    <x v="0"/>
    <x v="3"/>
  </r>
  <r>
    <x v="492"/>
    <x v="2"/>
    <x v="2"/>
    <x v="3"/>
    <s v="Attention road physical imagine drop eight writer wind middle of."/>
    <x v="1"/>
    <x v="4"/>
    <d v="2024-05-02T00:00:00"/>
    <d v="2024-05-02T00:00:00"/>
    <n v="0"/>
    <x v="0"/>
    <x v="4"/>
  </r>
  <r>
    <x v="493"/>
    <x v="2"/>
    <x v="5"/>
    <x v="4"/>
    <s v="Far these him easy girl street."/>
    <x v="0"/>
    <x v="0"/>
    <d v="2024-01-13T00:00:00"/>
    <d v="2024-01-13T00:00:00"/>
    <n v="0"/>
    <x v="0"/>
    <x v="2"/>
  </r>
  <r>
    <x v="494"/>
    <x v="2"/>
    <x v="14"/>
    <x v="0"/>
    <s v="Himself benefit food true skill add on."/>
    <x v="1"/>
    <x v="2"/>
    <d v="2024-01-11T00:00:00"/>
    <d v="2024-01-11T00:00:00"/>
    <n v="0"/>
    <x v="0"/>
    <x v="2"/>
  </r>
  <r>
    <x v="495"/>
    <x v="2"/>
    <x v="14"/>
    <x v="5"/>
    <s v="Big once who suggest either."/>
    <x v="0"/>
    <x v="0"/>
    <d v="2024-04-11T00:00:00"/>
    <d v="2024-04-11T00:00:00"/>
    <n v="0"/>
    <x v="0"/>
    <x v="3"/>
  </r>
  <r>
    <x v="496"/>
    <x v="2"/>
    <x v="5"/>
    <x v="2"/>
    <s v="Himself nothing public season why."/>
    <x v="0"/>
    <x v="0"/>
    <d v="2024-03-11T00:00:00"/>
    <d v="2024-03-11T00:00:00"/>
    <n v="0"/>
    <x v="0"/>
    <x v="5"/>
  </r>
  <r>
    <x v="497"/>
    <x v="2"/>
    <x v="5"/>
    <x v="0"/>
    <s v="History cold account attack lawyer unit peace although film onto run."/>
    <x v="2"/>
    <x v="0"/>
    <d v="2024-01-05T00:00:00"/>
    <d v="2024-01-05T00:00:00"/>
    <n v="0"/>
    <x v="0"/>
    <x v="2"/>
  </r>
  <r>
    <x v="498"/>
    <x v="2"/>
    <x v="5"/>
    <x v="3"/>
    <s v="Reduce truth without medical hand."/>
    <x v="0"/>
    <x v="5"/>
    <d v="2024-03-30T00:00:00"/>
    <d v="2024-03-30T00:00:00"/>
    <n v="0"/>
    <x v="0"/>
    <x v="5"/>
  </r>
  <r>
    <x v="499"/>
    <x v="2"/>
    <x v="2"/>
    <x v="3"/>
    <s v="Trouble certain happen imagine throughout Democrat goal crime also above."/>
    <x v="2"/>
    <x v="0"/>
    <d v="2024-04-20T00:00:00"/>
    <d v="2024-04-20T00:00:00"/>
    <n v="0"/>
    <x v="0"/>
    <x v="3"/>
  </r>
  <r>
    <x v="500"/>
    <x v="2"/>
    <x v="2"/>
    <x v="1"/>
    <s v="Concern charge opportunity against challenge Congress someone else late."/>
    <x v="2"/>
    <x v="1"/>
    <d v="2024-05-19T00:00:00"/>
    <d v="2024-05-19T00:00:00"/>
    <n v="0"/>
    <x v="0"/>
    <x v="4"/>
  </r>
  <r>
    <x v="501"/>
    <x v="2"/>
    <x v="5"/>
    <x v="5"/>
    <s v="Move well cause reveal improve include business."/>
    <x v="1"/>
    <x v="4"/>
    <d v="2024-02-14T00:00:00"/>
    <d v="2024-02-14T00:00:00"/>
    <n v="0"/>
    <x v="0"/>
    <x v="0"/>
  </r>
  <r>
    <x v="502"/>
    <x v="2"/>
    <x v="14"/>
    <x v="6"/>
    <s v="Whom run note send hold first build serious."/>
    <x v="0"/>
    <x v="0"/>
    <d v="2024-06-02T00:00:00"/>
    <d v="2024-06-02T00:00:00"/>
    <n v="0"/>
    <x v="0"/>
    <x v="1"/>
  </r>
  <r>
    <x v="503"/>
    <x v="2"/>
    <x v="5"/>
    <x v="4"/>
    <s v="Toward since civil away."/>
    <x v="2"/>
    <x v="2"/>
    <d v="2024-06-07T00:00:00"/>
    <d v="2024-06-07T00:00:00"/>
    <n v="0"/>
    <x v="0"/>
    <x v="1"/>
  </r>
  <r>
    <x v="504"/>
    <x v="2"/>
    <x v="2"/>
    <x v="3"/>
    <s v="Sport her radio look marriage."/>
    <x v="1"/>
    <x v="4"/>
    <d v="2024-01-01T00:00:00"/>
    <d v="2024-01-01T00:00:00"/>
    <n v="0"/>
    <x v="0"/>
    <x v="2"/>
  </r>
  <r>
    <x v="505"/>
    <x v="2"/>
    <x v="2"/>
    <x v="3"/>
    <s v="Top act about police fill."/>
    <x v="0"/>
    <x v="3"/>
    <d v="2024-01-19T00:00:00"/>
    <d v="2024-01-19T00:00:00"/>
    <n v="0"/>
    <x v="0"/>
    <x v="2"/>
  </r>
  <r>
    <x v="506"/>
    <x v="2"/>
    <x v="2"/>
    <x v="2"/>
    <s v="Away only happy quality even we take consider."/>
    <x v="1"/>
    <x v="2"/>
    <d v="2024-02-09T00:00:00"/>
    <d v="2024-02-09T00:00:00"/>
    <n v="0"/>
    <x v="0"/>
    <x v="0"/>
  </r>
  <r>
    <x v="507"/>
    <x v="2"/>
    <x v="5"/>
    <x v="0"/>
    <s v="Teach pick expect on director go wide agent thousand force."/>
    <x v="2"/>
    <x v="4"/>
    <d v="2024-01-23T00:00:00"/>
    <d v="2024-01-24T00:00:00"/>
    <n v="1"/>
    <x v="1"/>
    <x v="2"/>
  </r>
  <r>
    <x v="508"/>
    <x v="2"/>
    <x v="5"/>
    <x v="2"/>
    <s v="Those too car yard early ever only such fall necessary."/>
    <x v="0"/>
    <x v="2"/>
    <d v="2024-04-18T00:00:00"/>
    <d v="2024-04-18T00:00:00"/>
    <n v="0"/>
    <x v="0"/>
    <x v="3"/>
  </r>
  <r>
    <x v="509"/>
    <x v="2"/>
    <x v="5"/>
    <x v="3"/>
    <s v="Lose prove tax thousand son."/>
    <x v="2"/>
    <x v="0"/>
    <d v="2024-02-07T00:00:00"/>
    <d v="2024-02-07T00:00:00"/>
    <n v="0"/>
    <x v="0"/>
    <x v="0"/>
  </r>
  <r>
    <x v="510"/>
    <x v="2"/>
    <x v="5"/>
    <x v="3"/>
    <s v="Kid almost establish explain record operation."/>
    <x v="2"/>
    <x v="0"/>
    <d v="2024-05-18T00:00:00"/>
    <d v="2024-05-18T00:00:00"/>
    <n v="0"/>
    <x v="0"/>
    <x v="4"/>
  </r>
  <r>
    <x v="511"/>
    <x v="2"/>
    <x v="2"/>
    <x v="3"/>
    <s v="Employee view computer particularly successful."/>
    <x v="2"/>
    <x v="3"/>
    <d v="2024-01-30T00:00:00"/>
    <d v="2024-01-30T00:00:00"/>
    <n v="0"/>
    <x v="0"/>
    <x v="2"/>
  </r>
  <r>
    <x v="512"/>
    <x v="2"/>
    <x v="2"/>
    <x v="5"/>
    <s v="Theory type break picture choose son professor."/>
    <x v="2"/>
    <x v="1"/>
    <d v="2024-05-06T00:00:00"/>
    <d v="2024-05-06T00:00:00"/>
    <n v="0"/>
    <x v="0"/>
    <x v="4"/>
  </r>
  <r>
    <x v="513"/>
    <x v="2"/>
    <x v="14"/>
    <x v="1"/>
    <s v="Week act of piece kitchen technology drive blood."/>
    <x v="0"/>
    <x v="3"/>
    <d v="2024-05-11T00:00:00"/>
    <d v="2024-05-11T00:00:00"/>
    <n v="0"/>
    <x v="0"/>
    <x v="4"/>
  </r>
  <r>
    <x v="514"/>
    <x v="2"/>
    <x v="5"/>
    <x v="3"/>
    <s v="Put issue window late audience Congress friend available impact."/>
    <x v="2"/>
    <x v="2"/>
    <d v="2024-05-18T00:00:00"/>
    <d v="2024-05-18T00:00:00"/>
    <n v="0"/>
    <x v="0"/>
    <x v="4"/>
  </r>
  <r>
    <x v="515"/>
    <x v="2"/>
    <x v="5"/>
    <x v="3"/>
    <s v="Interesting image protect early trip fine manage."/>
    <x v="2"/>
    <x v="0"/>
    <d v="2024-05-09T00:00:00"/>
    <d v="2024-05-09T00:00:00"/>
    <n v="0"/>
    <x v="0"/>
    <x v="4"/>
  </r>
  <r>
    <x v="516"/>
    <x v="2"/>
    <x v="14"/>
    <x v="2"/>
    <s v="More foot culture right happen."/>
    <x v="2"/>
    <x v="0"/>
    <d v="2024-01-18T00:00:00"/>
    <d v="2024-01-18T00:00:00"/>
    <n v="0"/>
    <x v="0"/>
    <x v="2"/>
  </r>
  <r>
    <x v="517"/>
    <x v="2"/>
    <x v="2"/>
    <x v="1"/>
    <s v="Both modern any item small information according full side risk."/>
    <x v="1"/>
    <x v="1"/>
    <d v="2024-04-24T00:00:00"/>
    <d v="2024-04-24T00:00:00"/>
    <n v="0"/>
    <x v="0"/>
    <x v="3"/>
  </r>
  <r>
    <x v="518"/>
    <x v="2"/>
    <x v="14"/>
    <x v="0"/>
    <s v="Firm during notice investment draw safe wind party."/>
    <x v="0"/>
    <x v="3"/>
    <d v="2024-04-26T00:00:00"/>
    <d v="2024-04-26T00:00:00"/>
    <n v="0"/>
    <x v="0"/>
    <x v="3"/>
  </r>
  <r>
    <x v="519"/>
    <x v="2"/>
    <x v="14"/>
    <x v="1"/>
    <s v="Notice age how social camera personal."/>
    <x v="0"/>
    <x v="2"/>
    <d v="2024-04-15T00:00:00"/>
    <d v="2024-04-15T00:00:00"/>
    <n v="0"/>
    <x v="0"/>
    <x v="3"/>
  </r>
  <r>
    <x v="520"/>
    <x v="2"/>
    <x v="2"/>
    <x v="6"/>
    <s v="Simply company choice recently least cover crime."/>
    <x v="0"/>
    <x v="2"/>
    <d v="2024-05-04T00:00:00"/>
    <d v="2024-05-04T00:00:00"/>
    <n v="0"/>
    <x v="0"/>
    <x v="4"/>
  </r>
  <r>
    <x v="521"/>
    <x v="2"/>
    <x v="14"/>
    <x v="4"/>
    <s v="Administration opportunity education represent here."/>
    <x v="0"/>
    <x v="3"/>
    <d v="2024-03-05T00:00:00"/>
    <d v="2024-03-05T00:00:00"/>
    <n v="0"/>
    <x v="0"/>
    <x v="5"/>
  </r>
  <r>
    <x v="522"/>
    <x v="2"/>
    <x v="5"/>
    <x v="4"/>
    <s v="Operation citizen rich environmental wrong example prepare."/>
    <x v="0"/>
    <x v="2"/>
    <d v="2024-03-26T00:00:00"/>
    <d v="2024-03-26T00:00:00"/>
    <n v="0"/>
    <x v="0"/>
    <x v="5"/>
  </r>
  <r>
    <x v="523"/>
    <x v="2"/>
    <x v="14"/>
    <x v="3"/>
    <s v="Paper rich particularly country pay."/>
    <x v="1"/>
    <x v="1"/>
    <d v="2024-04-27T00:00:00"/>
    <d v="2024-04-27T00:00:00"/>
    <n v="0"/>
    <x v="0"/>
    <x v="3"/>
  </r>
  <r>
    <x v="524"/>
    <x v="2"/>
    <x v="14"/>
    <x v="3"/>
    <s v="The scene employee of area stop them character southern."/>
    <x v="2"/>
    <x v="5"/>
    <d v="2024-03-21T00:00:00"/>
    <d v="2024-03-21T00:00:00"/>
    <n v="0"/>
    <x v="0"/>
    <x v="5"/>
  </r>
  <r>
    <x v="525"/>
    <x v="2"/>
    <x v="2"/>
    <x v="6"/>
    <s v="Might bit group two court manage particularly meeting station relate."/>
    <x v="2"/>
    <x v="0"/>
    <d v="2024-03-05T00:00:00"/>
    <d v="2024-03-05T00:00:00"/>
    <n v="0"/>
    <x v="0"/>
    <x v="5"/>
  </r>
  <r>
    <x v="526"/>
    <x v="2"/>
    <x v="5"/>
    <x v="6"/>
    <s v="Church like half activity first chance bad head standard kitchen."/>
    <x v="2"/>
    <x v="1"/>
    <d v="2024-05-03T00:00:00"/>
    <d v="2024-05-03T00:00:00"/>
    <n v="0"/>
    <x v="0"/>
    <x v="4"/>
  </r>
  <r>
    <x v="527"/>
    <x v="2"/>
    <x v="5"/>
    <x v="7"/>
    <s v="Thus camera mother structure will society tell whom amount should campaign."/>
    <x v="0"/>
    <x v="3"/>
    <d v="2024-04-30T00:00:00"/>
    <d v="2024-04-30T00:00:00"/>
    <n v="0"/>
    <x v="0"/>
    <x v="3"/>
  </r>
  <r>
    <x v="528"/>
    <x v="2"/>
    <x v="5"/>
    <x v="3"/>
    <s v="Stand reveal story compare mean last war stock happen book."/>
    <x v="2"/>
    <x v="1"/>
    <d v="2024-03-05T00:00:00"/>
    <d v="2024-03-05T00:00:00"/>
    <n v="0"/>
    <x v="0"/>
    <x v="5"/>
  </r>
  <r>
    <x v="529"/>
    <x v="2"/>
    <x v="2"/>
    <x v="3"/>
    <s v="Pull official father political marriage traditional can perhaps."/>
    <x v="2"/>
    <x v="2"/>
    <d v="2024-05-18T00:00:00"/>
    <d v="2024-05-18T00:00:00"/>
    <n v="0"/>
    <x v="0"/>
    <x v="4"/>
  </r>
  <r>
    <x v="530"/>
    <x v="2"/>
    <x v="14"/>
    <x v="3"/>
    <s v="Different interesting who both board lot course road drop around."/>
    <x v="1"/>
    <x v="4"/>
    <d v="2024-01-22T00:00:00"/>
    <d v="2024-01-22T00:00:00"/>
    <n v="0"/>
    <x v="0"/>
    <x v="2"/>
  </r>
  <r>
    <x v="531"/>
    <x v="2"/>
    <x v="2"/>
    <x v="4"/>
    <s v="Drop employee religious too age tell word size up."/>
    <x v="1"/>
    <x v="1"/>
    <d v="2024-05-20T00:00:00"/>
    <d v="2024-05-20T00:00:00"/>
    <n v="0"/>
    <x v="0"/>
    <x v="4"/>
  </r>
  <r>
    <x v="532"/>
    <x v="2"/>
    <x v="14"/>
    <x v="5"/>
    <s v="Control force be sell contain."/>
    <x v="2"/>
    <x v="5"/>
    <d v="2024-01-05T00:00:00"/>
    <d v="2024-01-05T00:00:00"/>
    <n v="0"/>
    <x v="0"/>
    <x v="2"/>
  </r>
  <r>
    <x v="533"/>
    <x v="2"/>
    <x v="2"/>
    <x v="6"/>
    <s v="Find board region draw reflect goal event special way along."/>
    <x v="1"/>
    <x v="0"/>
    <d v="2024-04-23T00:00:00"/>
    <d v="2024-04-23T00:00:00"/>
    <n v="0"/>
    <x v="0"/>
    <x v="3"/>
  </r>
  <r>
    <x v="534"/>
    <x v="2"/>
    <x v="2"/>
    <x v="3"/>
    <s v="Attention road physical imagine drop eight writer wind middle of."/>
    <x v="1"/>
    <x v="4"/>
    <d v="2024-05-02T00:00:00"/>
    <d v="2024-05-02T00:00:00"/>
    <n v="0"/>
    <x v="0"/>
    <x v="4"/>
  </r>
  <r>
    <x v="535"/>
    <x v="2"/>
    <x v="5"/>
    <x v="4"/>
    <s v="Far these him easy girl street."/>
    <x v="0"/>
    <x v="0"/>
    <d v="2024-01-13T00:00:00"/>
    <d v="2024-01-13T00:00:00"/>
    <n v="0"/>
    <x v="0"/>
    <x v="2"/>
  </r>
  <r>
    <x v="536"/>
    <x v="2"/>
    <x v="14"/>
    <x v="0"/>
    <s v="Himself benefit food true skill add on."/>
    <x v="1"/>
    <x v="2"/>
    <d v="2024-01-11T00:00:00"/>
    <d v="2024-01-11T00:00:00"/>
    <n v="0"/>
    <x v="0"/>
    <x v="2"/>
  </r>
  <r>
    <x v="537"/>
    <x v="2"/>
    <x v="14"/>
    <x v="5"/>
    <s v="Big once who suggest either."/>
    <x v="0"/>
    <x v="0"/>
    <d v="2024-04-11T00:00:00"/>
    <d v="2024-04-11T00:00:00"/>
    <n v="0"/>
    <x v="0"/>
    <x v="3"/>
  </r>
  <r>
    <x v="538"/>
    <x v="2"/>
    <x v="5"/>
    <x v="2"/>
    <s v="Himself nothing public season why."/>
    <x v="0"/>
    <x v="0"/>
    <d v="2024-03-11T00:00:00"/>
    <d v="2024-03-11T00:00:00"/>
    <n v="0"/>
    <x v="0"/>
    <x v="5"/>
  </r>
  <r>
    <x v="539"/>
    <x v="2"/>
    <x v="5"/>
    <x v="0"/>
    <s v="History cold account attack lawyer unit peace although film onto run."/>
    <x v="2"/>
    <x v="0"/>
    <d v="2024-01-05T00:00:00"/>
    <d v="2024-01-05T00:00:00"/>
    <n v="0"/>
    <x v="0"/>
    <x v="2"/>
  </r>
  <r>
    <x v="540"/>
    <x v="2"/>
    <x v="5"/>
    <x v="3"/>
    <s v="Reduce truth without medical hand."/>
    <x v="0"/>
    <x v="5"/>
    <d v="2024-03-30T00:00:00"/>
    <d v="2024-03-30T00:00:00"/>
    <n v="0"/>
    <x v="0"/>
    <x v="5"/>
  </r>
  <r>
    <x v="541"/>
    <x v="2"/>
    <x v="2"/>
    <x v="3"/>
    <s v="Trouble certain happen imagine throughout Democrat goal crime also above."/>
    <x v="2"/>
    <x v="0"/>
    <d v="2024-04-20T00:00:00"/>
    <d v="2024-04-20T00:00:00"/>
    <n v="0"/>
    <x v="0"/>
    <x v="3"/>
  </r>
  <r>
    <x v="542"/>
    <x v="2"/>
    <x v="2"/>
    <x v="1"/>
    <s v="Concern charge opportunity against challenge Congress someone else late."/>
    <x v="2"/>
    <x v="1"/>
    <d v="2024-05-19T00:00:00"/>
    <d v="2024-05-19T00:00:00"/>
    <n v="0"/>
    <x v="0"/>
    <x v="4"/>
  </r>
  <r>
    <x v="543"/>
    <x v="2"/>
    <x v="5"/>
    <x v="5"/>
    <s v="Move well cause reveal improve include business."/>
    <x v="1"/>
    <x v="4"/>
    <d v="2024-02-14T00:00:00"/>
    <d v="2024-02-14T00:00:00"/>
    <n v="0"/>
    <x v="0"/>
    <x v="0"/>
  </r>
  <r>
    <x v="544"/>
    <x v="2"/>
    <x v="14"/>
    <x v="6"/>
    <s v="Whom run note send hold first build serious."/>
    <x v="0"/>
    <x v="0"/>
    <d v="2024-06-02T00:00:00"/>
    <d v="2024-06-02T00:00:00"/>
    <n v="0"/>
    <x v="0"/>
    <x v="1"/>
  </r>
  <r>
    <x v="545"/>
    <x v="2"/>
    <x v="5"/>
    <x v="4"/>
    <s v="Toward since civil away."/>
    <x v="2"/>
    <x v="2"/>
    <d v="2024-06-07T00:00:00"/>
    <d v="2024-06-07T00:00:00"/>
    <n v="0"/>
    <x v="0"/>
    <x v="1"/>
  </r>
  <r>
    <x v="546"/>
    <x v="2"/>
    <x v="2"/>
    <x v="3"/>
    <s v="Sport her radio look marriage."/>
    <x v="1"/>
    <x v="4"/>
    <d v="2024-01-01T00:00:00"/>
    <d v="2024-01-01T00:00:00"/>
    <n v="0"/>
    <x v="0"/>
    <x v="2"/>
  </r>
  <r>
    <x v="547"/>
    <x v="2"/>
    <x v="2"/>
    <x v="3"/>
    <s v="Top act about police fill."/>
    <x v="0"/>
    <x v="3"/>
    <d v="2024-01-19T00:00:00"/>
    <d v="2024-01-19T00:00:00"/>
    <n v="0"/>
    <x v="0"/>
    <x v="2"/>
  </r>
  <r>
    <x v="548"/>
    <x v="2"/>
    <x v="14"/>
    <x v="3"/>
    <s v="Paper rich particularly country pay."/>
    <x v="1"/>
    <x v="1"/>
    <d v="2024-04-27T00:00:00"/>
    <d v="2024-04-27T00:00:00"/>
    <n v="0"/>
    <x v="0"/>
    <x v="3"/>
  </r>
  <r>
    <x v="549"/>
    <x v="2"/>
    <x v="14"/>
    <x v="3"/>
    <s v="The scene employee of area stop them character southern."/>
    <x v="2"/>
    <x v="5"/>
    <d v="2024-03-21T00:00:00"/>
    <d v="2024-03-21T00:00:00"/>
    <n v="0"/>
    <x v="0"/>
    <x v="5"/>
  </r>
  <r>
    <x v="550"/>
    <x v="2"/>
    <x v="2"/>
    <x v="6"/>
    <s v="Might bit group two court manage particularly meeting station relate."/>
    <x v="2"/>
    <x v="0"/>
    <d v="2024-03-05T00:00:00"/>
    <d v="2024-03-05T00:00:00"/>
    <n v="0"/>
    <x v="0"/>
    <x v="5"/>
  </r>
  <r>
    <x v="551"/>
    <x v="2"/>
    <x v="5"/>
    <x v="6"/>
    <s v="Church like half activity first chance bad head standard kitchen."/>
    <x v="2"/>
    <x v="1"/>
    <d v="2024-05-03T00:00:00"/>
    <d v="2024-05-03T00:00:00"/>
    <n v="0"/>
    <x v="0"/>
    <x v="4"/>
  </r>
  <r>
    <x v="552"/>
    <x v="2"/>
    <x v="5"/>
    <x v="7"/>
    <s v="Thus camera mother structure will society tell whom amount should campaign."/>
    <x v="0"/>
    <x v="3"/>
    <d v="2024-04-30T00:00:00"/>
    <d v="2024-04-30T00:00:00"/>
    <n v="0"/>
    <x v="0"/>
    <x v="3"/>
  </r>
  <r>
    <x v="553"/>
    <x v="2"/>
    <x v="5"/>
    <x v="2"/>
    <s v="Stand reveal story compare mean last war stock happen book."/>
    <x v="2"/>
    <x v="1"/>
    <d v="2024-03-05T00:00:00"/>
    <d v="2024-03-05T00:00:00"/>
    <n v="0"/>
    <x v="0"/>
    <x v="5"/>
  </r>
  <r>
    <x v="554"/>
    <x v="2"/>
    <x v="2"/>
    <x v="3"/>
    <s v="Pull official father political marriage traditional can perhaps."/>
    <x v="2"/>
    <x v="2"/>
    <d v="2024-05-18T00:00:00"/>
    <d v="2024-05-18T00:00:00"/>
    <n v="0"/>
    <x v="0"/>
    <x v="4"/>
  </r>
  <r>
    <x v="555"/>
    <x v="2"/>
    <x v="14"/>
    <x v="3"/>
    <s v="Different interesting who both board lot course road drop around."/>
    <x v="1"/>
    <x v="4"/>
    <d v="2024-01-22T00:00:00"/>
    <d v="2024-01-22T00:00:00"/>
    <n v="0"/>
    <x v="0"/>
    <x v="2"/>
  </r>
  <r>
    <x v="556"/>
    <x v="2"/>
    <x v="2"/>
    <x v="4"/>
    <s v="Drop employee religious too age tell word size up."/>
    <x v="1"/>
    <x v="1"/>
    <d v="2024-05-20T00:00:00"/>
    <d v="2024-05-20T00:00:00"/>
    <n v="0"/>
    <x v="0"/>
    <x v="4"/>
  </r>
  <r>
    <x v="557"/>
    <x v="2"/>
    <x v="14"/>
    <x v="5"/>
    <s v="Control force be sell contain."/>
    <x v="2"/>
    <x v="5"/>
    <d v="2024-01-05T00:00:00"/>
    <d v="2024-01-05T00:00:00"/>
    <n v="0"/>
    <x v="0"/>
    <x v="2"/>
  </r>
  <r>
    <x v="558"/>
    <x v="2"/>
    <x v="2"/>
    <x v="1"/>
    <s v="Find board region draw reflect goal event special way along."/>
    <x v="1"/>
    <x v="0"/>
    <d v="2024-04-23T00:00:00"/>
    <d v="2024-04-23T00:00:00"/>
    <n v="0"/>
    <x v="0"/>
    <x v="3"/>
  </r>
  <r>
    <x v="559"/>
    <x v="2"/>
    <x v="2"/>
    <x v="3"/>
    <s v="Attention road physical imagine drop eight writer wind middle of."/>
    <x v="1"/>
    <x v="4"/>
    <d v="2024-05-02T00:00:00"/>
    <d v="2024-05-02T00:00:00"/>
    <n v="0"/>
    <x v="0"/>
    <x v="4"/>
  </r>
  <r>
    <x v="560"/>
    <x v="2"/>
    <x v="5"/>
    <x v="4"/>
    <s v="Far these him easy girl street."/>
    <x v="0"/>
    <x v="0"/>
    <d v="2024-01-13T00:00:00"/>
    <d v="2024-01-13T00:00:00"/>
    <n v="0"/>
    <x v="0"/>
    <x v="2"/>
  </r>
  <r>
    <x v="561"/>
    <x v="2"/>
    <x v="14"/>
    <x v="0"/>
    <s v="Himself benefit food true skill add on."/>
    <x v="1"/>
    <x v="2"/>
    <d v="2024-01-11T00:00:00"/>
    <d v="2024-01-11T00:00:00"/>
    <n v="0"/>
    <x v="0"/>
    <x v="2"/>
  </r>
  <r>
    <x v="562"/>
    <x v="2"/>
    <x v="14"/>
    <x v="5"/>
    <s v="Big once who suggest either."/>
    <x v="0"/>
    <x v="0"/>
    <d v="2024-04-11T00:00:00"/>
    <d v="2024-04-11T00:00:00"/>
    <n v="0"/>
    <x v="0"/>
    <x v="3"/>
  </r>
  <r>
    <x v="563"/>
    <x v="0"/>
    <x v="0"/>
    <x v="0"/>
    <s v="Reduce discuss specific answer provide."/>
    <x v="0"/>
    <x v="0"/>
    <d v="2024-08-20T00:00:00"/>
    <d v="2024-08-20T00:00:00"/>
    <n v="0"/>
    <x v="0"/>
    <x v="6"/>
  </r>
  <r>
    <x v="564"/>
    <x v="1"/>
    <x v="1"/>
    <x v="1"/>
    <s v="Wait result relationship create throughout behind would."/>
    <x v="1"/>
    <x v="1"/>
    <d v="2024-12-02T00:00:00"/>
    <d v="2024-12-02T00:00:00"/>
    <n v="0"/>
    <x v="0"/>
    <x v="7"/>
  </r>
  <r>
    <x v="565"/>
    <x v="2"/>
    <x v="2"/>
    <x v="2"/>
    <s v="Away only happy quality even we take consider."/>
    <x v="1"/>
    <x v="2"/>
    <d v="2024-08-09T00:00:00"/>
    <d v="2024-08-09T00:00:00"/>
    <n v="0"/>
    <x v="0"/>
    <x v="6"/>
  </r>
  <r>
    <x v="566"/>
    <x v="3"/>
    <x v="3"/>
    <x v="3"/>
    <s v="Claim not expert information really course get politics region human."/>
    <x v="2"/>
    <x v="0"/>
    <d v="2024-12-01T00:00:00"/>
    <d v="2024-12-01T00:00:00"/>
    <n v="0"/>
    <x v="0"/>
    <x v="7"/>
  </r>
  <r>
    <x v="567"/>
    <x v="4"/>
    <x v="4"/>
    <x v="1"/>
    <s v="Top executive lead speak wrong choose decide."/>
    <x v="2"/>
    <x v="3"/>
    <d v="2024-07-13T00:00:00"/>
    <d v="2024-07-13T00:00:00"/>
    <n v="0"/>
    <x v="0"/>
    <x v="8"/>
  </r>
  <r>
    <x v="568"/>
    <x v="1"/>
    <x v="1"/>
    <x v="0"/>
    <s v="Home memory would as evening attorney amount."/>
    <x v="2"/>
    <x v="4"/>
    <d v="2024-08-16T00:00:00"/>
    <d v="2024-08-16T00:00:00"/>
    <n v="0"/>
    <x v="0"/>
    <x v="6"/>
  </r>
  <r>
    <x v="569"/>
    <x v="2"/>
    <x v="5"/>
    <x v="0"/>
    <s v="Teach pick expect on director go wide agent thousand force."/>
    <x v="2"/>
    <x v="3"/>
    <d v="2024-07-23T00:00:00"/>
    <d v="2024-07-23T00:00:00"/>
    <n v="0"/>
    <x v="0"/>
    <x v="8"/>
  </r>
  <r>
    <x v="570"/>
    <x v="2"/>
    <x v="5"/>
    <x v="3"/>
    <s v="Those too car yard early ever only such fall necessary."/>
    <x v="0"/>
    <x v="2"/>
    <d v="2024-10-18T00:00:00"/>
    <d v="2024-10-18T00:00:00"/>
    <n v="0"/>
    <x v="0"/>
    <x v="9"/>
  </r>
  <r>
    <x v="571"/>
    <x v="0"/>
    <x v="0"/>
    <x v="3"/>
    <s v="Final military play push make interview few approach professor this."/>
    <x v="2"/>
    <x v="5"/>
    <d v="2024-11-16T00:00:00"/>
    <d v="2024-11-17T00:00:00"/>
    <n v="1"/>
    <x v="1"/>
    <x v="10"/>
  </r>
  <r>
    <x v="572"/>
    <x v="3"/>
    <x v="6"/>
    <x v="3"/>
    <s v="Source per out arm tax all since seem animal."/>
    <x v="1"/>
    <x v="3"/>
    <d v="2024-10-02T00:00:00"/>
    <d v="2024-10-02T00:00:00"/>
    <n v="0"/>
    <x v="0"/>
    <x v="9"/>
  </r>
  <r>
    <x v="573"/>
    <x v="0"/>
    <x v="7"/>
    <x v="1"/>
    <s v="Third focus consider teacher also."/>
    <x v="1"/>
    <x v="2"/>
    <d v="2024-11-25T00:00:00"/>
    <d v="2024-11-26T00:00:00"/>
    <n v="1"/>
    <x v="1"/>
    <x v="10"/>
  </r>
  <r>
    <x v="574"/>
    <x v="0"/>
    <x v="8"/>
    <x v="3"/>
    <s v="Foreign conference data poor I somebody her ok relationship."/>
    <x v="2"/>
    <x v="4"/>
    <d v="2024-12-08T00:00:00"/>
    <d v="2024-12-08T00:00:00"/>
    <n v="0"/>
    <x v="0"/>
    <x v="7"/>
  </r>
  <r>
    <x v="575"/>
    <x v="3"/>
    <x v="3"/>
    <x v="3"/>
    <s v="Space customer social organization budget."/>
    <x v="1"/>
    <x v="5"/>
    <d v="2024-08-22T00:00:00"/>
    <d v="2024-08-22T00:00:00"/>
    <n v="0"/>
    <x v="0"/>
    <x v="6"/>
  </r>
  <r>
    <x v="576"/>
    <x v="0"/>
    <x v="0"/>
    <x v="4"/>
    <s v="Point improve road people street laugh conference myself us keep adult."/>
    <x v="0"/>
    <x v="2"/>
    <d v="2024-08-20T00:00:00"/>
    <d v="2024-08-20T00:00:00"/>
    <n v="0"/>
    <x v="0"/>
    <x v="6"/>
  </r>
  <r>
    <x v="577"/>
    <x v="3"/>
    <x v="9"/>
    <x v="4"/>
    <s v="Black guess argue especially perform."/>
    <x v="0"/>
    <x v="0"/>
    <d v="2024-12-09T00:00:00"/>
    <d v="2024-12-09T00:00:00"/>
    <n v="0"/>
    <x v="0"/>
    <x v="7"/>
  </r>
  <r>
    <x v="578"/>
    <x v="0"/>
    <x v="8"/>
    <x v="2"/>
    <s v="Miss what plant again ready."/>
    <x v="2"/>
    <x v="1"/>
    <d v="2024-07-05T00:00:00"/>
    <d v="2024-07-05T00:00:00"/>
    <n v="0"/>
    <x v="0"/>
    <x v="8"/>
  </r>
  <r>
    <x v="579"/>
    <x v="0"/>
    <x v="7"/>
    <x v="3"/>
    <s v="Mean often miss student coach how whose really everybody."/>
    <x v="0"/>
    <x v="0"/>
    <d v="2024-09-10T00:00:00"/>
    <d v="2024-09-10T00:00:00"/>
    <n v="0"/>
    <x v="0"/>
    <x v="11"/>
  </r>
  <r>
    <x v="580"/>
    <x v="1"/>
    <x v="10"/>
    <x v="3"/>
    <s v="Fire require economy wear already arrive."/>
    <x v="2"/>
    <x v="0"/>
    <d v="2024-10-23T00:00:00"/>
    <d v="2024-10-23T00:00:00"/>
    <n v="0"/>
    <x v="0"/>
    <x v="9"/>
  </r>
  <r>
    <x v="581"/>
    <x v="0"/>
    <x v="0"/>
    <x v="5"/>
    <s v="Draw certainly where several discussion lay."/>
    <x v="0"/>
    <x v="3"/>
    <d v="2024-07-05T00:00:00"/>
    <d v="2024-07-05T00:00:00"/>
    <n v="0"/>
    <x v="0"/>
    <x v="8"/>
  </r>
  <r>
    <x v="582"/>
    <x v="0"/>
    <x v="7"/>
    <x v="3"/>
    <s v="Traditional public reduce party guess."/>
    <x v="0"/>
    <x v="3"/>
    <d v="2024-08-04T00:00:00"/>
    <d v="2024-08-04T00:00:00"/>
    <n v="0"/>
    <x v="0"/>
    <x v="6"/>
  </r>
  <r>
    <x v="583"/>
    <x v="2"/>
    <x v="5"/>
    <x v="3"/>
    <s v="Lose prove tax thousand son."/>
    <x v="2"/>
    <x v="0"/>
    <d v="2024-08-07T00:00:00"/>
    <d v="2024-08-07T00:00:00"/>
    <n v="0"/>
    <x v="0"/>
    <x v="6"/>
  </r>
  <r>
    <x v="584"/>
    <x v="3"/>
    <x v="3"/>
    <x v="6"/>
    <s v="Rule company beat station building executive purpose bar choose week."/>
    <x v="2"/>
    <x v="0"/>
    <d v="2024-07-10T00:00:00"/>
    <d v="2024-07-10T00:00:00"/>
    <n v="0"/>
    <x v="0"/>
    <x v="8"/>
  </r>
  <r>
    <x v="585"/>
    <x v="3"/>
    <x v="9"/>
    <x v="3"/>
    <s v="Serve radio toward kind fall or prevent protect able."/>
    <x v="1"/>
    <x v="5"/>
    <d v="2024-11-01T00:00:00"/>
    <d v="2024-11-02T00:00:00"/>
    <n v="1"/>
    <x v="1"/>
    <x v="10"/>
  </r>
  <r>
    <x v="586"/>
    <x v="0"/>
    <x v="0"/>
    <x v="0"/>
    <s v="Energy upon compare my ahead where matter."/>
    <x v="0"/>
    <x v="2"/>
    <d v="2024-09-26T00:00:00"/>
    <d v="2024-09-27T00:00:00"/>
    <n v="1"/>
    <x v="1"/>
    <x v="11"/>
  </r>
  <r>
    <x v="587"/>
    <x v="1"/>
    <x v="11"/>
    <x v="4"/>
    <s v="Near marriage stuff later option determine."/>
    <x v="1"/>
    <x v="1"/>
    <d v="2024-07-31T00:00:00"/>
    <d v="2024-07-31T00:00:00"/>
    <n v="0"/>
    <x v="0"/>
    <x v="8"/>
  </r>
  <r>
    <x v="588"/>
    <x v="4"/>
    <x v="12"/>
    <x v="1"/>
    <s v="She community worry improve response result get its fly box."/>
    <x v="2"/>
    <x v="5"/>
    <d v="2024-10-10T00:00:00"/>
    <d v="2024-10-10T00:00:00"/>
    <n v="0"/>
    <x v="0"/>
    <x v="9"/>
  </r>
  <r>
    <x v="589"/>
    <x v="4"/>
    <x v="13"/>
    <x v="1"/>
    <s v="Contain area start each reason."/>
    <x v="1"/>
    <x v="2"/>
    <d v="2024-07-24T00:00:00"/>
    <d v="2024-07-24T00:00:00"/>
    <n v="0"/>
    <x v="0"/>
    <x v="8"/>
  </r>
  <r>
    <x v="590"/>
    <x v="1"/>
    <x v="1"/>
    <x v="1"/>
    <s v="Image enough reach her staff everyone minute shake."/>
    <x v="0"/>
    <x v="3"/>
    <d v="2024-07-10T00:00:00"/>
    <d v="2024-07-10T00:00:00"/>
    <n v="0"/>
    <x v="0"/>
    <x v="8"/>
  </r>
  <r>
    <x v="591"/>
    <x v="1"/>
    <x v="10"/>
    <x v="2"/>
    <s v="Myself turn message catch use activity president reality age ago consider."/>
    <x v="2"/>
    <x v="4"/>
    <d v="2024-07-23T00:00:00"/>
    <d v="2024-07-23T00:00:00"/>
    <n v="0"/>
    <x v="0"/>
    <x v="8"/>
  </r>
  <r>
    <x v="592"/>
    <x v="0"/>
    <x v="0"/>
    <x v="3"/>
    <s v="Usually former stay age both safe."/>
    <x v="0"/>
    <x v="1"/>
    <d v="2024-07-31T00:00:00"/>
    <d v="2024-07-31T00:00:00"/>
    <n v="0"/>
    <x v="0"/>
    <x v="8"/>
  </r>
  <r>
    <x v="593"/>
    <x v="2"/>
    <x v="5"/>
    <x v="3"/>
    <s v="Kid almost establish explain record operation."/>
    <x v="2"/>
    <x v="2"/>
    <d v="2024-11-18T00:00:00"/>
    <d v="2024-11-19T00:00:00"/>
    <n v="1"/>
    <x v="1"/>
    <x v="10"/>
  </r>
  <r>
    <x v="594"/>
    <x v="0"/>
    <x v="0"/>
    <x v="5"/>
    <s v="Maybe shoulder either tend church ago city."/>
    <x v="1"/>
    <x v="1"/>
    <d v="2024-08-08T00:00:00"/>
    <d v="2024-08-08T00:00:00"/>
    <n v="0"/>
    <x v="0"/>
    <x v="6"/>
  </r>
  <r>
    <x v="595"/>
    <x v="0"/>
    <x v="8"/>
    <x v="4"/>
    <s v="Discuss lead miss run paper."/>
    <x v="1"/>
    <x v="3"/>
    <d v="2024-07-13T00:00:00"/>
    <d v="2024-07-13T00:00:00"/>
    <n v="0"/>
    <x v="0"/>
    <x v="8"/>
  </r>
  <r>
    <x v="596"/>
    <x v="3"/>
    <x v="3"/>
    <x v="0"/>
    <s v="Well arm exactly action."/>
    <x v="1"/>
    <x v="3"/>
    <d v="2024-10-25T00:00:00"/>
    <d v="2024-10-26T00:00:00"/>
    <n v="1"/>
    <x v="1"/>
    <x v="9"/>
  </r>
  <r>
    <x v="597"/>
    <x v="0"/>
    <x v="7"/>
    <x v="5"/>
    <s v="Energy care policy manage political customer tree dinner behavior region."/>
    <x v="2"/>
    <x v="1"/>
    <d v="2024-07-28T00:00:00"/>
    <d v="2024-07-28T00:00:00"/>
    <n v="0"/>
    <x v="0"/>
    <x v="8"/>
  </r>
  <r>
    <x v="598"/>
    <x v="3"/>
    <x v="9"/>
    <x v="6"/>
    <s v="Growth enjoy program ground charge parent listen so."/>
    <x v="0"/>
    <x v="4"/>
    <d v="2024-09-07T00:00:00"/>
    <d v="2024-09-07T00:00:00"/>
    <n v="0"/>
    <x v="0"/>
    <x v="11"/>
  </r>
  <r>
    <x v="599"/>
    <x v="0"/>
    <x v="0"/>
    <x v="3"/>
    <s v="About guess reality vote task any right."/>
    <x v="2"/>
    <x v="3"/>
    <d v="2024-12-06T00:00:00"/>
    <d v="2024-12-06T00:00:00"/>
    <n v="0"/>
    <x v="0"/>
    <x v="7"/>
  </r>
  <r>
    <x v="600"/>
    <x v="1"/>
    <x v="10"/>
    <x v="0"/>
    <s v="Upon again fund yet customer plant job."/>
    <x v="0"/>
    <x v="2"/>
    <d v="2024-11-02T00:00:00"/>
    <d v="2024-11-02T00:00:00"/>
    <n v="0"/>
    <x v="0"/>
    <x v="10"/>
  </r>
  <r>
    <x v="601"/>
    <x v="1"/>
    <x v="10"/>
    <x v="1"/>
    <s v="Must leader benefit phone nothing authority civil PM game."/>
    <x v="2"/>
    <x v="1"/>
    <d v="2024-08-04T00:00:00"/>
    <d v="2024-08-04T00:00:00"/>
    <n v="0"/>
    <x v="0"/>
    <x v="6"/>
  </r>
  <r>
    <x v="602"/>
    <x v="0"/>
    <x v="7"/>
    <x v="4"/>
    <s v="Husband majority perhaps seven ground strong focus."/>
    <x v="0"/>
    <x v="0"/>
    <d v="2024-08-23T00:00:00"/>
    <d v="2024-08-23T00:00:00"/>
    <n v="0"/>
    <x v="0"/>
    <x v="6"/>
  </r>
  <r>
    <x v="603"/>
    <x v="4"/>
    <x v="13"/>
    <x v="2"/>
    <s v="Mention identify meet condition produce agent none authority travel attack."/>
    <x v="2"/>
    <x v="1"/>
    <d v="2024-09-08T00:00:00"/>
    <d v="2024-09-09T00:00:00"/>
    <n v="1"/>
    <x v="1"/>
    <x v="11"/>
  </r>
  <r>
    <x v="604"/>
    <x v="4"/>
    <x v="13"/>
    <x v="3"/>
    <s v="Director so decade improve property social."/>
    <x v="1"/>
    <x v="1"/>
    <d v="2024-10-15T00:00:00"/>
    <d v="2024-10-15T00:00:00"/>
    <n v="0"/>
    <x v="0"/>
    <x v="9"/>
  </r>
  <r>
    <x v="605"/>
    <x v="0"/>
    <x v="0"/>
    <x v="2"/>
    <s v="Expert fund remain meet view without seven rich."/>
    <x v="2"/>
    <x v="0"/>
    <d v="2024-10-12T00:00:00"/>
    <d v="2024-10-12T00:00:00"/>
    <n v="0"/>
    <x v="0"/>
    <x v="9"/>
  </r>
  <r>
    <x v="606"/>
    <x v="1"/>
    <x v="1"/>
    <x v="3"/>
    <s v="Assume whom political according way over other."/>
    <x v="1"/>
    <x v="4"/>
    <d v="2024-11-22T00:00:00"/>
    <d v="2024-11-23T00:00:00"/>
    <n v="1"/>
    <x v="1"/>
    <x v="10"/>
  </r>
  <r>
    <x v="607"/>
    <x v="2"/>
    <x v="2"/>
    <x v="2"/>
    <s v="Employee view computer particularly successful."/>
    <x v="2"/>
    <x v="3"/>
    <d v="2024-07-30T00:00:00"/>
    <d v="2024-07-30T00:00:00"/>
    <n v="0"/>
    <x v="0"/>
    <x v="8"/>
  </r>
  <r>
    <x v="608"/>
    <x v="2"/>
    <x v="2"/>
    <x v="1"/>
    <s v="Theory type break picture choose son professor."/>
    <x v="2"/>
    <x v="1"/>
    <d v="2024-11-06T00:00:00"/>
    <d v="2024-11-07T00:00:00"/>
    <n v="1"/>
    <x v="1"/>
    <x v="10"/>
  </r>
  <r>
    <x v="609"/>
    <x v="0"/>
    <x v="0"/>
    <x v="3"/>
    <s v="Under woman individual baby do."/>
    <x v="0"/>
    <x v="0"/>
    <d v="2024-11-27T00:00:00"/>
    <d v="2024-11-27T00:00:00"/>
    <n v="0"/>
    <x v="0"/>
    <x v="10"/>
  </r>
  <r>
    <x v="610"/>
    <x v="0"/>
    <x v="0"/>
    <x v="3"/>
    <s v="Available represent notice subject knowledge."/>
    <x v="2"/>
    <x v="4"/>
    <d v="2024-09-21T00:00:00"/>
    <d v="2024-09-21T00:00:00"/>
    <n v="0"/>
    <x v="0"/>
    <x v="11"/>
  </r>
  <r>
    <x v="611"/>
    <x v="4"/>
    <x v="12"/>
    <x v="5"/>
    <s v="View wind small share energy fire arrive."/>
    <x v="2"/>
    <x v="2"/>
    <d v="2024-12-27T00:00:00"/>
    <d v="2024-12-27T00:00:00"/>
    <n v="0"/>
    <x v="0"/>
    <x v="7"/>
  </r>
  <r>
    <x v="612"/>
    <x v="4"/>
    <x v="4"/>
    <x v="2"/>
    <s v="College top with especially type how fire station four throughout."/>
    <x v="2"/>
    <x v="2"/>
    <d v="2024-10-08T00:00:00"/>
    <d v="2024-10-08T00:00:00"/>
    <n v="0"/>
    <x v="0"/>
    <x v="9"/>
  </r>
  <r>
    <x v="613"/>
    <x v="4"/>
    <x v="13"/>
    <x v="7"/>
    <s v="Region career speak figure role someone doctor young itself."/>
    <x v="2"/>
    <x v="0"/>
    <d v="2024-07-01T00:00:00"/>
    <d v="2024-07-01T00:00:00"/>
    <n v="0"/>
    <x v="0"/>
    <x v="8"/>
  </r>
  <r>
    <x v="614"/>
    <x v="0"/>
    <x v="0"/>
    <x v="6"/>
    <s v="All page he she decision protect head."/>
    <x v="0"/>
    <x v="4"/>
    <d v="2024-12-09T00:00:00"/>
    <d v="2024-12-09T00:00:00"/>
    <n v="0"/>
    <x v="0"/>
    <x v="7"/>
  </r>
  <r>
    <x v="615"/>
    <x v="2"/>
    <x v="14"/>
    <x v="1"/>
    <s v="Week act of piece kitchen technology drive blood."/>
    <x v="0"/>
    <x v="3"/>
    <d v="2024-11-11T00:00:00"/>
    <d v="2024-11-11T00:00:00"/>
    <n v="0"/>
    <x v="0"/>
    <x v="10"/>
  </r>
  <r>
    <x v="616"/>
    <x v="0"/>
    <x v="0"/>
    <x v="2"/>
    <s v="Back study similar what paper job church energy."/>
    <x v="0"/>
    <x v="0"/>
    <d v="2024-10-23T00:00:00"/>
    <d v="2024-10-23T00:00:00"/>
    <n v="0"/>
    <x v="0"/>
    <x v="9"/>
  </r>
  <r>
    <x v="617"/>
    <x v="1"/>
    <x v="10"/>
    <x v="3"/>
    <s v="Manager PM recent yes example word wide source far."/>
    <x v="2"/>
    <x v="2"/>
    <d v="2024-11-11T00:00:00"/>
    <d v="2024-11-11T00:00:00"/>
    <n v="0"/>
    <x v="0"/>
    <x v="10"/>
  </r>
  <r>
    <x v="618"/>
    <x v="3"/>
    <x v="9"/>
    <x v="5"/>
    <s v="Clearly around yeah network top available another save dog."/>
    <x v="0"/>
    <x v="5"/>
    <d v="2024-07-13T00:00:00"/>
    <d v="2024-07-13T00:00:00"/>
    <n v="0"/>
    <x v="0"/>
    <x v="8"/>
  </r>
  <r>
    <x v="619"/>
    <x v="3"/>
    <x v="9"/>
    <x v="4"/>
    <s v="Present style baby street board popular onto seven technology."/>
    <x v="1"/>
    <x v="4"/>
    <d v="2024-11-19T00:00:00"/>
    <d v="2024-11-19T00:00:00"/>
    <n v="0"/>
    <x v="0"/>
    <x v="10"/>
  </r>
  <r>
    <x v="620"/>
    <x v="0"/>
    <x v="7"/>
    <x v="6"/>
    <s v="Nature something president seven person between board hand myself they."/>
    <x v="0"/>
    <x v="4"/>
    <d v="2024-10-14T00:00:00"/>
    <d v="2024-10-14T00:00:00"/>
    <n v="0"/>
    <x v="0"/>
    <x v="9"/>
  </r>
  <r>
    <x v="621"/>
    <x v="3"/>
    <x v="6"/>
    <x v="3"/>
    <s v="Adult either work amount its other theory instead."/>
    <x v="1"/>
    <x v="5"/>
    <d v="2024-10-07T00:00:00"/>
    <d v="2024-10-08T00:00:00"/>
    <n v="1"/>
    <x v="1"/>
    <x v="9"/>
  </r>
  <r>
    <x v="622"/>
    <x v="1"/>
    <x v="10"/>
    <x v="1"/>
    <s v="Main model hand attorney mind parent guess or."/>
    <x v="2"/>
    <x v="4"/>
    <d v="2024-11-04T00:00:00"/>
    <d v="2024-11-04T00:00:00"/>
    <n v="0"/>
    <x v="0"/>
    <x v="10"/>
  </r>
  <r>
    <x v="623"/>
    <x v="0"/>
    <x v="0"/>
    <x v="3"/>
    <s v="Society front yourself sister data although."/>
    <x v="0"/>
    <x v="4"/>
    <d v="2024-08-20T00:00:00"/>
    <d v="2024-08-21T00:00:00"/>
    <n v="1"/>
    <x v="1"/>
    <x v="6"/>
  </r>
  <r>
    <x v="624"/>
    <x v="2"/>
    <x v="5"/>
    <x v="3"/>
    <s v="Put issue window late audience Congress friend available impact."/>
    <x v="2"/>
    <x v="2"/>
    <d v="2024-11-18T00:00:00"/>
    <d v="2024-11-18T00:00:00"/>
    <n v="0"/>
    <x v="0"/>
    <x v="10"/>
  </r>
  <r>
    <x v="625"/>
    <x v="0"/>
    <x v="7"/>
    <x v="5"/>
    <s v="Success summer off really public pull."/>
    <x v="1"/>
    <x v="5"/>
    <d v="2024-10-08T00:00:00"/>
    <d v="2024-10-08T00:00:00"/>
    <n v="0"/>
    <x v="0"/>
    <x v="9"/>
  </r>
  <r>
    <x v="626"/>
    <x v="0"/>
    <x v="8"/>
    <x v="1"/>
    <s v="Else support number prevent hand church win help."/>
    <x v="1"/>
    <x v="4"/>
    <d v="2024-09-01T00:00:00"/>
    <d v="2024-09-01T00:00:00"/>
    <n v="0"/>
    <x v="0"/>
    <x v="11"/>
  </r>
  <r>
    <x v="627"/>
    <x v="2"/>
    <x v="5"/>
    <x v="3"/>
    <s v="Interesting image protect early trip fine manage."/>
    <x v="2"/>
    <x v="0"/>
    <d v="2024-11-09T00:00:00"/>
    <d v="2024-11-09T00:00:00"/>
    <n v="0"/>
    <x v="0"/>
    <x v="10"/>
  </r>
  <r>
    <x v="628"/>
    <x v="2"/>
    <x v="14"/>
    <x v="2"/>
    <s v="More foot culture right happen."/>
    <x v="2"/>
    <x v="0"/>
    <d v="2024-07-18T00:00:00"/>
    <d v="2024-07-18T00:00:00"/>
    <n v="0"/>
    <x v="0"/>
    <x v="8"/>
  </r>
  <r>
    <x v="629"/>
    <x v="0"/>
    <x v="7"/>
    <x v="4"/>
    <s v="Choice become knowledge once until try media inside."/>
    <x v="0"/>
    <x v="0"/>
    <d v="2024-11-27T00:00:00"/>
    <d v="2024-11-27T00:00:00"/>
    <n v="0"/>
    <x v="0"/>
    <x v="10"/>
  </r>
  <r>
    <x v="630"/>
    <x v="2"/>
    <x v="2"/>
    <x v="1"/>
    <s v="Both modern any item small information according full side risk."/>
    <x v="1"/>
    <x v="1"/>
    <d v="2024-10-24T00:00:00"/>
    <d v="2024-10-24T00:00:00"/>
    <n v="0"/>
    <x v="0"/>
    <x v="9"/>
  </r>
  <r>
    <x v="631"/>
    <x v="0"/>
    <x v="0"/>
    <x v="4"/>
    <s v="Physical threat purpose these quality key rich."/>
    <x v="1"/>
    <x v="2"/>
    <d v="2024-07-03T00:00:00"/>
    <d v="2024-07-03T00:00:00"/>
    <n v="0"/>
    <x v="0"/>
    <x v="8"/>
  </r>
  <r>
    <x v="632"/>
    <x v="2"/>
    <x v="14"/>
    <x v="0"/>
    <s v="Firm during notice investment draw safe wind party."/>
    <x v="0"/>
    <x v="3"/>
    <d v="2024-10-26T00:00:00"/>
    <d v="2024-10-26T00:00:00"/>
    <n v="0"/>
    <x v="0"/>
    <x v="9"/>
  </r>
  <r>
    <x v="633"/>
    <x v="1"/>
    <x v="11"/>
    <x v="1"/>
    <s v="Sport look forget feel property less kid."/>
    <x v="2"/>
    <x v="1"/>
    <d v="2024-08-23T00:00:00"/>
    <d v="2024-08-23T00:00:00"/>
    <n v="0"/>
    <x v="0"/>
    <x v="6"/>
  </r>
  <r>
    <x v="634"/>
    <x v="2"/>
    <x v="14"/>
    <x v="1"/>
    <s v="Notice age how social camera personal."/>
    <x v="0"/>
    <x v="2"/>
    <d v="2024-10-15T00:00:00"/>
    <d v="2024-10-15T00:00:00"/>
    <n v="0"/>
    <x v="0"/>
    <x v="9"/>
  </r>
  <r>
    <x v="635"/>
    <x v="1"/>
    <x v="10"/>
    <x v="6"/>
    <s v="Address individual doctor fine."/>
    <x v="0"/>
    <x v="3"/>
    <d v="2024-10-04T00:00:00"/>
    <d v="2024-10-04T00:00:00"/>
    <n v="0"/>
    <x v="0"/>
    <x v="9"/>
  </r>
  <r>
    <x v="636"/>
    <x v="1"/>
    <x v="11"/>
    <x v="0"/>
    <s v="Window international always cause break set suffer thank order."/>
    <x v="1"/>
    <x v="3"/>
    <d v="2024-11-25T00:00:00"/>
    <d v="2024-11-25T00:00:00"/>
    <n v="0"/>
    <x v="0"/>
    <x v="10"/>
  </r>
  <r>
    <x v="637"/>
    <x v="1"/>
    <x v="11"/>
    <x v="1"/>
    <s v="Nothing manage nice move action those here."/>
    <x v="1"/>
    <x v="3"/>
    <d v="2024-10-06T00:00:00"/>
    <d v="2024-10-06T00:00:00"/>
    <n v="0"/>
    <x v="0"/>
    <x v="9"/>
  </r>
  <r>
    <x v="638"/>
    <x v="0"/>
    <x v="7"/>
    <x v="6"/>
    <s v="Rather end it employee."/>
    <x v="1"/>
    <x v="1"/>
    <d v="2024-09-20T00:00:00"/>
    <d v="2024-09-20T00:00:00"/>
    <n v="0"/>
    <x v="0"/>
    <x v="11"/>
  </r>
  <r>
    <x v="639"/>
    <x v="1"/>
    <x v="10"/>
    <x v="1"/>
    <s v="Themselves easy picture third share individual do now."/>
    <x v="1"/>
    <x v="2"/>
    <d v="2024-09-09T00:00:00"/>
    <d v="2024-09-09T00:00:00"/>
    <n v="0"/>
    <x v="0"/>
    <x v="11"/>
  </r>
  <r>
    <x v="640"/>
    <x v="0"/>
    <x v="8"/>
    <x v="2"/>
    <s v="Occur dream one late character pressure."/>
    <x v="0"/>
    <x v="3"/>
    <d v="2024-11-22T00:00:00"/>
    <d v="2024-11-22T00:00:00"/>
    <n v="0"/>
    <x v="0"/>
    <x v="10"/>
  </r>
  <r>
    <x v="641"/>
    <x v="2"/>
    <x v="2"/>
    <x v="6"/>
    <s v="Simply company choice recently least cover crime."/>
    <x v="0"/>
    <x v="2"/>
    <d v="2024-11-04T00:00:00"/>
    <d v="2024-11-04T00:00:00"/>
    <n v="0"/>
    <x v="0"/>
    <x v="10"/>
  </r>
  <r>
    <x v="642"/>
    <x v="4"/>
    <x v="12"/>
    <x v="6"/>
    <s v="Hit they you store."/>
    <x v="2"/>
    <x v="4"/>
    <d v="2024-08-14T00:00:00"/>
    <d v="2024-08-14T00:00:00"/>
    <n v="0"/>
    <x v="0"/>
    <x v="6"/>
  </r>
  <r>
    <x v="643"/>
    <x v="2"/>
    <x v="14"/>
    <x v="4"/>
    <s v="Administration opportunity education represent here."/>
    <x v="0"/>
    <x v="3"/>
    <d v="2024-09-05T00:00:00"/>
    <d v="2024-09-05T00:00:00"/>
    <n v="0"/>
    <x v="0"/>
    <x v="11"/>
  </r>
  <r>
    <x v="644"/>
    <x v="0"/>
    <x v="0"/>
    <x v="3"/>
    <s v="Reason new discover decide buy free contain any eat make he."/>
    <x v="0"/>
    <x v="2"/>
    <d v="2024-10-27T00:00:00"/>
    <d v="2024-10-27T00:00:00"/>
    <n v="0"/>
    <x v="0"/>
    <x v="9"/>
  </r>
  <r>
    <x v="645"/>
    <x v="3"/>
    <x v="3"/>
    <x v="7"/>
    <s v="Such act sort decision lose card history many."/>
    <x v="2"/>
    <x v="0"/>
    <d v="2024-10-14T00:00:00"/>
    <d v="2024-10-14T00:00:00"/>
    <n v="0"/>
    <x v="0"/>
    <x v="9"/>
  </r>
  <r>
    <x v="646"/>
    <x v="3"/>
    <x v="3"/>
    <x v="5"/>
    <s v="Coach everybody meet red fire nothing parent like here."/>
    <x v="0"/>
    <x v="4"/>
    <d v="2024-08-17T00:00:00"/>
    <d v="2024-08-17T00:00:00"/>
    <n v="0"/>
    <x v="0"/>
    <x v="6"/>
  </r>
  <r>
    <x v="647"/>
    <x v="2"/>
    <x v="5"/>
    <x v="4"/>
    <s v="Operation citizen rich environmental wrong example prepare."/>
    <x v="0"/>
    <x v="2"/>
    <d v="2024-09-26T00:00:00"/>
    <d v="2024-09-26T00:00:00"/>
    <n v="0"/>
    <x v="0"/>
    <x v="11"/>
  </r>
  <r>
    <x v="648"/>
    <x v="0"/>
    <x v="8"/>
    <x v="3"/>
    <s v="Rather about give dinner when instead since seven."/>
    <x v="1"/>
    <x v="0"/>
    <d v="2024-11-26T00:00:00"/>
    <d v="2024-11-26T00:00:00"/>
    <n v="0"/>
    <x v="0"/>
    <x v="10"/>
  </r>
  <r>
    <x v="649"/>
    <x v="2"/>
    <x v="14"/>
    <x v="3"/>
    <s v="Paper rich particularly country pay."/>
    <x v="1"/>
    <x v="1"/>
    <d v="2024-10-27T00:00:00"/>
    <d v="2024-10-27T00:00:00"/>
    <n v="0"/>
    <x v="0"/>
    <x v="9"/>
  </r>
  <r>
    <x v="650"/>
    <x v="3"/>
    <x v="9"/>
    <x v="7"/>
    <s v="Without use peace good apply activity make."/>
    <x v="2"/>
    <x v="4"/>
    <d v="2024-11-09T00:00:00"/>
    <d v="2024-11-09T00:00:00"/>
    <n v="0"/>
    <x v="0"/>
    <x v="10"/>
  </r>
  <r>
    <x v="651"/>
    <x v="0"/>
    <x v="0"/>
    <x v="1"/>
    <s v="Change concern factor green store worry well."/>
    <x v="1"/>
    <x v="3"/>
    <d v="2024-09-07T00:00:00"/>
    <d v="2024-09-08T00:00:00"/>
    <n v="1"/>
    <x v="1"/>
    <x v="11"/>
  </r>
  <r>
    <x v="652"/>
    <x v="0"/>
    <x v="8"/>
    <x v="6"/>
    <s v="Nature why once number idea owner power wait."/>
    <x v="0"/>
    <x v="3"/>
    <d v="2024-10-19T00:00:00"/>
    <d v="2024-10-19T00:00:00"/>
    <n v="0"/>
    <x v="0"/>
    <x v="9"/>
  </r>
  <r>
    <x v="653"/>
    <x v="4"/>
    <x v="4"/>
    <x v="7"/>
    <s v="Treatment clearly teach argue."/>
    <x v="1"/>
    <x v="5"/>
    <d v="2024-07-29T00:00:00"/>
    <d v="2024-07-29T00:00:00"/>
    <n v="0"/>
    <x v="0"/>
    <x v="8"/>
  </r>
  <r>
    <x v="654"/>
    <x v="0"/>
    <x v="0"/>
    <x v="4"/>
    <s v="Prepare effect strong sure sister yes."/>
    <x v="1"/>
    <x v="4"/>
    <d v="2024-09-15T00:00:00"/>
    <d v="2024-09-15T00:00:00"/>
    <n v="0"/>
    <x v="0"/>
    <x v="11"/>
  </r>
  <r>
    <x v="655"/>
    <x v="2"/>
    <x v="14"/>
    <x v="3"/>
    <s v="The scene employee of area stop them character southern."/>
    <x v="2"/>
    <x v="5"/>
    <d v="2024-09-21T00:00:00"/>
    <d v="2024-09-21T00:00:00"/>
    <n v="0"/>
    <x v="0"/>
    <x v="11"/>
  </r>
  <r>
    <x v="656"/>
    <x v="1"/>
    <x v="1"/>
    <x v="6"/>
    <s v="Activity drug agreement western hold himself very."/>
    <x v="2"/>
    <x v="1"/>
    <d v="2024-11-02T00:00:00"/>
    <d v="2024-11-02T00:00:00"/>
    <n v="0"/>
    <x v="0"/>
    <x v="10"/>
  </r>
  <r>
    <x v="657"/>
    <x v="3"/>
    <x v="6"/>
    <x v="5"/>
    <s v="Book degree new data night last focus it during into blood."/>
    <x v="1"/>
    <x v="2"/>
    <d v="2024-07-10T00:00:00"/>
    <d v="2024-07-10T00:00:00"/>
    <n v="0"/>
    <x v="0"/>
    <x v="8"/>
  </r>
  <r>
    <x v="658"/>
    <x v="0"/>
    <x v="0"/>
    <x v="1"/>
    <s v="Material ok ask attorney end simply image summer oil."/>
    <x v="0"/>
    <x v="0"/>
    <d v="2024-10-17T00:00:00"/>
    <d v="2024-10-17T00:00:00"/>
    <n v="0"/>
    <x v="0"/>
    <x v="9"/>
  </r>
  <r>
    <x v="659"/>
    <x v="1"/>
    <x v="1"/>
    <x v="4"/>
    <s v="Against manager reveal you down sing floor finally meeting main."/>
    <x v="1"/>
    <x v="4"/>
    <d v="2024-09-22T00:00:00"/>
    <d v="2024-09-22T00:00:00"/>
    <n v="0"/>
    <x v="0"/>
    <x v="11"/>
  </r>
  <r>
    <x v="660"/>
    <x v="2"/>
    <x v="2"/>
    <x v="6"/>
    <s v="Might bit group two court manage particularly meeting station relate."/>
    <x v="2"/>
    <x v="0"/>
    <d v="2024-09-05T00:00:00"/>
    <d v="2024-09-05T00:00:00"/>
    <n v="0"/>
    <x v="0"/>
    <x v="11"/>
  </r>
  <r>
    <x v="661"/>
    <x v="1"/>
    <x v="11"/>
    <x v="4"/>
    <s v="Six local itself size commercial."/>
    <x v="1"/>
    <x v="2"/>
    <d v="2024-07-30T00:00:00"/>
    <d v="2024-07-30T00:00:00"/>
    <n v="0"/>
    <x v="0"/>
    <x v="8"/>
  </r>
  <r>
    <x v="662"/>
    <x v="4"/>
    <x v="12"/>
    <x v="3"/>
    <s v="Democrat sound pattern how author include design bill poor television."/>
    <x v="2"/>
    <x v="5"/>
    <d v="2024-07-12T00:00:00"/>
    <d v="2024-07-12T00:00:00"/>
    <n v="0"/>
    <x v="0"/>
    <x v="8"/>
  </r>
  <r>
    <x v="663"/>
    <x v="4"/>
    <x v="13"/>
    <x v="6"/>
    <s v="Special effort provide interview word fight."/>
    <x v="1"/>
    <x v="4"/>
    <d v="2024-11-21T00:00:00"/>
    <d v="2024-11-21T00:00:00"/>
    <n v="0"/>
    <x v="0"/>
    <x v="10"/>
  </r>
  <r>
    <x v="664"/>
    <x v="2"/>
    <x v="5"/>
    <x v="6"/>
    <s v="Church like half activity first chance bad head standard kitchen."/>
    <x v="2"/>
    <x v="1"/>
    <d v="2024-11-03T00:00:00"/>
    <d v="2024-11-03T00:00:00"/>
    <n v="0"/>
    <x v="0"/>
    <x v="10"/>
  </r>
  <r>
    <x v="665"/>
    <x v="4"/>
    <x v="13"/>
    <x v="2"/>
    <s v="Entire necessary without front throughout office political."/>
    <x v="2"/>
    <x v="5"/>
    <d v="2024-11-09T00:00:00"/>
    <d v="2024-11-09T00:00:00"/>
    <n v="0"/>
    <x v="0"/>
    <x v="10"/>
  </r>
  <r>
    <x v="666"/>
    <x v="4"/>
    <x v="4"/>
    <x v="7"/>
    <s v="Traditional major already husband with follow sign purpose."/>
    <x v="1"/>
    <x v="5"/>
    <d v="2024-11-18T00:00:00"/>
    <d v="2024-11-18T00:00:00"/>
    <n v="0"/>
    <x v="0"/>
    <x v="10"/>
  </r>
  <r>
    <x v="667"/>
    <x v="2"/>
    <x v="5"/>
    <x v="7"/>
    <s v="Thus camera mother structure will society tell whom amount should campaign."/>
    <x v="0"/>
    <x v="3"/>
    <d v="2024-10-30T00:00:00"/>
    <d v="2024-10-30T00:00:00"/>
    <n v="0"/>
    <x v="0"/>
    <x v="9"/>
  </r>
  <r>
    <x v="668"/>
    <x v="4"/>
    <x v="13"/>
    <x v="3"/>
    <s v="Action year argue usually ground clear war interview garden brother."/>
    <x v="1"/>
    <x v="2"/>
    <d v="2024-10-09T00:00:00"/>
    <d v="2024-10-09T00:00:00"/>
    <n v="0"/>
    <x v="0"/>
    <x v="9"/>
  </r>
  <r>
    <x v="669"/>
    <x v="3"/>
    <x v="9"/>
    <x v="1"/>
    <s v="Thus red senior term movie fall less."/>
    <x v="2"/>
    <x v="3"/>
    <d v="2024-10-26T00:00:00"/>
    <d v="2024-10-26T00:00:00"/>
    <n v="0"/>
    <x v="0"/>
    <x v="9"/>
  </r>
  <r>
    <x v="670"/>
    <x v="2"/>
    <x v="5"/>
    <x v="2"/>
    <s v="Stand reveal story compare mean last war stock happen book."/>
    <x v="2"/>
    <x v="1"/>
    <d v="2024-09-05T00:00:00"/>
    <d v="2024-09-06T00:00:00"/>
    <n v="1"/>
    <x v="1"/>
    <x v="11"/>
  </r>
  <r>
    <x v="671"/>
    <x v="2"/>
    <x v="2"/>
    <x v="3"/>
    <s v="Pull official father political marriage traditional can perhaps."/>
    <x v="2"/>
    <x v="2"/>
    <d v="2024-11-18T00:00:00"/>
    <d v="2024-11-18T00:00:00"/>
    <n v="0"/>
    <x v="0"/>
    <x v="10"/>
  </r>
  <r>
    <x v="672"/>
    <x v="0"/>
    <x v="0"/>
    <x v="5"/>
    <s v="Worry time notice happen close daughter case."/>
    <x v="0"/>
    <x v="5"/>
    <d v="2024-09-09T00:00:00"/>
    <d v="2024-09-09T00:00:00"/>
    <n v="0"/>
    <x v="0"/>
    <x v="11"/>
  </r>
  <r>
    <x v="673"/>
    <x v="4"/>
    <x v="12"/>
    <x v="0"/>
    <s v="Parent outside fact base clear."/>
    <x v="2"/>
    <x v="3"/>
    <d v="2024-07-27T00:00:00"/>
    <d v="2024-07-27T00:00:00"/>
    <n v="0"/>
    <x v="0"/>
    <x v="8"/>
  </r>
  <r>
    <x v="674"/>
    <x v="2"/>
    <x v="14"/>
    <x v="3"/>
    <s v="Different interesting who both board lot course road drop around."/>
    <x v="1"/>
    <x v="4"/>
    <d v="2024-07-22T00:00:00"/>
    <d v="2024-07-22T00:00:00"/>
    <n v="0"/>
    <x v="0"/>
    <x v="8"/>
  </r>
  <r>
    <x v="675"/>
    <x v="1"/>
    <x v="11"/>
    <x v="2"/>
    <s v="Call exactly protect order their lose organization money."/>
    <x v="1"/>
    <x v="4"/>
    <d v="2024-09-27T00:00:00"/>
    <d v="2024-09-27T00:00:00"/>
    <n v="0"/>
    <x v="0"/>
    <x v="11"/>
  </r>
  <r>
    <x v="676"/>
    <x v="3"/>
    <x v="3"/>
    <x v="3"/>
    <s v="Describe account run hope turn run organization employee."/>
    <x v="0"/>
    <x v="1"/>
    <d v="2024-09-14T00:00:00"/>
    <d v="2024-09-14T00:00:00"/>
    <n v="0"/>
    <x v="0"/>
    <x v="11"/>
  </r>
  <r>
    <x v="677"/>
    <x v="0"/>
    <x v="7"/>
    <x v="4"/>
    <s v="Their shoulder involve opportunity present he market positive."/>
    <x v="0"/>
    <x v="4"/>
    <d v="2024-10-11T00:00:00"/>
    <d v="2024-10-11T00:00:00"/>
    <n v="0"/>
    <x v="0"/>
    <x v="9"/>
  </r>
  <r>
    <x v="678"/>
    <x v="2"/>
    <x v="2"/>
    <x v="4"/>
    <s v="Drop employee religious too age tell word size up."/>
    <x v="1"/>
    <x v="1"/>
    <d v="2024-11-20T00:00:00"/>
    <d v="2024-11-20T00:00:00"/>
    <n v="0"/>
    <x v="0"/>
    <x v="10"/>
  </r>
  <r>
    <x v="679"/>
    <x v="2"/>
    <x v="14"/>
    <x v="5"/>
    <s v="Control force be sell contain."/>
    <x v="2"/>
    <x v="5"/>
    <d v="2024-07-05T00:00:00"/>
    <d v="2024-07-05T00:00:00"/>
    <n v="0"/>
    <x v="0"/>
    <x v="8"/>
  </r>
  <r>
    <x v="680"/>
    <x v="1"/>
    <x v="10"/>
    <x v="7"/>
    <s v="Well town month should bag."/>
    <x v="2"/>
    <x v="5"/>
    <d v="2024-10-04T00:00:00"/>
    <d v="2024-10-04T00:00:00"/>
    <n v="0"/>
    <x v="0"/>
    <x v="9"/>
  </r>
  <r>
    <x v="681"/>
    <x v="4"/>
    <x v="13"/>
    <x v="5"/>
    <s v="North goal only since specific major just theory seek."/>
    <x v="1"/>
    <x v="0"/>
    <d v="2024-10-24T00:00:00"/>
    <d v="2024-10-24T00:00:00"/>
    <n v="0"/>
    <x v="0"/>
    <x v="9"/>
  </r>
  <r>
    <x v="682"/>
    <x v="1"/>
    <x v="1"/>
    <x v="4"/>
    <s v="City should discuss election rate."/>
    <x v="0"/>
    <x v="5"/>
    <d v="2024-08-16T00:00:00"/>
    <d v="2024-08-16T00:00:00"/>
    <n v="0"/>
    <x v="0"/>
    <x v="6"/>
  </r>
  <r>
    <x v="683"/>
    <x v="0"/>
    <x v="0"/>
    <x v="1"/>
    <s v="Model hand recent image around since history order."/>
    <x v="1"/>
    <x v="1"/>
    <d v="2024-10-21T00:00:00"/>
    <d v="2024-10-21T00:00:00"/>
    <n v="0"/>
    <x v="0"/>
    <x v="9"/>
  </r>
  <r>
    <x v="684"/>
    <x v="1"/>
    <x v="10"/>
    <x v="1"/>
    <s v="Word member certain policy no."/>
    <x v="1"/>
    <x v="3"/>
    <d v="2024-12-07T00:00:00"/>
    <d v="2024-12-07T00:00:00"/>
    <n v="0"/>
    <x v="0"/>
    <x v="7"/>
  </r>
  <r>
    <x v="685"/>
    <x v="3"/>
    <x v="3"/>
    <x v="5"/>
    <s v="Everybody late feeling lot sort follow investment figure other maintain."/>
    <x v="2"/>
    <x v="5"/>
    <d v="2024-07-08T00:00:00"/>
    <d v="2024-07-08T00:00:00"/>
    <n v="0"/>
    <x v="0"/>
    <x v="8"/>
  </r>
  <r>
    <x v="686"/>
    <x v="3"/>
    <x v="6"/>
    <x v="7"/>
    <s v="Build interesting interest little level often national."/>
    <x v="0"/>
    <x v="5"/>
    <d v="2024-11-20T00:00:00"/>
    <d v="2024-11-20T00:00:00"/>
    <n v="0"/>
    <x v="0"/>
    <x v="10"/>
  </r>
  <r>
    <x v="687"/>
    <x v="2"/>
    <x v="2"/>
    <x v="6"/>
    <s v="Find board region draw reflect goal event special way along."/>
    <x v="1"/>
    <x v="0"/>
    <d v="2024-10-23T00:00:00"/>
    <d v="2024-10-23T00:00:00"/>
    <n v="0"/>
    <x v="0"/>
    <x v="9"/>
  </r>
  <r>
    <x v="688"/>
    <x v="4"/>
    <x v="4"/>
    <x v="0"/>
    <s v="Debate history art know either."/>
    <x v="1"/>
    <x v="3"/>
    <d v="2024-08-08T00:00:00"/>
    <d v="2024-08-08T00:00:00"/>
    <n v="0"/>
    <x v="0"/>
    <x v="6"/>
  </r>
  <r>
    <x v="689"/>
    <x v="2"/>
    <x v="2"/>
    <x v="3"/>
    <s v="Attention road physical imagine drop eight writer wind middle of."/>
    <x v="1"/>
    <x v="4"/>
    <d v="2024-11-02T00:00:00"/>
    <d v="2024-11-02T00:00:00"/>
    <n v="0"/>
    <x v="0"/>
    <x v="10"/>
  </r>
  <r>
    <x v="690"/>
    <x v="0"/>
    <x v="7"/>
    <x v="6"/>
    <s v="Through nothing money recognize."/>
    <x v="2"/>
    <x v="3"/>
    <d v="2024-10-17T00:00:00"/>
    <d v="2024-10-17T00:00:00"/>
    <n v="0"/>
    <x v="0"/>
    <x v="9"/>
  </r>
  <r>
    <x v="691"/>
    <x v="2"/>
    <x v="5"/>
    <x v="4"/>
    <s v="Far these him easy girl street."/>
    <x v="0"/>
    <x v="0"/>
    <d v="2024-07-13T00:00:00"/>
    <d v="2024-07-13T00:00:00"/>
    <n v="0"/>
    <x v="0"/>
    <x v="8"/>
  </r>
  <r>
    <x v="692"/>
    <x v="1"/>
    <x v="1"/>
    <x v="3"/>
    <s v="Week when future region travel."/>
    <x v="0"/>
    <x v="2"/>
    <d v="2024-07-14T00:00:00"/>
    <d v="2024-07-14T00:00:00"/>
    <n v="0"/>
    <x v="0"/>
    <x v="8"/>
  </r>
  <r>
    <x v="693"/>
    <x v="0"/>
    <x v="7"/>
    <x v="3"/>
    <s v="Call despite for American whether call during may."/>
    <x v="0"/>
    <x v="5"/>
    <d v="2024-08-15T00:00:00"/>
    <d v="2024-08-15T00:00:00"/>
    <n v="0"/>
    <x v="0"/>
    <x v="6"/>
  </r>
  <r>
    <x v="694"/>
    <x v="2"/>
    <x v="14"/>
    <x v="0"/>
    <s v="Himself benefit food true skill add on."/>
    <x v="1"/>
    <x v="2"/>
    <d v="2024-07-11T00:00:00"/>
    <d v="2024-07-11T00:00:00"/>
    <n v="0"/>
    <x v="0"/>
    <x v="8"/>
  </r>
  <r>
    <x v="695"/>
    <x v="3"/>
    <x v="9"/>
    <x v="3"/>
    <s v="Suddenly figure again but keep leave form real threat."/>
    <x v="2"/>
    <x v="5"/>
    <d v="2024-09-30T00:00:00"/>
    <d v="2024-09-30T00:00:00"/>
    <n v="0"/>
    <x v="0"/>
    <x v="11"/>
  </r>
  <r>
    <x v="696"/>
    <x v="0"/>
    <x v="0"/>
    <x v="7"/>
    <s v="Home word worry east that."/>
    <x v="0"/>
    <x v="4"/>
    <d v="2024-07-15T00:00:00"/>
    <d v="2024-07-15T00:00:00"/>
    <n v="0"/>
    <x v="0"/>
    <x v="8"/>
  </r>
  <r>
    <x v="697"/>
    <x v="0"/>
    <x v="0"/>
    <x v="3"/>
    <s v="Stay money education can debate care traditional left."/>
    <x v="0"/>
    <x v="3"/>
    <d v="2024-10-04T00:00:00"/>
    <d v="2024-10-04T00:00:00"/>
    <n v="0"/>
    <x v="0"/>
    <x v="9"/>
  </r>
  <r>
    <x v="698"/>
    <x v="0"/>
    <x v="0"/>
    <x v="2"/>
    <s v="Often offer he box road they inside huge animal."/>
    <x v="1"/>
    <x v="0"/>
    <d v="2024-08-11T00:00:00"/>
    <d v="2024-08-11T00:00:00"/>
    <n v="0"/>
    <x v="0"/>
    <x v="6"/>
  </r>
  <r>
    <x v="699"/>
    <x v="1"/>
    <x v="11"/>
    <x v="3"/>
    <s v="Central data year recently one former television how financial describe type."/>
    <x v="1"/>
    <x v="5"/>
    <d v="2024-09-02T00:00:00"/>
    <d v="2024-09-02T00:00:00"/>
    <n v="0"/>
    <x v="0"/>
    <x v="11"/>
  </r>
  <r>
    <x v="700"/>
    <x v="4"/>
    <x v="13"/>
    <x v="3"/>
    <s v="Simply fact like alone cover yeah listen rather."/>
    <x v="1"/>
    <x v="5"/>
    <d v="2024-11-24T00:00:00"/>
    <d v="2024-11-24T00:00:00"/>
    <n v="0"/>
    <x v="0"/>
    <x v="10"/>
  </r>
  <r>
    <x v="701"/>
    <x v="0"/>
    <x v="8"/>
    <x v="3"/>
    <s v="People billion through resource meet believe rather build huge establish."/>
    <x v="2"/>
    <x v="3"/>
    <d v="2024-09-01T00:00:00"/>
    <d v="2024-09-01T00:00:00"/>
    <n v="0"/>
    <x v="0"/>
    <x v="11"/>
  </r>
  <r>
    <x v="702"/>
    <x v="1"/>
    <x v="10"/>
    <x v="7"/>
    <s v="Fire administration notice voice address much student play send."/>
    <x v="0"/>
    <x v="5"/>
    <d v="2024-08-17T00:00:00"/>
    <d v="2024-08-17T00:00:00"/>
    <n v="0"/>
    <x v="0"/>
    <x v="6"/>
  </r>
  <r>
    <x v="703"/>
    <x v="0"/>
    <x v="0"/>
    <x v="4"/>
    <s v="Behavior tonight also day fill."/>
    <x v="2"/>
    <x v="4"/>
    <d v="2024-07-13T00:00:00"/>
    <d v="2024-07-13T00:00:00"/>
    <n v="0"/>
    <x v="0"/>
    <x v="8"/>
  </r>
  <r>
    <x v="704"/>
    <x v="1"/>
    <x v="1"/>
    <x v="0"/>
    <s v="Practice throw protect good without note reach pull."/>
    <x v="1"/>
    <x v="2"/>
    <d v="2024-09-27T00:00:00"/>
    <d v="2024-09-27T00:00:00"/>
    <n v="0"/>
    <x v="0"/>
    <x v="11"/>
  </r>
  <r>
    <x v="705"/>
    <x v="3"/>
    <x v="3"/>
    <x v="7"/>
    <s v="Suffer end lay north move again."/>
    <x v="1"/>
    <x v="5"/>
    <d v="2024-09-09T00:00:00"/>
    <d v="2024-09-09T00:00:00"/>
    <n v="0"/>
    <x v="0"/>
    <x v="11"/>
  </r>
  <r>
    <x v="706"/>
    <x v="1"/>
    <x v="10"/>
    <x v="0"/>
    <s v="Only than who know."/>
    <x v="2"/>
    <x v="1"/>
    <d v="2024-10-23T00:00:00"/>
    <d v="2024-10-23T00:00:00"/>
    <n v="0"/>
    <x v="0"/>
    <x v="9"/>
  </r>
  <r>
    <x v="707"/>
    <x v="2"/>
    <x v="14"/>
    <x v="5"/>
    <s v="Big once who suggest either."/>
    <x v="0"/>
    <x v="0"/>
    <d v="2024-10-11T00:00:00"/>
    <d v="2024-10-11T00:00:00"/>
    <n v="0"/>
    <x v="0"/>
    <x v="9"/>
  </r>
  <r>
    <x v="708"/>
    <x v="1"/>
    <x v="10"/>
    <x v="6"/>
    <s v="Price yourself entire price pull another safe gas."/>
    <x v="2"/>
    <x v="2"/>
    <d v="2024-09-24T00:00:00"/>
    <d v="2024-09-24T00:00:00"/>
    <n v="0"/>
    <x v="0"/>
    <x v="11"/>
  </r>
  <r>
    <x v="709"/>
    <x v="0"/>
    <x v="8"/>
    <x v="7"/>
    <s v="Fill research kid left wonder send difference seven."/>
    <x v="0"/>
    <x v="5"/>
    <d v="2024-07-24T00:00:00"/>
    <d v="2024-07-24T00:00:00"/>
    <n v="0"/>
    <x v="0"/>
    <x v="8"/>
  </r>
  <r>
    <x v="710"/>
    <x v="3"/>
    <x v="9"/>
    <x v="2"/>
    <s v="Activity let law economy body couple ever possible past career."/>
    <x v="2"/>
    <x v="1"/>
    <d v="2024-10-17T00:00:00"/>
    <d v="2024-10-17T00:00:00"/>
    <n v="0"/>
    <x v="0"/>
    <x v="9"/>
  </r>
  <r>
    <x v="711"/>
    <x v="3"/>
    <x v="9"/>
    <x v="3"/>
    <s v="Full we keep member total find none."/>
    <x v="2"/>
    <x v="5"/>
    <d v="2024-11-13T00:00:00"/>
    <d v="2024-11-13T00:00:00"/>
    <n v="0"/>
    <x v="0"/>
    <x v="10"/>
  </r>
  <r>
    <x v="712"/>
    <x v="4"/>
    <x v="4"/>
    <x v="5"/>
    <s v="That feeling end second happy week impact clear."/>
    <x v="1"/>
    <x v="4"/>
    <d v="2024-10-23T00:00:00"/>
    <d v="2024-10-23T00:00:00"/>
    <n v="0"/>
    <x v="0"/>
    <x v="9"/>
  </r>
  <r>
    <x v="713"/>
    <x v="0"/>
    <x v="0"/>
    <x v="0"/>
    <s v="Maybe four character end product."/>
    <x v="2"/>
    <x v="5"/>
    <d v="2024-08-11T00:00:00"/>
    <d v="2024-08-11T00:00:00"/>
    <n v="0"/>
    <x v="0"/>
    <x v="6"/>
  </r>
  <r>
    <x v="714"/>
    <x v="3"/>
    <x v="3"/>
    <x v="7"/>
    <s v="No should most social open nice form recognize east have."/>
    <x v="0"/>
    <x v="0"/>
    <d v="2024-09-28T00:00:00"/>
    <d v="2024-09-28T00:00:00"/>
    <n v="0"/>
    <x v="0"/>
    <x v="11"/>
  </r>
  <r>
    <x v="715"/>
    <x v="1"/>
    <x v="10"/>
    <x v="5"/>
    <s v="Work successful your walk the with class million determine attention it."/>
    <x v="0"/>
    <x v="3"/>
    <d v="2024-12-04T00:00:00"/>
    <d v="2024-12-04T00:00:00"/>
    <n v="0"/>
    <x v="0"/>
    <x v="7"/>
  </r>
  <r>
    <x v="716"/>
    <x v="4"/>
    <x v="13"/>
    <x v="3"/>
    <s v="Before note could discuss officer."/>
    <x v="1"/>
    <x v="5"/>
    <d v="2024-09-16T00:00:00"/>
    <d v="2024-09-16T00:00:00"/>
    <n v="0"/>
    <x v="0"/>
    <x v="11"/>
  </r>
  <r>
    <x v="717"/>
    <x v="3"/>
    <x v="6"/>
    <x v="3"/>
    <s v="Career protect college us discussion."/>
    <x v="1"/>
    <x v="2"/>
    <d v="2024-11-05T00:00:00"/>
    <d v="2024-11-05T00:00:00"/>
    <n v="0"/>
    <x v="0"/>
    <x v="10"/>
  </r>
  <r>
    <x v="718"/>
    <x v="4"/>
    <x v="13"/>
    <x v="0"/>
    <s v="Collection subject response peace add something."/>
    <x v="2"/>
    <x v="1"/>
    <d v="2024-10-02T00:00:00"/>
    <d v="2024-10-02T00:00:00"/>
    <n v="0"/>
    <x v="0"/>
    <x v="9"/>
  </r>
  <r>
    <x v="719"/>
    <x v="3"/>
    <x v="3"/>
    <x v="1"/>
    <s v="Individual also claim ask hit avoid day already."/>
    <x v="2"/>
    <x v="3"/>
    <d v="2024-07-20T00:00:00"/>
    <d v="2024-07-20T00:00:00"/>
    <n v="0"/>
    <x v="0"/>
    <x v="8"/>
  </r>
  <r>
    <x v="720"/>
    <x v="0"/>
    <x v="8"/>
    <x v="0"/>
    <s v="Bad lay apply affect watch religious development commercial."/>
    <x v="1"/>
    <x v="1"/>
    <d v="2024-12-03T00:00:00"/>
    <d v="2024-12-03T00:00:00"/>
    <n v="0"/>
    <x v="0"/>
    <x v="7"/>
  </r>
  <r>
    <x v="721"/>
    <x v="0"/>
    <x v="0"/>
    <x v="5"/>
    <s v="Pm game cup international important those everyone term start management."/>
    <x v="0"/>
    <x v="0"/>
    <d v="2024-09-19T00:00:00"/>
    <d v="2024-09-19T00:00:00"/>
    <n v="0"/>
    <x v="0"/>
    <x v="11"/>
  </r>
  <r>
    <x v="722"/>
    <x v="0"/>
    <x v="7"/>
    <x v="3"/>
    <s v="Boy standard ahead before first point page than."/>
    <x v="0"/>
    <x v="5"/>
    <d v="2024-09-26T00:00:00"/>
    <d v="2024-09-26T00:00:00"/>
    <n v="0"/>
    <x v="0"/>
    <x v="11"/>
  </r>
  <r>
    <x v="723"/>
    <x v="2"/>
    <x v="5"/>
    <x v="2"/>
    <s v="Himself nothing public season why."/>
    <x v="0"/>
    <x v="0"/>
    <d v="2024-09-11T00:00:00"/>
    <d v="2024-09-11T00:00:00"/>
    <n v="0"/>
    <x v="0"/>
    <x v="11"/>
  </r>
  <r>
    <x v="724"/>
    <x v="1"/>
    <x v="1"/>
    <x v="0"/>
    <s v="Share miss everyone structure sign change."/>
    <x v="2"/>
    <x v="3"/>
    <d v="2024-11-25T00:00:00"/>
    <d v="2024-11-25T00:00:00"/>
    <n v="0"/>
    <x v="0"/>
    <x v="10"/>
  </r>
  <r>
    <x v="725"/>
    <x v="2"/>
    <x v="5"/>
    <x v="0"/>
    <s v="History cold account attack lawyer unit peace although film onto run."/>
    <x v="2"/>
    <x v="0"/>
    <d v="2024-07-05T00:00:00"/>
    <d v="2024-07-05T00:00:00"/>
    <n v="0"/>
    <x v="0"/>
    <x v="8"/>
  </r>
  <r>
    <x v="726"/>
    <x v="4"/>
    <x v="13"/>
    <x v="3"/>
    <s v="What continue help cut situation Democrat."/>
    <x v="2"/>
    <x v="2"/>
    <d v="2024-07-13T00:00:00"/>
    <d v="2024-07-13T00:00:00"/>
    <n v="0"/>
    <x v="0"/>
    <x v="8"/>
  </r>
  <r>
    <x v="727"/>
    <x v="1"/>
    <x v="11"/>
    <x v="4"/>
    <s v="Bed reduce major feel seem federal reality concern movement table clear."/>
    <x v="2"/>
    <x v="5"/>
    <d v="2024-10-21T00:00:00"/>
    <d v="2024-10-21T00:00:00"/>
    <n v="0"/>
    <x v="0"/>
    <x v="9"/>
  </r>
  <r>
    <x v="728"/>
    <x v="3"/>
    <x v="3"/>
    <x v="3"/>
    <s v="Western off where hold hotel public least."/>
    <x v="1"/>
    <x v="2"/>
    <d v="2024-10-17T00:00:00"/>
    <d v="2024-10-17T00:00:00"/>
    <n v="0"/>
    <x v="0"/>
    <x v="9"/>
  </r>
  <r>
    <x v="729"/>
    <x v="2"/>
    <x v="5"/>
    <x v="3"/>
    <s v="Reduce truth without medical hand."/>
    <x v="0"/>
    <x v="5"/>
    <d v="2024-09-30T00:00:00"/>
    <d v="2024-09-30T00:00:00"/>
    <n v="0"/>
    <x v="0"/>
    <x v="11"/>
  </r>
  <r>
    <x v="730"/>
    <x v="1"/>
    <x v="1"/>
    <x v="2"/>
    <s v="Task personal community various and room build present fund big."/>
    <x v="0"/>
    <x v="1"/>
    <d v="2024-08-21T00:00:00"/>
    <d v="2024-08-21T00:00:00"/>
    <n v="0"/>
    <x v="0"/>
    <x v="6"/>
  </r>
  <r>
    <x v="731"/>
    <x v="1"/>
    <x v="1"/>
    <x v="0"/>
    <s v="Sure couple consider service really discussion look responsibility lead."/>
    <x v="1"/>
    <x v="1"/>
    <d v="2024-08-24T00:00:00"/>
    <d v="2024-08-24T00:00:00"/>
    <n v="0"/>
    <x v="0"/>
    <x v="6"/>
  </r>
  <r>
    <x v="732"/>
    <x v="3"/>
    <x v="3"/>
    <x v="2"/>
    <s v="Final seem financial appear represent chance."/>
    <x v="0"/>
    <x v="2"/>
    <d v="2024-07-16T00:00:00"/>
    <d v="2024-07-16T00:00:00"/>
    <n v="0"/>
    <x v="0"/>
    <x v="8"/>
  </r>
  <r>
    <x v="733"/>
    <x v="0"/>
    <x v="7"/>
    <x v="3"/>
    <s v="Research far not detail opportunity instead."/>
    <x v="2"/>
    <x v="1"/>
    <d v="2024-07-14T00:00:00"/>
    <d v="2024-07-14T00:00:00"/>
    <n v="0"/>
    <x v="0"/>
    <x v="8"/>
  </r>
  <r>
    <x v="734"/>
    <x v="4"/>
    <x v="12"/>
    <x v="7"/>
    <s v="Wear play marriage age window player her risk meet."/>
    <x v="1"/>
    <x v="2"/>
    <d v="2024-11-28T00:00:00"/>
    <d v="2024-11-28T00:00:00"/>
    <n v="0"/>
    <x v="0"/>
    <x v="10"/>
  </r>
  <r>
    <x v="735"/>
    <x v="4"/>
    <x v="4"/>
    <x v="4"/>
    <s v="Service total story daughter ready arm."/>
    <x v="1"/>
    <x v="1"/>
    <d v="2024-11-08T00:00:00"/>
    <d v="2024-11-08T00:00:00"/>
    <n v="0"/>
    <x v="0"/>
    <x v="10"/>
  </r>
  <r>
    <x v="736"/>
    <x v="0"/>
    <x v="0"/>
    <x v="1"/>
    <s v="Else arrive physical prove example what prevent impact his PM."/>
    <x v="0"/>
    <x v="2"/>
    <d v="2024-11-30T00:00:00"/>
    <d v="2024-11-30T00:00:00"/>
    <n v="0"/>
    <x v="0"/>
    <x v="10"/>
  </r>
  <r>
    <x v="737"/>
    <x v="1"/>
    <x v="10"/>
    <x v="4"/>
    <s v="Catch machine computer author prevent bring in force."/>
    <x v="2"/>
    <x v="4"/>
    <d v="2024-09-30T00:00:00"/>
    <d v="2024-09-30T00:00:00"/>
    <n v="0"/>
    <x v="0"/>
    <x v="11"/>
  </r>
  <r>
    <x v="738"/>
    <x v="0"/>
    <x v="8"/>
    <x v="3"/>
    <s v="Face director represent executive sense price phone style choose."/>
    <x v="1"/>
    <x v="4"/>
    <d v="2024-11-22T00:00:00"/>
    <d v="2024-11-22T00:00:00"/>
    <n v="0"/>
    <x v="0"/>
    <x v="10"/>
  </r>
  <r>
    <x v="739"/>
    <x v="4"/>
    <x v="13"/>
    <x v="7"/>
    <s v="Thousand whole building appear collection structure color walk right."/>
    <x v="2"/>
    <x v="0"/>
    <d v="2024-08-06T00:00:00"/>
    <d v="2024-08-06T00:00:00"/>
    <n v="0"/>
    <x v="0"/>
    <x v="6"/>
  </r>
  <r>
    <x v="740"/>
    <x v="1"/>
    <x v="11"/>
    <x v="3"/>
    <s v="Accept soon any fill seek may."/>
    <x v="1"/>
    <x v="4"/>
    <d v="2024-08-03T00:00:00"/>
    <d v="2024-08-04T00:00:00"/>
    <n v="1"/>
    <x v="1"/>
    <x v="6"/>
  </r>
  <r>
    <x v="741"/>
    <x v="2"/>
    <x v="2"/>
    <x v="3"/>
    <s v="Trouble certain happen imagine throughout Democrat goal crime also above."/>
    <x v="2"/>
    <x v="0"/>
    <d v="2024-10-20T00:00:00"/>
    <d v="2024-10-20T00:00:00"/>
    <n v="0"/>
    <x v="0"/>
    <x v="9"/>
  </r>
  <r>
    <x v="742"/>
    <x v="2"/>
    <x v="2"/>
    <x v="1"/>
    <s v="Concern charge opportunity against challenge Congress someone else late."/>
    <x v="2"/>
    <x v="1"/>
    <d v="2024-11-19T00:00:00"/>
    <d v="2024-11-19T00:00:00"/>
    <n v="0"/>
    <x v="0"/>
    <x v="10"/>
  </r>
  <r>
    <x v="743"/>
    <x v="2"/>
    <x v="5"/>
    <x v="5"/>
    <s v="Move well cause reveal improve include business."/>
    <x v="1"/>
    <x v="4"/>
    <d v="2024-08-14T00:00:00"/>
    <d v="2024-08-14T00:00:00"/>
    <n v="0"/>
    <x v="0"/>
    <x v="6"/>
  </r>
  <r>
    <x v="744"/>
    <x v="4"/>
    <x v="4"/>
    <x v="3"/>
    <s v="Push heart discussion however receive film each past its I near."/>
    <x v="2"/>
    <x v="0"/>
    <d v="2024-07-01T00:00:00"/>
    <d v="2024-07-01T00:00:00"/>
    <n v="0"/>
    <x v="0"/>
    <x v="8"/>
  </r>
  <r>
    <x v="745"/>
    <x v="2"/>
    <x v="14"/>
    <x v="6"/>
    <s v="Whom run note send hold first build serious."/>
    <x v="0"/>
    <x v="2"/>
    <d v="2024-12-02T00:00:00"/>
    <d v="2024-12-03T00:00:00"/>
    <n v="1"/>
    <x v="1"/>
    <x v="7"/>
  </r>
  <r>
    <x v="746"/>
    <x v="3"/>
    <x v="6"/>
    <x v="4"/>
    <s v="Condition spring foot far avoid many wear line president."/>
    <x v="2"/>
    <x v="2"/>
    <d v="2024-08-18T00:00:00"/>
    <d v="2024-08-18T00:00:00"/>
    <n v="0"/>
    <x v="0"/>
    <x v="6"/>
  </r>
  <r>
    <x v="747"/>
    <x v="3"/>
    <x v="3"/>
    <x v="3"/>
    <s v="Likely view see important paper."/>
    <x v="2"/>
    <x v="3"/>
    <d v="2024-08-21T00:00:00"/>
    <d v="2024-08-21T00:00:00"/>
    <n v="0"/>
    <x v="0"/>
    <x v="6"/>
  </r>
  <r>
    <x v="748"/>
    <x v="0"/>
    <x v="7"/>
    <x v="0"/>
    <s v="Behind foreign after serve good skin knowledge hope."/>
    <x v="0"/>
    <x v="2"/>
    <d v="2024-09-29T00:00:00"/>
    <d v="2024-09-29T00:00:00"/>
    <n v="0"/>
    <x v="0"/>
    <x v="11"/>
  </r>
  <r>
    <x v="749"/>
    <x v="1"/>
    <x v="1"/>
    <x v="1"/>
    <s v="Item fund own as feel source way."/>
    <x v="1"/>
    <x v="0"/>
    <d v="2024-09-30T00:00:00"/>
    <d v="2024-09-30T00:00:00"/>
    <n v="0"/>
    <x v="0"/>
    <x v="11"/>
  </r>
  <r>
    <x v="750"/>
    <x v="3"/>
    <x v="6"/>
    <x v="1"/>
    <s v="Education through produce series last several record likely me."/>
    <x v="2"/>
    <x v="5"/>
    <d v="2024-12-07T00:00:00"/>
    <d v="2024-12-07T00:00:00"/>
    <n v="0"/>
    <x v="0"/>
    <x v="7"/>
  </r>
  <r>
    <x v="751"/>
    <x v="0"/>
    <x v="0"/>
    <x v="3"/>
    <s v="Yes explain why morning voice Republican again step old."/>
    <x v="1"/>
    <x v="1"/>
    <d v="2024-08-06T00:00:00"/>
    <d v="2024-08-06T00:00:00"/>
    <n v="0"/>
    <x v="0"/>
    <x v="6"/>
  </r>
  <r>
    <x v="752"/>
    <x v="2"/>
    <x v="5"/>
    <x v="4"/>
    <s v="Toward since civil away."/>
    <x v="2"/>
    <x v="2"/>
    <d v="2024-12-07T00:00:00"/>
    <d v="2024-12-07T00:00:00"/>
    <n v="0"/>
    <x v="0"/>
    <x v="7"/>
  </r>
  <r>
    <x v="753"/>
    <x v="2"/>
    <x v="2"/>
    <x v="3"/>
    <s v="Sport her radio look marriage."/>
    <x v="1"/>
    <x v="4"/>
    <d v="2024-07-01T00:00:00"/>
    <d v="2024-07-01T00:00:00"/>
    <n v="0"/>
    <x v="0"/>
    <x v="8"/>
  </r>
  <r>
    <x v="754"/>
    <x v="3"/>
    <x v="9"/>
    <x v="0"/>
    <s v="Against they event which whose."/>
    <x v="1"/>
    <x v="4"/>
    <d v="2024-09-03T00:00:00"/>
    <d v="2024-09-03T00:00:00"/>
    <n v="0"/>
    <x v="0"/>
    <x v="11"/>
  </r>
  <r>
    <x v="755"/>
    <x v="2"/>
    <x v="2"/>
    <x v="3"/>
    <s v="Top act about police fill."/>
    <x v="0"/>
    <x v="3"/>
    <d v="2024-07-19T00:00:00"/>
    <d v="2024-07-19T00:00:00"/>
    <n v="0"/>
    <x v="0"/>
    <x v="8"/>
  </r>
  <r>
    <x v="756"/>
    <x v="1"/>
    <x v="10"/>
    <x v="6"/>
    <s v="Soon especially expect he today entire protect risk radio."/>
    <x v="1"/>
    <x v="1"/>
    <d v="2024-10-25T00:00:00"/>
    <d v="2024-10-25T00:00:00"/>
    <n v="0"/>
    <x v="0"/>
    <x v="9"/>
  </r>
  <r>
    <x v="757"/>
    <x v="1"/>
    <x v="1"/>
    <x v="4"/>
    <s v="Decade natural stock hard someone."/>
    <x v="1"/>
    <x v="3"/>
    <d v="2024-12-02T00:00:00"/>
    <d v="2024-12-02T00:00:00"/>
    <n v="0"/>
    <x v="0"/>
    <x v="7"/>
  </r>
  <r>
    <x v="758"/>
    <x v="1"/>
    <x v="10"/>
    <x v="1"/>
    <s v="I what question until sister media receive list sound project floor."/>
    <x v="1"/>
    <x v="0"/>
    <d v="2024-11-03T00:00:00"/>
    <d v="2024-11-03T00:00:00"/>
    <n v="0"/>
    <x v="0"/>
    <x v="10"/>
  </r>
  <r>
    <x v="759"/>
    <x v="4"/>
    <x v="4"/>
    <x v="3"/>
    <s v="Drive that stay why imagine partner country care employee."/>
    <x v="1"/>
    <x v="0"/>
    <d v="2024-11-16T00:00:00"/>
    <d v="2024-11-16T00:00:00"/>
    <n v="0"/>
    <x v="0"/>
    <x v="10"/>
  </r>
  <r>
    <x v="760"/>
    <x v="0"/>
    <x v="0"/>
    <x v="0"/>
    <s v="Reduce discuss specific answer provide."/>
    <x v="0"/>
    <x v="0"/>
    <d v="2024-08-20T00:00:00"/>
    <d v="2024-08-20T00:00:00"/>
    <n v="0"/>
    <x v="0"/>
    <x v="6"/>
  </r>
  <r>
    <x v="761"/>
    <x v="1"/>
    <x v="1"/>
    <x v="1"/>
    <s v="Wait result relationship create throughout behind would."/>
    <x v="1"/>
    <x v="1"/>
    <d v="2024-12-02T00:00:00"/>
    <d v="2024-12-02T00:00:00"/>
    <n v="0"/>
    <x v="0"/>
    <x v="7"/>
  </r>
  <r>
    <x v="762"/>
    <x v="2"/>
    <x v="2"/>
    <x v="2"/>
    <s v="Away only happy quality even we take consider."/>
    <x v="1"/>
    <x v="2"/>
    <d v="2024-08-09T00:00:00"/>
    <d v="2024-08-09T00:00:00"/>
    <n v="0"/>
    <x v="0"/>
    <x v="6"/>
  </r>
  <r>
    <x v="763"/>
    <x v="3"/>
    <x v="3"/>
    <x v="3"/>
    <s v="Claim not expert information really course get politics region human."/>
    <x v="2"/>
    <x v="0"/>
    <d v="2024-12-01T00:00:00"/>
    <d v="2024-12-01T00:00:00"/>
    <n v="0"/>
    <x v="0"/>
    <x v="7"/>
  </r>
  <r>
    <x v="764"/>
    <x v="4"/>
    <x v="4"/>
    <x v="7"/>
    <s v="Top executive lead speak wrong choose decide."/>
    <x v="2"/>
    <x v="3"/>
    <d v="2024-07-13T00:00:00"/>
    <d v="2024-07-13T00:00:00"/>
    <n v="0"/>
    <x v="0"/>
    <x v="8"/>
  </r>
  <r>
    <x v="765"/>
    <x v="1"/>
    <x v="1"/>
    <x v="0"/>
    <s v="Home memory would as evening attorney amount."/>
    <x v="2"/>
    <x v="4"/>
    <d v="2024-08-16T00:00:00"/>
    <d v="2024-08-17T00:00:00"/>
    <n v="1"/>
    <x v="1"/>
    <x v="6"/>
  </r>
  <r>
    <x v="766"/>
    <x v="2"/>
    <x v="5"/>
    <x v="0"/>
    <s v="Teach pick expect on director go wide agent thousand force."/>
    <x v="2"/>
    <x v="4"/>
    <d v="2024-07-23T00:00:00"/>
    <d v="2024-07-23T00:00:00"/>
    <n v="0"/>
    <x v="0"/>
    <x v="8"/>
  </r>
  <r>
    <x v="767"/>
    <x v="2"/>
    <x v="5"/>
    <x v="2"/>
    <s v="Those too car yard early ever only such fall necessary."/>
    <x v="0"/>
    <x v="2"/>
    <d v="2024-10-18T00:00:00"/>
    <d v="2024-10-18T00:00:00"/>
    <n v="0"/>
    <x v="0"/>
    <x v="9"/>
  </r>
  <r>
    <x v="768"/>
    <x v="4"/>
    <x v="13"/>
    <x v="3"/>
    <s v="Final military play push make interview few approach professor this."/>
    <x v="2"/>
    <x v="5"/>
    <d v="2024-11-16T00:00:00"/>
    <d v="2024-11-16T00:00:00"/>
    <n v="0"/>
    <x v="0"/>
    <x v="10"/>
  </r>
  <r>
    <x v="769"/>
    <x v="3"/>
    <x v="6"/>
    <x v="2"/>
    <s v="Source per out arm tax all since seem animal."/>
    <x v="1"/>
    <x v="3"/>
    <d v="2024-10-02T00:00:00"/>
    <d v="2024-10-02T00:00:00"/>
    <n v="0"/>
    <x v="0"/>
    <x v="9"/>
  </r>
  <r>
    <x v="770"/>
    <x v="0"/>
    <x v="7"/>
    <x v="1"/>
    <s v="Third focus consider teacher also."/>
    <x v="1"/>
    <x v="2"/>
    <d v="2024-11-25T00:00:00"/>
    <d v="2024-11-25T00:00:00"/>
    <n v="0"/>
    <x v="0"/>
    <x v="10"/>
  </r>
  <r>
    <x v="771"/>
    <x v="0"/>
    <x v="8"/>
    <x v="3"/>
    <s v="Foreign conference data poor I somebody her ok relationship."/>
    <x v="2"/>
    <x v="4"/>
    <d v="2024-12-08T00:00:00"/>
    <d v="2024-12-08T00:00:00"/>
    <n v="0"/>
    <x v="0"/>
    <x v="7"/>
  </r>
  <r>
    <x v="772"/>
    <x v="3"/>
    <x v="3"/>
    <x v="2"/>
    <s v="Space customer social organization budget."/>
    <x v="1"/>
    <x v="5"/>
    <d v="2024-08-22T00:00:00"/>
    <d v="2024-08-22T00:00:00"/>
    <n v="0"/>
    <x v="0"/>
    <x v="6"/>
  </r>
  <r>
    <x v="773"/>
    <x v="0"/>
    <x v="0"/>
    <x v="4"/>
    <s v="Point improve road people street laugh conference myself us keep adult."/>
    <x v="0"/>
    <x v="2"/>
    <d v="2024-08-20T00:00:00"/>
    <d v="2024-08-20T00:00:00"/>
    <n v="0"/>
    <x v="0"/>
    <x v="6"/>
  </r>
  <r>
    <x v="774"/>
    <x v="3"/>
    <x v="9"/>
    <x v="4"/>
    <s v="Black guess argue especially perform."/>
    <x v="0"/>
    <x v="0"/>
    <d v="2024-12-09T00:00:00"/>
    <d v="2024-12-09T00:00:00"/>
    <n v="0"/>
    <x v="0"/>
    <x v="7"/>
  </r>
  <r>
    <x v="775"/>
    <x v="0"/>
    <x v="8"/>
    <x v="4"/>
    <s v="Miss what plant again ready."/>
    <x v="2"/>
    <x v="2"/>
    <d v="2024-07-05T00:00:00"/>
    <d v="2024-07-05T00:00:00"/>
    <n v="0"/>
    <x v="0"/>
    <x v="8"/>
  </r>
  <r>
    <x v="776"/>
    <x v="0"/>
    <x v="7"/>
    <x v="3"/>
    <s v="Mean often miss student coach how whose really everybody."/>
    <x v="0"/>
    <x v="0"/>
    <d v="2024-09-10T00:00:00"/>
    <d v="2024-09-10T00:00:00"/>
    <n v="0"/>
    <x v="0"/>
    <x v="11"/>
  </r>
  <r>
    <x v="777"/>
    <x v="1"/>
    <x v="10"/>
    <x v="3"/>
    <s v="Fire require economy wear already arrive."/>
    <x v="2"/>
    <x v="0"/>
    <d v="2024-10-23T00:00:00"/>
    <d v="2024-10-23T00:00:00"/>
    <n v="0"/>
    <x v="0"/>
    <x v="9"/>
  </r>
  <r>
    <x v="778"/>
    <x v="0"/>
    <x v="0"/>
    <x v="5"/>
    <s v="Draw certainly where several discussion lay."/>
    <x v="0"/>
    <x v="3"/>
    <d v="2024-07-05T00:00:00"/>
    <d v="2024-07-05T00:00:00"/>
    <n v="0"/>
    <x v="0"/>
    <x v="8"/>
  </r>
  <r>
    <x v="779"/>
    <x v="0"/>
    <x v="7"/>
    <x v="3"/>
    <s v="Traditional public reduce party guess."/>
    <x v="0"/>
    <x v="3"/>
    <d v="2024-08-04T00:00:00"/>
    <d v="2024-08-04T00:00:00"/>
    <n v="0"/>
    <x v="0"/>
    <x v="6"/>
  </r>
  <r>
    <x v="780"/>
    <x v="2"/>
    <x v="5"/>
    <x v="3"/>
    <s v="Lose prove tax thousand son."/>
    <x v="2"/>
    <x v="0"/>
    <d v="2024-08-07T00:00:00"/>
    <d v="2024-08-07T00:00:00"/>
    <n v="0"/>
    <x v="0"/>
    <x v="6"/>
  </r>
  <r>
    <x v="781"/>
    <x v="3"/>
    <x v="3"/>
    <x v="6"/>
    <s v="Rule company beat station building executive purpose bar choose week."/>
    <x v="2"/>
    <x v="0"/>
    <d v="2024-07-10T00:00:00"/>
    <d v="2024-07-10T00:00:00"/>
    <n v="0"/>
    <x v="0"/>
    <x v="8"/>
  </r>
  <r>
    <x v="782"/>
    <x v="3"/>
    <x v="9"/>
    <x v="3"/>
    <s v="Serve radio toward kind fall or prevent protect able."/>
    <x v="1"/>
    <x v="5"/>
    <d v="2024-11-01T00:00:00"/>
    <d v="2024-11-01T00:00:00"/>
    <n v="0"/>
    <x v="0"/>
    <x v="10"/>
  </r>
  <r>
    <x v="783"/>
    <x v="0"/>
    <x v="0"/>
    <x v="0"/>
    <s v="Energy upon compare my ahead where matter."/>
    <x v="0"/>
    <x v="2"/>
    <d v="2024-09-26T00:00:00"/>
    <d v="2024-09-26T00:00:00"/>
    <n v="0"/>
    <x v="0"/>
    <x v="11"/>
  </r>
  <r>
    <x v="784"/>
    <x v="1"/>
    <x v="11"/>
    <x v="4"/>
    <s v="Near marriage stuff later option determine."/>
    <x v="1"/>
    <x v="1"/>
    <d v="2024-07-31T00:00:00"/>
    <d v="2024-07-31T00:00:00"/>
    <n v="0"/>
    <x v="0"/>
    <x v="8"/>
  </r>
  <r>
    <x v="785"/>
    <x v="4"/>
    <x v="12"/>
    <x v="7"/>
    <s v="She community worry improve response result get its fly box."/>
    <x v="2"/>
    <x v="5"/>
    <d v="2024-10-10T00:00:00"/>
    <d v="2024-10-10T00:00:00"/>
    <n v="0"/>
    <x v="0"/>
    <x v="9"/>
  </r>
  <r>
    <x v="786"/>
    <x v="4"/>
    <x v="13"/>
    <x v="1"/>
    <s v="Contain area start each reason."/>
    <x v="1"/>
    <x v="4"/>
    <d v="2024-07-24T00:00:00"/>
    <d v="2024-07-24T00:00:00"/>
    <n v="0"/>
    <x v="0"/>
    <x v="8"/>
  </r>
  <r>
    <x v="787"/>
    <x v="1"/>
    <x v="1"/>
    <x v="7"/>
    <s v="Image enough reach her staff everyone minute shake."/>
    <x v="0"/>
    <x v="3"/>
    <d v="2024-07-10T00:00:00"/>
    <d v="2024-07-10T00:00:00"/>
    <n v="0"/>
    <x v="0"/>
    <x v="8"/>
  </r>
  <r>
    <x v="788"/>
    <x v="0"/>
    <x v="0"/>
    <x v="3"/>
    <s v="Usually former stay age both safe."/>
    <x v="0"/>
    <x v="1"/>
    <d v="2024-07-31T00:00:00"/>
    <d v="2024-07-31T00:00:00"/>
    <n v="0"/>
    <x v="0"/>
    <x v="8"/>
  </r>
  <r>
    <x v="789"/>
    <x v="2"/>
    <x v="5"/>
    <x v="3"/>
    <s v="Kid almost establish explain record operation."/>
    <x v="2"/>
    <x v="0"/>
    <d v="2024-11-18T00:00:00"/>
    <d v="2024-11-18T00:00:00"/>
    <n v="0"/>
    <x v="0"/>
    <x v="10"/>
  </r>
  <r>
    <x v="790"/>
    <x v="0"/>
    <x v="0"/>
    <x v="5"/>
    <s v="Maybe shoulder either tend church ago city."/>
    <x v="1"/>
    <x v="1"/>
    <d v="2024-08-08T00:00:00"/>
    <d v="2024-08-08T00:00:00"/>
    <n v="0"/>
    <x v="0"/>
    <x v="6"/>
  </r>
  <r>
    <x v="791"/>
    <x v="0"/>
    <x v="8"/>
    <x v="4"/>
    <s v="Discuss lead miss run paper."/>
    <x v="1"/>
    <x v="3"/>
    <d v="2024-07-13T00:00:00"/>
    <d v="2024-07-13T00:00:00"/>
    <n v="0"/>
    <x v="0"/>
    <x v="8"/>
  </r>
  <r>
    <x v="792"/>
    <x v="3"/>
    <x v="3"/>
    <x v="5"/>
    <s v="Well arm exactly action."/>
    <x v="1"/>
    <x v="3"/>
    <d v="2024-10-25T00:00:00"/>
    <d v="2024-10-25T00:00:00"/>
    <n v="0"/>
    <x v="0"/>
    <x v="9"/>
  </r>
  <r>
    <x v="793"/>
    <x v="0"/>
    <x v="7"/>
    <x v="5"/>
    <s v="Energy care policy manage political customer tree dinner behavior region."/>
    <x v="2"/>
    <x v="1"/>
    <d v="2024-07-28T00:00:00"/>
    <d v="2024-07-28T00:00:00"/>
    <n v="0"/>
    <x v="0"/>
    <x v="8"/>
  </r>
  <r>
    <x v="794"/>
    <x v="3"/>
    <x v="9"/>
    <x v="6"/>
    <s v="Growth enjoy program ground charge parent listen so."/>
    <x v="0"/>
    <x v="4"/>
    <d v="2024-09-07T00:00:00"/>
    <d v="2024-09-07T00:00:00"/>
    <n v="0"/>
    <x v="0"/>
    <x v="11"/>
  </r>
  <r>
    <x v="795"/>
    <x v="0"/>
    <x v="0"/>
    <x v="3"/>
    <s v="About guess reality vote task any right."/>
    <x v="2"/>
    <x v="3"/>
    <d v="2024-12-06T00:00:00"/>
    <d v="2024-12-06T00:00:00"/>
    <n v="0"/>
    <x v="0"/>
    <x v="7"/>
  </r>
  <r>
    <x v="796"/>
    <x v="1"/>
    <x v="10"/>
    <x v="0"/>
    <s v="Upon again fund yet customer plant job."/>
    <x v="0"/>
    <x v="2"/>
    <d v="2024-11-02T00:00:00"/>
    <d v="2024-11-02T00:00:00"/>
    <n v="0"/>
    <x v="0"/>
    <x v="10"/>
  </r>
  <r>
    <x v="797"/>
    <x v="1"/>
    <x v="10"/>
    <x v="1"/>
    <s v="Must leader benefit phone nothing authority civil PM game."/>
    <x v="2"/>
    <x v="1"/>
    <d v="2024-08-04T00:00:00"/>
    <d v="2024-08-04T00:00:00"/>
    <n v="0"/>
    <x v="0"/>
    <x v="6"/>
  </r>
  <r>
    <x v="798"/>
    <x v="0"/>
    <x v="7"/>
    <x v="4"/>
    <s v="Husband majority perhaps seven ground strong focus."/>
    <x v="0"/>
    <x v="0"/>
    <d v="2024-08-23T00:00:00"/>
    <d v="2024-08-23T00:00:00"/>
    <n v="0"/>
    <x v="0"/>
    <x v="6"/>
  </r>
  <r>
    <x v="799"/>
    <x v="4"/>
    <x v="13"/>
    <x v="4"/>
    <s v="Mention identify meet condition produce agent none authority travel attack."/>
    <x v="2"/>
    <x v="1"/>
    <d v="2024-09-08T00:00:00"/>
    <d v="2024-09-08T00:00:00"/>
    <n v="0"/>
    <x v="0"/>
    <x v="11"/>
  </r>
  <r>
    <x v="800"/>
    <x v="4"/>
    <x v="13"/>
    <x v="3"/>
    <s v="Director so decade improve property social."/>
    <x v="1"/>
    <x v="1"/>
    <d v="2024-10-15T00:00:00"/>
    <d v="2024-10-15T00:00:00"/>
    <n v="0"/>
    <x v="0"/>
    <x v="9"/>
  </r>
  <r>
    <x v="801"/>
    <x v="4"/>
    <x v="12"/>
    <x v="2"/>
    <s v="Expert fund remain meet view without seven rich."/>
    <x v="2"/>
    <x v="0"/>
    <d v="2024-10-12T00:00:00"/>
    <d v="2024-10-12T00:00:00"/>
    <n v="0"/>
    <x v="0"/>
    <x v="9"/>
  </r>
  <r>
    <x v="802"/>
    <x v="1"/>
    <x v="1"/>
    <x v="2"/>
    <s v="Assume whom political according way over other."/>
    <x v="1"/>
    <x v="3"/>
    <d v="2024-11-22T00:00:00"/>
    <d v="2024-11-22T00:00:00"/>
    <n v="0"/>
    <x v="0"/>
    <x v="10"/>
  </r>
  <r>
    <x v="803"/>
    <x v="2"/>
    <x v="2"/>
    <x v="2"/>
    <s v="Employee view computer particularly successful."/>
    <x v="2"/>
    <x v="3"/>
    <d v="2024-07-30T00:00:00"/>
    <d v="2024-07-30T00:00:00"/>
    <n v="0"/>
    <x v="0"/>
    <x v="8"/>
  </r>
  <r>
    <x v="804"/>
    <x v="2"/>
    <x v="2"/>
    <x v="5"/>
    <s v="Theory type break picture choose son professor."/>
    <x v="2"/>
    <x v="1"/>
    <d v="2024-11-06T00:00:00"/>
    <d v="2024-11-06T00:00:00"/>
    <n v="0"/>
    <x v="0"/>
    <x v="10"/>
  </r>
  <r>
    <x v="805"/>
    <x v="0"/>
    <x v="0"/>
    <x v="3"/>
    <s v="Under woman individual baby do."/>
    <x v="0"/>
    <x v="0"/>
    <d v="2024-11-27T00:00:00"/>
    <d v="2024-11-27T00:00:00"/>
    <n v="0"/>
    <x v="0"/>
    <x v="10"/>
  </r>
  <r>
    <x v="806"/>
    <x v="0"/>
    <x v="0"/>
    <x v="3"/>
    <s v="Available represent notice subject knowledge."/>
    <x v="2"/>
    <x v="4"/>
    <d v="2024-09-21T00:00:00"/>
    <d v="2024-09-21T00:00:00"/>
    <n v="0"/>
    <x v="0"/>
    <x v="11"/>
  </r>
  <r>
    <x v="807"/>
    <x v="4"/>
    <x v="12"/>
    <x v="5"/>
    <s v="View wind small share energy fire arrive."/>
    <x v="2"/>
    <x v="2"/>
    <d v="2024-11-27T00:00:00"/>
    <d v="2024-11-27T00:00:00"/>
    <n v="0"/>
    <x v="0"/>
    <x v="10"/>
  </r>
  <r>
    <x v="808"/>
    <x v="4"/>
    <x v="4"/>
    <x v="2"/>
    <s v="College top with especially type how fire station four throughout."/>
    <x v="2"/>
    <x v="2"/>
    <d v="2024-10-08T00:00:00"/>
    <d v="2024-10-08T00:00:00"/>
    <n v="0"/>
    <x v="0"/>
    <x v="9"/>
  </r>
  <r>
    <x v="809"/>
    <x v="4"/>
    <x v="13"/>
    <x v="7"/>
    <s v="Region career speak figure role someone doctor young itself."/>
    <x v="2"/>
    <x v="0"/>
    <d v="2024-07-01T00:00:00"/>
    <d v="2024-07-01T00:00:00"/>
    <n v="0"/>
    <x v="0"/>
    <x v="8"/>
  </r>
  <r>
    <x v="810"/>
    <x v="0"/>
    <x v="0"/>
    <x v="6"/>
    <s v="All page he she decision protect head."/>
    <x v="0"/>
    <x v="4"/>
    <d v="2024-12-09T00:00:00"/>
    <d v="2024-12-09T00:00:00"/>
    <n v="0"/>
    <x v="0"/>
    <x v="7"/>
  </r>
  <r>
    <x v="811"/>
    <x v="2"/>
    <x v="14"/>
    <x v="1"/>
    <s v="Week act of piece kitchen technology drive blood."/>
    <x v="0"/>
    <x v="3"/>
    <d v="2024-11-11T00:00:00"/>
    <d v="2024-11-11T00:00:00"/>
    <n v="0"/>
    <x v="0"/>
    <x v="10"/>
  </r>
  <r>
    <x v="812"/>
    <x v="0"/>
    <x v="0"/>
    <x v="4"/>
    <s v="Back study similar what paper job church energy."/>
    <x v="0"/>
    <x v="0"/>
    <d v="2024-10-23T00:00:00"/>
    <d v="2024-10-23T00:00:00"/>
    <n v="0"/>
    <x v="0"/>
    <x v="9"/>
  </r>
  <r>
    <x v="813"/>
    <x v="1"/>
    <x v="10"/>
    <x v="3"/>
    <s v="Manager PM recent yes example word wide source far."/>
    <x v="2"/>
    <x v="2"/>
    <d v="2024-11-11T00:00:00"/>
    <d v="2024-11-11T00:00:00"/>
    <n v="0"/>
    <x v="0"/>
    <x v="10"/>
  </r>
  <r>
    <x v="814"/>
    <x v="3"/>
    <x v="9"/>
    <x v="5"/>
    <s v="Clearly around yeah network top available another save dog."/>
    <x v="0"/>
    <x v="5"/>
    <d v="2024-07-13T00:00:00"/>
    <d v="2024-07-13T00:00:00"/>
    <n v="0"/>
    <x v="0"/>
    <x v="8"/>
  </r>
  <r>
    <x v="815"/>
    <x v="3"/>
    <x v="9"/>
    <x v="4"/>
    <s v="Present style baby street board popular onto seven technology."/>
    <x v="1"/>
    <x v="4"/>
    <d v="2024-11-19T00:00:00"/>
    <d v="2024-11-19T00:00:00"/>
    <n v="0"/>
    <x v="0"/>
    <x v="10"/>
  </r>
  <r>
    <x v="816"/>
    <x v="0"/>
    <x v="7"/>
    <x v="6"/>
    <s v="Nature something president seven person between board hand myself they."/>
    <x v="0"/>
    <x v="4"/>
    <d v="2024-10-14T00:00:00"/>
    <d v="2024-10-14T00:00:00"/>
    <n v="0"/>
    <x v="0"/>
    <x v="9"/>
  </r>
  <r>
    <x v="817"/>
    <x v="3"/>
    <x v="6"/>
    <x v="3"/>
    <s v="Adult either work amount its other theory instead."/>
    <x v="1"/>
    <x v="5"/>
    <d v="2024-10-07T00:00:00"/>
    <d v="2024-10-07T00:00:00"/>
    <n v="0"/>
    <x v="0"/>
    <x v="9"/>
  </r>
  <r>
    <x v="818"/>
    <x v="1"/>
    <x v="10"/>
    <x v="1"/>
    <s v="Main model hand attorney mind parent guess or."/>
    <x v="2"/>
    <x v="4"/>
    <d v="2024-11-04T00:00:00"/>
    <d v="2024-11-04T00:00:00"/>
    <n v="0"/>
    <x v="0"/>
    <x v="10"/>
  </r>
  <r>
    <x v="819"/>
    <x v="0"/>
    <x v="0"/>
    <x v="2"/>
    <s v="Society front yourself sister data although."/>
    <x v="0"/>
    <x v="4"/>
    <d v="2024-08-20T00:00:00"/>
    <d v="2024-08-20T00:00:00"/>
    <n v="0"/>
    <x v="0"/>
    <x v="6"/>
  </r>
  <r>
    <x v="820"/>
    <x v="2"/>
    <x v="5"/>
    <x v="3"/>
    <s v="Put issue window late audience Congress friend available impact."/>
    <x v="2"/>
    <x v="2"/>
    <d v="2024-11-18T00:00:00"/>
    <d v="2024-11-18T00:00:00"/>
    <n v="0"/>
    <x v="0"/>
    <x v="10"/>
  </r>
  <r>
    <x v="821"/>
    <x v="0"/>
    <x v="7"/>
    <x v="5"/>
    <s v="Success summer off really public pull."/>
    <x v="1"/>
    <x v="5"/>
    <d v="2024-10-08T00:00:00"/>
    <d v="2024-10-08T00:00:00"/>
    <n v="0"/>
    <x v="0"/>
    <x v="9"/>
  </r>
  <r>
    <x v="822"/>
    <x v="0"/>
    <x v="8"/>
    <x v="7"/>
    <s v="Else support number prevent hand church win help."/>
    <x v="1"/>
    <x v="4"/>
    <d v="2024-09-01T00:00:00"/>
    <d v="2024-09-01T00:00:00"/>
    <n v="0"/>
    <x v="0"/>
    <x v="11"/>
  </r>
  <r>
    <x v="823"/>
    <x v="2"/>
    <x v="5"/>
    <x v="3"/>
    <s v="Interesting image protect early trip fine manage."/>
    <x v="2"/>
    <x v="0"/>
    <d v="2024-11-09T00:00:00"/>
    <d v="2024-11-09T00:00:00"/>
    <n v="0"/>
    <x v="0"/>
    <x v="10"/>
  </r>
  <r>
    <x v="824"/>
    <x v="2"/>
    <x v="14"/>
    <x v="2"/>
    <s v="More foot culture right happen."/>
    <x v="2"/>
    <x v="0"/>
    <d v="2024-07-18T00:00:00"/>
    <d v="2024-07-18T00:00:00"/>
    <n v="0"/>
    <x v="0"/>
    <x v="8"/>
  </r>
  <r>
    <x v="825"/>
    <x v="0"/>
    <x v="7"/>
    <x v="4"/>
    <s v="Choice become knowledge once until try media inside."/>
    <x v="0"/>
    <x v="0"/>
    <d v="2024-11-27T00:00:00"/>
    <d v="2024-11-27T00:00:00"/>
    <n v="0"/>
    <x v="0"/>
    <x v="10"/>
  </r>
  <r>
    <x v="826"/>
    <x v="2"/>
    <x v="2"/>
    <x v="1"/>
    <s v="Both modern any item small information according full side risk."/>
    <x v="1"/>
    <x v="1"/>
    <d v="2024-10-24T00:00:00"/>
    <d v="2024-10-24T00:00:00"/>
    <n v="0"/>
    <x v="0"/>
    <x v="9"/>
  </r>
  <r>
    <x v="827"/>
    <x v="0"/>
    <x v="0"/>
    <x v="4"/>
    <s v="Physical threat purpose these quality key rich."/>
    <x v="1"/>
    <x v="2"/>
    <d v="2024-07-03T00:00:00"/>
    <d v="2024-07-03T00:00:00"/>
    <n v="0"/>
    <x v="0"/>
    <x v="8"/>
  </r>
  <r>
    <x v="828"/>
    <x v="2"/>
    <x v="14"/>
    <x v="0"/>
    <s v="Firm during notice investment draw safe wind party."/>
    <x v="0"/>
    <x v="3"/>
    <d v="2024-10-26T00:00:00"/>
    <d v="2024-10-26T00:00:00"/>
    <n v="0"/>
    <x v="0"/>
    <x v="9"/>
  </r>
  <r>
    <x v="829"/>
    <x v="1"/>
    <x v="11"/>
    <x v="1"/>
    <s v="Sport look forget feel property less kid."/>
    <x v="2"/>
    <x v="1"/>
    <d v="2024-08-23T00:00:00"/>
    <d v="2024-08-23T00:00:00"/>
    <n v="0"/>
    <x v="0"/>
    <x v="6"/>
  </r>
  <r>
    <x v="830"/>
    <x v="2"/>
    <x v="14"/>
    <x v="1"/>
    <s v="Notice age how social camera personal."/>
    <x v="0"/>
    <x v="2"/>
    <d v="2024-10-15T00:00:00"/>
    <d v="2024-10-15T00:00:00"/>
    <n v="0"/>
    <x v="0"/>
    <x v="9"/>
  </r>
  <r>
    <x v="831"/>
    <x v="1"/>
    <x v="10"/>
    <x v="6"/>
    <s v="Address individual doctor fine."/>
    <x v="0"/>
    <x v="3"/>
    <d v="2024-10-04T00:00:00"/>
    <d v="2024-10-04T00:00:00"/>
    <n v="0"/>
    <x v="0"/>
    <x v="9"/>
  </r>
  <r>
    <x v="832"/>
    <x v="1"/>
    <x v="11"/>
    <x v="0"/>
    <s v="Window international always cause break set suffer thank order."/>
    <x v="1"/>
    <x v="3"/>
    <d v="2024-11-25T00:00:00"/>
    <d v="2024-11-25T00:00:00"/>
    <n v="0"/>
    <x v="0"/>
    <x v="10"/>
  </r>
  <r>
    <x v="833"/>
    <x v="1"/>
    <x v="11"/>
    <x v="1"/>
    <s v="Nothing manage nice move action those here."/>
    <x v="1"/>
    <x v="3"/>
    <d v="2024-10-06T00:00:00"/>
    <d v="2024-10-06T00:00:00"/>
    <n v="0"/>
    <x v="0"/>
    <x v="9"/>
  </r>
  <r>
    <x v="834"/>
    <x v="0"/>
    <x v="7"/>
    <x v="6"/>
    <s v="Rather end it employee."/>
    <x v="1"/>
    <x v="1"/>
    <d v="2024-09-20T00:00:00"/>
    <d v="2024-09-20T00:00:00"/>
    <n v="0"/>
    <x v="0"/>
    <x v="11"/>
  </r>
  <r>
    <x v="835"/>
    <x v="1"/>
    <x v="10"/>
    <x v="1"/>
    <s v="Themselves easy picture third share individual do now."/>
    <x v="1"/>
    <x v="2"/>
    <d v="2024-09-09T00:00:00"/>
    <d v="2024-09-09T00:00:00"/>
    <n v="0"/>
    <x v="0"/>
    <x v="11"/>
  </r>
  <r>
    <x v="836"/>
    <x v="0"/>
    <x v="8"/>
    <x v="2"/>
    <s v="Occur dream one late character pressure."/>
    <x v="0"/>
    <x v="3"/>
    <d v="2024-11-22T00:00:00"/>
    <d v="2024-11-22T00:00:00"/>
    <n v="0"/>
    <x v="0"/>
    <x v="10"/>
  </r>
  <r>
    <x v="837"/>
    <x v="2"/>
    <x v="2"/>
    <x v="6"/>
    <s v="Simply company choice recently least cover crime."/>
    <x v="0"/>
    <x v="2"/>
    <d v="2024-11-04T00:00:00"/>
    <d v="2024-11-04T00:00:00"/>
    <n v="0"/>
    <x v="0"/>
    <x v="10"/>
  </r>
  <r>
    <x v="838"/>
    <x v="4"/>
    <x v="12"/>
    <x v="6"/>
    <s v="Hit they you store."/>
    <x v="2"/>
    <x v="4"/>
    <d v="2024-08-14T00:00:00"/>
    <d v="2024-08-14T00:00:00"/>
    <n v="0"/>
    <x v="0"/>
    <x v="6"/>
  </r>
  <r>
    <x v="839"/>
    <x v="2"/>
    <x v="14"/>
    <x v="4"/>
    <s v="Administration opportunity education represent here."/>
    <x v="0"/>
    <x v="3"/>
    <d v="2024-09-05T00:00:00"/>
    <d v="2024-09-05T00:00:00"/>
    <n v="0"/>
    <x v="0"/>
    <x v="11"/>
  </r>
  <r>
    <x v="840"/>
    <x v="0"/>
    <x v="0"/>
    <x v="3"/>
    <s v="Reason new discover decide buy free contain any eat make he."/>
    <x v="0"/>
    <x v="2"/>
    <d v="2024-10-27T00:00:00"/>
    <d v="2024-10-27T00:00:00"/>
    <n v="0"/>
    <x v="0"/>
    <x v="9"/>
  </r>
  <r>
    <x v="841"/>
    <x v="3"/>
    <x v="3"/>
    <x v="7"/>
    <s v="Such act sort decision lose card history many."/>
    <x v="2"/>
    <x v="0"/>
    <d v="2024-10-14T00:00:00"/>
    <d v="2024-10-14T00:00:00"/>
    <n v="0"/>
    <x v="0"/>
    <x v="9"/>
  </r>
  <r>
    <x v="842"/>
    <x v="3"/>
    <x v="3"/>
    <x v="5"/>
    <s v="Coach everybody meet red fire nothing parent like here."/>
    <x v="0"/>
    <x v="4"/>
    <d v="2024-08-17T00:00:00"/>
    <d v="2024-08-17T00:00:00"/>
    <n v="0"/>
    <x v="0"/>
    <x v="6"/>
  </r>
  <r>
    <x v="843"/>
    <x v="2"/>
    <x v="5"/>
    <x v="4"/>
    <s v="Operation citizen rich environmental wrong example prepare."/>
    <x v="0"/>
    <x v="2"/>
    <d v="2024-09-26T00:00:00"/>
    <d v="2024-09-26T00:00:00"/>
    <n v="0"/>
    <x v="0"/>
    <x v="11"/>
  </r>
  <r>
    <x v="844"/>
    <x v="0"/>
    <x v="8"/>
    <x v="3"/>
    <s v="Rather about give dinner when instead since seven."/>
    <x v="1"/>
    <x v="0"/>
    <d v="2024-11-26T00:00:00"/>
    <d v="2024-11-26T00:00:00"/>
    <n v="0"/>
    <x v="0"/>
    <x v="10"/>
  </r>
  <r>
    <x v="845"/>
    <x v="2"/>
    <x v="14"/>
    <x v="3"/>
    <s v="Paper rich particularly country pay."/>
    <x v="1"/>
    <x v="1"/>
    <d v="2024-10-27T00:00:00"/>
    <d v="2024-10-27T00:00:00"/>
    <n v="0"/>
    <x v="0"/>
    <x v="9"/>
  </r>
  <r>
    <x v="846"/>
    <x v="3"/>
    <x v="9"/>
    <x v="7"/>
    <s v="Without use peace good apply activity make."/>
    <x v="2"/>
    <x v="4"/>
    <d v="2024-11-09T00:00:00"/>
    <d v="2024-11-09T00:00:00"/>
    <n v="0"/>
    <x v="0"/>
    <x v="10"/>
  </r>
  <r>
    <x v="847"/>
    <x v="0"/>
    <x v="0"/>
    <x v="6"/>
    <s v="Change concern factor green store worry well."/>
    <x v="1"/>
    <x v="3"/>
    <d v="2024-09-07T00:00:00"/>
    <d v="2024-09-07T00:00:00"/>
    <n v="0"/>
    <x v="0"/>
    <x v="11"/>
  </r>
  <r>
    <x v="848"/>
    <x v="0"/>
    <x v="8"/>
    <x v="6"/>
    <s v="Nature why once number idea owner power wait."/>
    <x v="0"/>
    <x v="3"/>
    <d v="2024-10-19T00:00:00"/>
    <d v="2024-10-19T00:00:00"/>
    <n v="0"/>
    <x v="0"/>
    <x v="9"/>
  </r>
  <r>
    <x v="849"/>
    <x v="4"/>
    <x v="4"/>
    <x v="7"/>
    <s v="Treatment clearly teach argue."/>
    <x v="1"/>
    <x v="5"/>
    <d v="2024-07-29T00:00:00"/>
    <d v="2024-07-29T00:00:00"/>
    <n v="0"/>
    <x v="0"/>
    <x v="8"/>
  </r>
  <r>
    <x v="850"/>
    <x v="0"/>
    <x v="0"/>
    <x v="4"/>
    <s v="Prepare effect strong sure sister yes."/>
    <x v="1"/>
    <x v="4"/>
    <d v="2024-09-15T00:00:00"/>
    <d v="2024-09-15T00:00:00"/>
    <n v="0"/>
    <x v="0"/>
    <x v="11"/>
  </r>
  <r>
    <x v="851"/>
    <x v="2"/>
    <x v="14"/>
    <x v="3"/>
    <s v="The scene employee of area stop them character southern."/>
    <x v="2"/>
    <x v="5"/>
    <d v="2024-09-21T00:00:00"/>
    <d v="2024-09-21T00:00:00"/>
    <n v="0"/>
    <x v="0"/>
    <x v="11"/>
  </r>
  <r>
    <x v="852"/>
    <x v="1"/>
    <x v="1"/>
    <x v="6"/>
    <s v="Activity drug agreement western hold himself very."/>
    <x v="2"/>
    <x v="1"/>
    <d v="2024-11-02T00:00:00"/>
    <d v="2024-11-02T00:00:00"/>
    <n v="0"/>
    <x v="0"/>
    <x v="10"/>
  </r>
  <r>
    <x v="853"/>
    <x v="3"/>
    <x v="6"/>
    <x v="5"/>
    <s v="Book degree new data night last focus it during into blood."/>
    <x v="1"/>
    <x v="2"/>
    <d v="2024-07-10T00:00:00"/>
    <d v="2024-07-10T00:00:00"/>
    <n v="0"/>
    <x v="0"/>
    <x v="8"/>
  </r>
  <r>
    <x v="854"/>
    <x v="0"/>
    <x v="0"/>
    <x v="1"/>
    <s v="Material ok ask attorney end simply image summer oil."/>
    <x v="0"/>
    <x v="0"/>
    <d v="2024-10-17T00:00:00"/>
    <d v="2024-10-17T00:00:00"/>
    <n v="0"/>
    <x v="0"/>
    <x v="9"/>
  </r>
  <r>
    <x v="855"/>
    <x v="1"/>
    <x v="1"/>
    <x v="2"/>
    <s v="Against manager reveal you down sing floor finally meeting main."/>
    <x v="1"/>
    <x v="4"/>
    <d v="2024-09-22T00:00:00"/>
    <d v="2024-09-22T00:00:00"/>
    <n v="0"/>
    <x v="0"/>
    <x v="11"/>
  </r>
  <r>
    <x v="856"/>
    <x v="2"/>
    <x v="2"/>
    <x v="6"/>
    <s v="Might bit group two court manage particularly meeting station relate."/>
    <x v="2"/>
    <x v="0"/>
    <d v="2024-09-05T00:00:00"/>
    <d v="2024-09-05T00:00:00"/>
    <n v="0"/>
    <x v="0"/>
    <x v="11"/>
  </r>
  <r>
    <x v="857"/>
    <x v="1"/>
    <x v="11"/>
    <x v="4"/>
    <s v="Six local itself size commercial."/>
    <x v="1"/>
    <x v="2"/>
    <d v="2024-07-30T00:00:00"/>
    <d v="2024-07-30T00:00:00"/>
    <n v="0"/>
    <x v="0"/>
    <x v="8"/>
  </r>
  <r>
    <x v="858"/>
    <x v="4"/>
    <x v="12"/>
    <x v="3"/>
    <s v="Democrat sound pattern how author include design bill poor television."/>
    <x v="2"/>
    <x v="5"/>
    <d v="2024-07-12T00:00:00"/>
    <d v="2024-07-12T00:00:00"/>
    <n v="0"/>
    <x v="0"/>
    <x v="8"/>
  </r>
  <r>
    <x v="859"/>
    <x v="4"/>
    <x v="13"/>
    <x v="6"/>
    <s v="Special effort provide interview word fight."/>
    <x v="1"/>
    <x v="4"/>
    <d v="2024-11-21T00:00:00"/>
    <d v="2024-11-21T00:00:00"/>
    <n v="0"/>
    <x v="0"/>
    <x v="10"/>
  </r>
  <r>
    <x v="860"/>
    <x v="2"/>
    <x v="5"/>
    <x v="6"/>
    <s v="Church like half activity first chance bad head standard kitchen."/>
    <x v="2"/>
    <x v="1"/>
    <d v="2024-11-03T00:00:00"/>
    <d v="2024-11-03T00:00:00"/>
    <n v="0"/>
    <x v="0"/>
    <x v="10"/>
  </r>
  <r>
    <x v="861"/>
    <x v="4"/>
    <x v="13"/>
    <x v="2"/>
    <s v="Entire necessary without front throughout office political."/>
    <x v="2"/>
    <x v="5"/>
    <d v="2024-11-09T00:00:00"/>
    <d v="2024-11-09T00:00:00"/>
    <n v="0"/>
    <x v="0"/>
    <x v="10"/>
  </r>
  <r>
    <x v="862"/>
    <x v="4"/>
    <x v="4"/>
    <x v="7"/>
    <s v="Traditional major already husband with follow sign purpose."/>
    <x v="1"/>
    <x v="5"/>
    <d v="2024-12-18T00:00:00"/>
    <d v="2024-12-18T00:00:00"/>
    <n v="0"/>
    <x v="0"/>
    <x v="7"/>
  </r>
  <r>
    <x v="863"/>
    <x v="2"/>
    <x v="5"/>
    <x v="7"/>
    <s v="Thus camera mother structure will society tell whom amount should campaign."/>
    <x v="0"/>
    <x v="3"/>
    <d v="2024-10-30T00:00:00"/>
    <d v="2024-10-30T00:00:00"/>
    <n v="0"/>
    <x v="0"/>
    <x v="9"/>
  </r>
  <r>
    <x v="864"/>
    <x v="4"/>
    <x v="13"/>
    <x v="3"/>
    <s v="Action year argue usually ground clear war interview garden brother."/>
    <x v="1"/>
    <x v="2"/>
    <d v="2024-10-09T00:00:00"/>
    <d v="2024-10-09T00:00:00"/>
    <n v="0"/>
    <x v="0"/>
    <x v="9"/>
  </r>
  <r>
    <x v="865"/>
    <x v="3"/>
    <x v="9"/>
    <x v="1"/>
    <s v="Thus red senior term movie fall less."/>
    <x v="2"/>
    <x v="3"/>
    <d v="2024-10-26T00:00:00"/>
    <d v="2024-10-26T00:00:00"/>
    <n v="0"/>
    <x v="0"/>
    <x v="9"/>
  </r>
  <r>
    <x v="866"/>
    <x v="2"/>
    <x v="5"/>
    <x v="2"/>
    <s v="Stand reveal story compare mean last war stock happen book."/>
    <x v="2"/>
    <x v="4"/>
    <d v="2024-09-05T00:00:00"/>
    <d v="2024-09-06T00:00:00"/>
    <n v="1"/>
    <x v="1"/>
    <x v="11"/>
  </r>
  <r>
    <x v="867"/>
    <x v="2"/>
    <x v="2"/>
    <x v="3"/>
    <s v="Pull official father political marriage traditional can perhaps."/>
    <x v="2"/>
    <x v="2"/>
    <d v="2024-11-18T00:00:00"/>
    <d v="2024-11-18T00:00:00"/>
    <n v="0"/>
    <x v="0"/>
    <x v="10"/>
  </r>
  <r>
    <x v="868"/>
    <x v="0"/>
    <x v="8"/>
    <x v="5"/>
    <s v="Worry time notice happen close daughter case."/>
    <x v="0"/>
    <x v="5"/>
    <d v="2024-09-09T00:00:00"/>
    <d v="2024-09-09T00:00:00"/>
    <n v="0"/>
    <x v="0"/>
    <x v="11"/>
  </r>
  <r>
    <x v="869"/>
    <x v="4"/>
    <x v="12"/>
    <x v="0"/>
    <s v="Parent outside fact base clear."/>
    <x v="2"/>
    <x v="3"/>
    <d v="2024-07-27T00:00:00"/>
    <d v="2024-07-27T00:00:00"/>
    <n v="0"/>
    <x v="0"/>
    <x v="8"/>
  </r>
  <r>
    <x v="870"/>
    <x v="2"/>
    <x v="14"/>
    <x v="3"/>
    <s v="Different interesting who both board lot course road drop around."/>
    <x v="1"/>
    <x v="4"/>
    <d v="2024-07-22T00:00:00"/>
    <d v="2024-07-22T00:00:00"/>
    <n v="0"/>
    <x v="0"/>
    <x v="8"/>
  </r>
  <r>
    <x v="871"/>
    <x v="1"/>
    <x v="11"/>
    <x v="3"/>
    <s v="Call exactly protect order their lose organization money."/>
    <x v="1"/>
    <x v="4"/>
    <d v="2024-09-27T00:00:00"/>
    <d v="2024-09-28T00:00:00"/>
    <n v="1"/>
    <x v="1"/>
    <x v="11"/>
  </r>
  <r>
    <x v="872"/>
    <x v="3"/>
    <x v="3"/>
    <x v="3"/>
    <s v="Describe account run hope turn run organization employee."/>
    <x v="0"/>
    <x v="1"/>
    <d v="2024-09-14T00:00:00"/>
    <d v="2024-09-14T00:00:00"/>
    <n v="0"/>
    <x v="0"/>
    <x v="11"/>
  </r>
  <r>
    <x v="873"/>
    <x v="0"/>
    <x v="7"/>
    <x v="4"/>
    <s v="Their shoulder involve opportunity present he market positive."/>
    <x v="0"/>
    <x v="4"/>
    <d v="2024-10-11T00:00:00"/>
    <d v="2024-10-11T00:00:00"/>
    <n v="0"/>
    <x v="0"/>
    <x v="9"/>
  </r>
  <r>
    <x v="874"/>
    <x v="2"/>
    <x v="2"/>
    <x v="4"/>
    <s v="Drop employee religious too age tell word size up."/>
    <x v="1"/>
    <x v="1"/>
    <d v="2024-11-20T00:00:00"/>
    <d v="2024-11-20T00:00:00"/>
    <n v="0"/>
    <x v="0"/>
    <x v="10"/>
  </r>
  <r>
    <x v="875"/>
    <x v="2"/>
    <x v="14"/>
    <x v="5"/>
    <s v="Control force be sell contain."/>
    <x v="2"/>
    <x v="5"/>
    <d v="2024-07-05T00:00:00"/>
    <d v="2024-07-05T00:00:00"/>
    <n v="0"/>
    <x v="0"/>
    <x v="8"/>
  </r>
  <r>
    <x v="876"/>
    <x v="1"/>
    <x v="10"/>
    <x v="7"/>
    <s v="Well town month should bag."/>
    <x v="2"/>
    <x v="5"/>
    <d v="2024-10-04T00:00:00"/>
    <d v="2024-10-04T00:00:00"/>
    <n v="0"/>
    <x v="0"/>
    <x v="9"/>
  </r>
  <r>
    <x v="877"/>
    <x v="4"/>
    <x v="13"/>
    <x v="5"/>
    <s v="North goal only since specific major just theory seek."/>
    <x v="1"/>
    <x v="0"/>
    <d v="2024-10-24T00:00:00"/>
    <d v="2024-10-24T00:00:00"/>
    <n v="0"/>
    <x v="0"/>
    <x v="9"/>
  </r>
  <r>
    <x v="878"/>
    <x v="1"/>
    <x v="1"/>
    <x v="4"/>
    <s v="City should discuss election rate."/>
    <x v="0"/>
    <x v="5"/>
    <d v="2024-08-16T00:00:00"/>
    <d v="2024-08-16T00:00:00"/>
    <n v="0"/>
    <x v="0"/>
    <x v="6"/>
  </r>
  <r>
    <x v="879"/>
    <x v="0"/>
    <x v="0"/>
    <x v="1"/>
    <s v="Model hand recent image around since history order."/>
    <x v="1"/>
    <x v="1"/>
    <d v="2024-10-21T00:00:00"/>
    <d v="2024-10-21T00:00:00"/>
    <n v="0"/>
    <x v="0"/>
    <x v="9"/>
  </r>
  <r>
    <x v="880"/>
    <x v="1"/>
    <x v="10"/>
    <x v="1"/>
    <s v="Word member certain policy no."/>
    <x v="1"/>
    <x v="3"/>
    <d v="2024-12-07T00:00:00"/>
    <d v="2024-12-07T00:00:00"/>
    <n v="0"/>
    <x v="0"/>
    <x v="7"/>
  </r>
  <r>
    <x v="881"/>
    <x v="3"/>
    <x v="3"/>
    <x v="5"/>
    <s v="Everybody late feeling lot sort follow investment figure other maintain."/>
    <x v="2"/>
    <x v="5"/>
    <d v="2024-07-08T00:00:00"/>
    <d v="2024-07-08T00:00:00"/>
    <n v="0"/>
    <x v="0"/>
    <x v="8"/>
  </r>
  <r>
    <x v="882"/>
    <x v="3"/>
    <x v="6"/>
    <x v="7"/>
    <s v="Build interesting interest little level often national."/>
    <x v="0"/>
    <x v="5"/>
    <d v="2024-11-20T00:00:00"/>
    <d v="2024-11-20T00:00:00"/>
    <n v="0"/>
    <x v="0"/>
    <x v="10"/>
  </r>
  <r>
    <x v="883"/>
    <x v="2"/>
    <x v="2"/>
    <x v="6"/>
    <s v="Find board region draw reflect goal event special way along."/>
    <x v="1"/>
    <x v="0"/>
    <d v="2024-10-23T00:00:00"/>
    <d v="2024-10-23T00:00:00"/>
    <n v="0"/>
    <x v="0"/>
    <x v="9"/>
  </r>
  <r>
    <x v="884"/>
    <x v="4"/>
    <x v="4"/>
    <x v="0"/>
    <s v="Debate history art know either."/>
    <x v="1"/>
    <x v="3"/>
    <d v="2024-08-08T00:00:00"/>
    <d v="2024-08-08T00:00:00"/>
    <n v="0"/>
    <x v="0"/>
    <x v="6"/>
  </r>
  <r>
    <x v="885"/>
    <x v="2"/>
    <x v="2"/>
    <x v="3"/>
    <s v="Attention road physical imagine drop eight writer wind middle of."/>
    <x v="1"/>
    <x v="4"/>
    <d v="2024-11-02T00:00:00"/>
    <d v="2024-11-02T00:00:00"/>
    <n v="0"/>
    <x v="0"/>
    <x v="10"/>
  </r>
  <r>
    <x v="886"/>
    <x v="0"/>
    <x v="7"/>
    <x v="6"/>
    <s v="Through nothing money recognize."/>
    <x v="2"/>
    <x v="3"/>
    <d v="2024-10-17T00:00:00"/>
    <d v="2024-10-17T00:00:00"/>
    <n v="0"/>
    <x v="0"/>
    <x v="9"/>
  </r>
  <r>
    <x v="887"/>
    <x v="2"/>
    <x v="5"/>
    <x v="4"/>
    <s v="Far these him easy girl street."/>
    <x v="0"/>
    <x v="0"/>
    <d v="2024-07-13T00:00:00"/>
    <d v="2024-07-13T00:00:00"/>
    <n v="0"/>
    <x v="0"/>
    <x v="8"/>
  </r>
  <r>
    <x v="888"/>
    <x v="1"/>
    <x v="1"/>
    <x v="3"/>
    <s v="Week when future region travel."/>
    <x v="0"/>
    <x v="2"/>
    <d v="2024-07-14T00:00:00"/>
    <d v="2024-07-14T00:00:00"/>
    <n v="0"/>
    <x v="0"/>
    <x v="8"/>
  </r>
  <r>
    <x v="889"/>
    <x v="0"/>
    <x v="7"/>
    <x v="3"/>
    <s v="Call despite for American whether call during may."/>
    <x v="0"/>
    <x v="5"/>
    <d v="2024-08-15T00:00:00"/>
    <d v="2024-08-15T00:00:00"/>
    <n v="0"/>
    <x v="0"/>
    <x v="6"/>
  </r>
  <r>
    <x v="890"/>
    <x v="2"/>
    <x v="14"/>
    <x v="0"/>
    <s v="Himself benefit food true skill add on."/>
    <x v="1"/>
    <x v="2"/>
    <d v="2024-07-11T00:00:00"/>
    <d v="2024-07-11T00:00:00"/>
    <n v="0"/>
    <x v="0"/>
    <x v="8"/>
  </r>
  <r>
    <x v="891"/>
    <x v="3"/>
    <x v="9"/>
    <x v="3"/>
    <s v="Suddenly figure again but keep leave form real threat."/>
    <x v="2"/>
    <x v="5"/>
    <d v="2024-09-30T00:00:00"/>
    <d v="2024-09-30T00:00:00"/>
    <n v="0"/>
    <x v="0"/>
    <x v="11"/>
  </r>
  <r>
    <x v="892"/>
    <x v="0"/>
    <x v="0"/>
    <x v="7"/>
    <s v="Home word worry east that."/>
    <x v="0"/>
    <x v="4"/>
    <d v="2024-07-15T00:00:00"/>
    <d v="2024-07-15T00:00:00"/>
    <n v="0"/>
    <x v="0"/>
    <x v="8"/>
  </r>
  <r>
    <x v="893"/>
    <x v="0"/>
    <x v="8"/>
    <x v="3"/>
    <s v="Stay money education can debate care traditional left."/>
    <x v="0"/>
    <x v="3"/>
    <d v="2024-10-04T00:00:00"/>
    <d v="2024-10-04T00:00:00"/>
    <n v="0"/>
    <x v="0"/>
    <x v="9"/>
  </r>
  <r>
    <x v="894"/>
    <x v="0"/>
    <x v="0"/>
    <x v="2"/>
    <s v="Often offer he box road they inside huge animal."/>
    <x v="1"/>
    <x v="0"/>
    <d v="2024-08-11T00:00:00"/>
    <d v="2024-08-11T00:00:00"/>
    <n v="0"/>
    <x v="0"/>
    <x v="6"/>
  </r>
  <r>
    <x v="895"/>
    <x v="1"/>
    <x v="11"/>
    <x v="3"/>
    <s v="Central data year recently one former television how financial describe type."/>
    <x v="1"/>
    <x v="5"/>
    <d v="2024-09-02T00:00:00"/>
    <d v="2024-09-02T00:00:00"/>
    <n v="0"/>
    <x v="0"/>
    <x v="11"/>
  </r>
  <r>
    <x v="896"/>
    <x v="4"/>
    <x v="13"/>
    <x v="3"/>
    <s v="Simply fact like alone cover yeah listen rather."/>
    <x v="1"/>
    <x v="5"/>
    <d v="2024-12-24T00:00:00"/>
    <d v="2024-12-24T00:00:00"/>
    <n v="0"/>
    <x v="0"/>
    <x v="7"/>
  </r>
  <r>
    <x v="897"/>
    <x v="0"/>
    <x v="8"/>
    <x v="3"/>
    <s v="People billion through resource meet believe rather build huge establish."/>
    <x v="2"/>
    <x v="3"/>
    <d v="2024-09-01T00:00:00"/>
    <d v="2024-09-01T00:00:00"/>
    <n v="0"/>
    <x v="0"/>
    <x v="11"/>
  </r>
  <r>
    <x v="898"/>
    <x v="1"/>
    <x v="10"/>
    <x v="7"/>
    <s v="Fire administration notice voice address much student play send."/>
    <x v="0"/>
    <x v="5"/>
    <d v="2024-08-17T00:00:00"/>
    <d v="2024-08-17T00:00:00"/>
    <n v="0"/>
    <x v="0"/>
    <x v="6"/>
  </r>
  <r>
    <x v="899"/>
    <x v="0"/>
    <x v="0"/>
    <x v="3"/>
    <s v="Behavior tonight also day fill."/>
    <x v="2"/>
    <x v="4"/>
    <d v="2024-07-13T00:00:00"/>
    <d v="2024-07-13T00:00:00"/>
    <n v="0"/>
    <x v="0"/>
    <x v="8"/>
  </r>
  <r>
    <x v="900"/>
    <x v="1"/>
    <x v="1"/>
    <x v="0"/>
    <s v="Practice throw protect good without note reach pull."/>
    <x v="1"/>
    <x v="2"/>
    <d v="2024-09-27T00:00:00"/>
    <d v="2024-09-27T00:00:00"/>
    <n v="0"/>
    <x v="0"/>
    <x v="11"/>
  </r>
  <r>
    <x v="901"/>
    <x v="3"/>
    <x v="3"/>
    <x v="7"/>
    <s v="Suffer end lay north move again."/>
    <x v="1"/>
    <x v="5"/>
    <d v="2024-09-09T00:00:00"/>
    <d v="2024-09-09T00:00:00"/>
    <n v="0"/>
    <x v="0"/>
    <x v="11"/>
  </r>
  <r>
    <x v="902"/>
    <x v="1"/>
    <x v="10"/>
    <x v="0"/>
    <s v="Only than who know."/>
    <x v="2"/>
    <x v="1"/>
    <d v="2024-10-23T00:00:00"/>
    <d v="2024-10-23T00:00:00"/>
    <n v="0"/>
    <x v="0"/>
    <x v="9"/>
  </r>
  <r>
    <x v="903"/>
    <x v="2"/>
    <x v="14"/>
    <x v="5"/>
    <s v="Big once who suggest either."/>
    <x v="0"/>
    <x v="0"/>
    <d v="2024-10-11T00:00:00"/>
    <d v="2024-10-11T00:00:00"/>
    <n v="0"/>
    <x v="0"/>
    <x v="9"/>
  </r>
  <r>
    <x v="904"/>
    <x v="1"/>
    <x v="10"/>
    <x v="5"/>
    <s v="Short practice easy front left what owner condition."/>
    <x v="1"/>
    <x v="4"/>
    <d v="2024-07-13T00:00:00"/>
    <d v="2024-07-13T00:00:00"/>
    <n v="0"/>
    <x v="0"/>
    <x v="8"/>
  </r>
  <r>
    <x v="905"/>
    <x v="1"/>
    <x v="10"/>
    <x v="6"/>
    <s v="Price yourself entire price pull another safe gas."/>
    <x v="2"/>
    <x v="2"/>
    <d v="2024-09-24T00:00:00"/>
    <d v="2024-09-24T00:00:00"/>
    <n v="0"/>
    <x v="0"/>
    <x v="11"/>
  </r>
  <r>
    <x v="906"/>
    <x v="0"/>
    <x v="8"/>
    <x v="7"/>
    <s v="Fill research kid left wonder send difference seven."/>
    <x v="0"/>
    <x v="5"/>
    <d v="2024-07-24T00:00:00"/>
    <d v="2024-07-24T00:00:00"/>
    <n v="0"/>
    <x v="0"/>
    <x v="8"/>
  </r>
  <r>
    <x v="907"/>
    <x v="3"/>
    <x v="9"/>
    <x v="2"/>
    <s v="Activity let law economy body couple ever possible past career."/>
    <x v="2"/>
    <x v="1"/>
    <d v="2024-10-17T00:00:00"/>
    <d v="2024-10-17T00:00:00"/>
    <n v="0"/>
    <x v="0"/>
    <x v="9"/>
  </r>
  <r>
    <x v="908"/>
    <x v="3"/>
    <x v="9"/>
    <x v="3"/>
    <s v="Full we keep member total find none."/>
    <x v="2"/>
    <x v="5"/>
    <d v="2024-11-13T00:00:00"/>
    <d v="2024-11-13T00:00:00"/>
    <n v="0"/>
    <x v="0"/>
    <x v="10"/>
  </r>
  <r>
    <x v="909"/>
    <x v="4"/>
    <x v="4"/>
    <x v="5"/>
    <s v="That feeling end second happy week impact clear."/>
    <x v="1"/>
    <x v="4"/>
    <d v="2024-10-23T00:00:00"/>
    <d v="2024-10-23T00:00:00"/>
    <n v="0"/>
    <x v="0"/>
    <x v="9"/>
  </r>
  <r>
    <x v="910"/>
    <x v="0"/>
    <x v="0"/>
    <x v="0"/>
    <s v="Maybe four character end product."/>
    <x v="2"/>
    <x v="5"/>
    <d v="2024-08-11T00:00:00"/>
    <d v="2024-08-11T00:00:00"/>
    <n v="0"/>
    <x v="0"/>
    <x v="6"/>
  </r>
  <r>
    <x v="911"/>
    <x v="3"/>
    <x v="3"/>
    <x v="7"/>
    <s v="No should most social open nice form recognize east have."/>
    <x v="0"/>
    <x v="0"/>
    <d v="2024-09-28T00:00:00"/>
    <d v="2024-09-28T00:00:00"/>
    <n v="0"/>
    <x v="0"/>
    <x v="11"/>
  </r>
  <r>
    <x v="912"/>
    <x v="1"/>
    <x v="10"/>
    <x v="5"/>
    <s v="Work successful your walk the with class million determine attention it."/>
    <x v="0"/>
    <x v="3"/>
    <d v="2024-12-04T00:00:00"/>
    <d v="2024-12-04T00:00:00"/>
    <n v="0"/>
    <x v="0"/>
    <x v="7"/>
  </r>
  <r>
    <x v="913"/>
    <x v="4"/>
    <x v="13"/>
    <x v="3"/>
    <s v="Before note could discuss officer."/>
    <x v="1"/>
    <x v="5"/>
    <d v="2024-09-16T00:00:00"/>
    <d v="2024-09-16T00:00:00"/>
    <n v="0"/>
    <x v="0"/>
    <x v="11"/>
  </r>
  <r>
    <x v="914"/>
    <x v="3"/>
    <x v="6"/>
    <x v="3"/>
    <s v="Career protect college us discussion."/>
    <x v="1"/>
    <x v="2"/>
    <d v="2024-11-05T00:00:00"/>
    <d v="2024-11-05T00:00:00"/>
    <n v="0"/>
    <x v="0"/>
    <x v="10"/>
  </r>
  <r>
    <x v="915"/>
    <x v="4"/>
    <x v="13"/>
    <x v="0"/>
    <s v="Collection subject response peace add something."/>
    <x v="2"/>
    <x v="1"/>
    <d v="2024-10-02T00:00:00"/>
    <d v="2024-10-02T00:00:00"/>
    <n v="0"/>
    <x v="0"/>
    <x v="9"/>
  </r>
  <r>
    <x v="916"/>
    <x v="3"/>
    <x v="3"/>
    <x v="1"/>
    <s v="Individual also claim ask hit avoid day already."/>
    <x v="2"/>
    <x v="3"/>
    <d v="2024-07-20T00:00:00"/>
    <d v="2024-07-20T00:00:00"/>
    <n v="0"/>
    <x v="0"/>
    <x v="8"/>
  </r>
  <r>
    <x v="917"/>
    <x v="0"/>
    <x v="8"/>
    <x v="0"/>
    <s v="Bad lay apply affect watch religious development commercial."/>
    <x v="1"/>
    <x v="1"/>
    <d v="2024-12-03T00:00:00"/>
    <d v="2024-12-03T00:00:00"/>
    <n v="0"/>
    <x v="0"/>
    <x v="7"/>
  </r>
  <r>
    <x v="918"/>
    <x v="0"/>
    <x v="8"/>
    <x v="5"/>
    <s v="Pm game cup international important those everyone term start management."/>
    <x v="0"/>
    <x v="0"/>
    <d v="2024-09-19T00:00:00"/>
    <d v="2024-09-19T00:00:00"/>
    <n v="0"/>
    <x v="0"/>
    <x v="11"/>
  </r>
  <r>
    <x v="919"/>
    <x v="0"/>
    <x v="7"/>
    <x v="3"/>
    <s v="Boy standard ahead before first point page than."/>
    <x v="0"/>
    <x v="5"/>
    <d v="2024-09-26T00:00:00"/>
    <d v="2024-09-26T00:00:00"/>
    <n v="0"/>
    <x v="0"/>
    <x v="11"/>
  </r>
  <r>
    <x v="920"/>
    <x v="2"/>
    <x v="5"/>
    <x v="2"/>
    <s v="Himself nothing public season why."/>
    <x v="0"/>
    <x v="0"/>
    <d v="2024-09-11T00:00:00"/>
    <d v="2024-09-11T00:00:00"/>
    <n v="0"/>
    <x v="0"/>
    <x v="11"/>
  </r>
  <r>
    <x v="921"/>
    <x v="1"/>
    <x v="1"/>
    <x v="0"/>
    <s v="Share miss everyone structure sign change."/>
    <x v="2"/>
    <x v="3"/>
    <d v="2024-11-25T00:00:00"/>
    <d v="2024-11-25T00:00:00"/>
    <n v="0"/>
    <x v="0"/>
    <x v="10"/>
  </r>
  <r>
    <x v="922"/>
    <x v="2"/>
    <x v="5"/>
    <x v="0"/>
    <s v="History cold account attack lawyer unit peace although film onto run."/>
    <x v="2"/>
    <x v="0"/>
    <d v="2024-07-05T00:00:00"/>
    <d v="2024-07-05T00:00:00"/>
    <n v="0"/>
    <x v="0"/>
    <x v="8"/>
  </r>
  <r>
    <x v="923"/>
    <x v="4"/>
    <x v="13"/>
    <x v="3"/>
    <s v="What continue help cut situation Democrat."/>
    <x v="2"/>
    <x v="2"/>
    <d v="2024-07-13T00:00:00"/>
    <d v="2024-07-13T00:00:00"/>
    <n v="0"/>
    <x v="0"/>
    <x v="8"/>
  </r>
  <r>
    <x v="924"/>
    <x v="1"/>
    <x v="11"/>
    <x v="4"/>
    <s v="Bed reduce major feel seem federal reality concern movement table clear."/>
    <x v="2"/>
    <x v="5"/>
    <d v="2024-10-21T00:00:00"/>
    <d v="2024-10-21T00:00:00"/>
    <n v="0"/>
    <x v="0"/>
    <x v="9"/>
  </r>
  <r>
    <x v="925"/>
    <x v="3"/>
    <x v="3"/>
    <x v="3"/>
    <s v="Western off where hold hotel public least."/>
    <x v="1"/>
    <x v="2"/>
    <d v="2024-10-17T00:00:00"/>
    <d v="2024-10-17T00:00:00"/>
    <n v="0"/>
    <x v="0"/>
    <x v="9"/>
  </r>
  <r>
    <x v="926"/>
    <x v="2"/>
    <x v="5"/>
    <x v="3"/>
    <s v="Reduce truth without medical hand."/>
    <x v="0"/>
    <x v="5"/>
    <d v="2024-09-30T00:00:00"/>
    <d v="2024-09-30T00:00:00"/>
    <n v="0"/>
    <x v="0"/>
    <x v="11"/>
  </r>
  <r>
    <x v="927"/>
    <x v="1"/>
    <x v="1"/>
    <x v="2"/>
    <s v="Task personal community various and room build present fund big."/>
    <x v="0"/>
    <x v="1"/>
    <d v="2024-08-21T00:00:00"/>
    <d v="2024-08-21T00:00:00"/>
    <n v="0"/>
    <x v="0"/>
    <x v="6"/>
  </r>
  <r>
    <x v="928"/>
    <x v="1"/>
    <x v="1"/>
    <x v="0"/>
    <s v="Sure couple consider service really discussion look responsibility lead."/>
    <x v="1"/>
    <x v="1"/>
    <d v="2024-08-24T00:00:00"/>
    <d v="2024-08-24T00:00:00"/>
    <n v="0"/>
    <x v="0"/>
    <x v="6"/>
  </r>
  <r>
    <x v="929"/>
    <x v="3"/>
    <x v="3"/>
    <x v="2"/>
    <s v="Final seem financial appear represent chance."/>
    <x v="0"/>
    <x v="2"/>
    <d v="2024-07-16T00:00:00"/>
    <d v="2024-07-16T00:00:00"/>
    <n v="0"/>
    <x v="0"/>
    <x v="8"/>
  </r>
  <r>
    <x v="930"/>
    <x v="0"/>
    <x v="7"/>
    <x v="3"/>
    <s v="Research far not detail opportunity instead."/>
    <x v="2"/>
    <x v="1"/>
    <d v="2024-07-14T00:00:00"/>
    <d v="2024-07-14T00:00:00"/>
    <n v="0"/>
    <x v="0"/>
    <x v="8"/>
  </r>
  <r>
    <x v="931"/>
    <x v="4"/>
    <x v="12"/>
    <x v="7"/>
    <s v="Wear play marriage age window player her risk meet."/>
    <x v="1"/>
    <x v="2"/>
    <d v="2024-12-28T00:00:00"/>
    <d v="2024-12-28T00:00:00"/>
    <n v="0"/>
    <x v="0"/>
    <x v="7"/>
  </r>
  <r>
    <x v="932"/>
    <x v="4"/>
    <x v="4"/>
    <x v="4"/>
    <s v="Service total story daughter ready arm."/>
    <x v="1"/>
    <x v="1"/>
    <d v="2024-12-08T00:00:00"/>
    <d v="2024-12-08T00:00:00"/>
    <n v="0"/>
    <x v="0"/>
    <x v="7"/>
  </r>
  <r>
    <x v="933"/>
    <x v="0"/>
    <x v="0"/>
    <x v="1"/>
    <s v="Else arrive physical prove example what prevent impact his PM."/>
    <x v="0"/>
    <x v="2"/>
    <d v="2024-11-30T00:00:00"/>
    <d v="2024-11-30T00:00:00"/>
    <n v="0"/>
    <x v="0"/>
    <x v="10"/>
  </r>
  <r>
    <x v="934"/>
    <x v="1"/>
    <x v="10"/>
    <x v="4"/>
    <s v="Catch machine computer author prevent bring in force."/>
    <x v="2"/>
    <x v="4"/>
    <d v="2024-09-30T00:00:00"/>
    <d v="2024-09-30T00:00:00"/>
    <n v="0"/>
    <x v="0"/>
    <x v="11"/>
  </r>
  <r>
    <x v="935"/>
    <x v="0"/>
    <x v="8"/>
    <x v="3"/>
    <s v="Face director represent executive sense price phone style choose."/>
    <x v="1"/>
    <x v="4"/>
    <d v="2024-11-22T00:00:00"/>
    <d v="2024-11-22T00:00:00"/>
    <n v="0"/>
    <x v="0"/>
    <x v="10"/>
  </r>
  <r>
    <x v="936"/>
    <x v="4"/>
    <x v="13"/>
    <x v="7"/>
    <s v="Thousand whole building appear collection structure color walk right."/>
    <x v="2"/>
    <x v="4"/>
    <d v="2024-08-06T00:00:00"/>
    <d v="2024-08-07T00:00:00"/>
    <n v="1"/>
    <x v="1"/>
    <x v="6"/>
  </r>
  <r>
    <x v="937"/>
    <x v="1"/>
    <x v="11"/>
    <x v="3"/>
    <s v="Accept soon any fill seek may."/>
    <x v="1"/>
    <x v="0"/>
    <d v="2024-08-03T00:00:00"/>
    <d v="2024-08-03T00:00:00"/>
    <n v="0"/>
    <x v="0"/>
    <x v="6"/>
  </r>
  <r>
    <x v="938"/>
    <x v="2"/>
    <x v="2"/>
    <x v="3"/>
    <s v="Trouble certain happen imagine throughout Democrat goal crime also above."/>
    <x v="2"/>
    <x v="0"/>
    <d v="2024-10-20T00:00:00"/>
    <d v="2024-10-20T00:00:00"/>
    <n v="0"/>
    <x v="0"/>
    <x v="9"/>
  </r>
  <r>
    <x v="939"/>
    <x v="2"/>
    <x v="2"/>
    <x v="1"/>
    <s v="Concern charge opportunity against challenge Congress someone else late."/>
    <x v="2"/>
    <x v="1"/>
    <d v="2024-11-19T00:00:00"/>
    <d v="2024-11-19T00:00:00"/>
    <n v="0"/>
    <x v="0"/>
    <x v="10"/>
  </r>
  <r>
    <x v="940"/>
    <x v="2"/>
    <x v="5"/>
    <x v="5"/>
    <s v="Move well cause reveal improve include business."/>
    <x v="1"/>
    <x v="4"/>
    <d v="2024-08-14T00:00:00"/>
    <d v="2024-08-14T00:00:00"/>
    <n v="0"/>
    <x v="0"/>
    <x v="6"/>
  </r>
  <r>
    <x v="941"/>
    <x v="4"/>
    <x v="4"/>
    <x v="3"/>
    <s v="Push heart discussion however receive film each past its I near."/>
    <x v="2"/>
    <x v="0"/>
    <d v="2024-07-01T00:00:00"/>
    <d v="2024-07-01T00:00:00"/>
    <n v="0"/>
    <x v="0"/>
    <x v="8"/>
  </r>
  <r>
    <x v="942"/>
    <x v="2"/>
    <x v="14"/>
    <x v="6"/>
    <s v="Whom run note send hold first build serious."/>
    <x v="0"/>
    <x v="0"/>
    <d v="2024-12-02T00:00:00"/>
    <d v="2024-12-02T00:00:00"/>
    <n v="0"/>
    <x v="0"/>
    <x v="7"/>
  </r>
  <r>
    <x v="943"/>
    <x v="3"/>
    <x v="6"/>
    <x v="4"/>
    <s v="Condition spring foot far avoid many wear line president."/>
    <x v="2"/>
    <x v="2"/>
    <d v="2024-08-18T00:00:00"/>
    <d v="2024-08-18T00:00:00"/>
    <n v="0"/>
    <x v="0"/>
    <x v="6"/>
  </r>
  <r>
    <x v="944"/>
    <x v="3"/>
    <x v="3"/>
    <x v="3"/>
    <s v="Likely view see important paper."/>
    <x v="2"/>
    <x v="3"/>
    <d v="2024-08-21T00:00:00"/>
    <d v="2024-08-21T00:00:00"/>
    <n v="0"/>
    <x v="0"/>
    <x v="6"/>
  </r>
  <r>
    <x v="945"/>
    <x v="0"/>
    <x v="7"/>
    <x v="0"/>
    <s v="Behind foreign after serve good skin knowledge hope."/>
    <x v="0"/>
    <x v="2"/>
    <d v="2024-09-29T00:00:00"/>
    <d v="2024-09-29T00:00:00"/>
    <n v="0"/>
    <x v="0"/>
    <x v="11"/>
  </r>
  <r>
    <x v="946"/>
    <x v="1"/>
    <x v="1"/>
    <x v="1"/>
    <s v="Item fund own as feel source way."/>
    <x v="1"/>
    <x v="0"/>
    <d v="2024-09-30T00:00:00"/>
    <d v="2024-09-30T00:00:00"/>
    <n v="0"/>
    <x v="0"/>
    <x v="11"/>
  </r>
  <r>
    <x v="947"/>
    <x v="3"/>
    <x v="6"/>
    <x v="1"/>
    <s v="Education through produce series last several record likely me."/>
    <x v="2"/>
    <x v="5"/>
    <d v="2024-12-07T00:00:00"/>
    <d v="2024-12-07T00:00:00"/>
    <n v="0"/>
    <x v="0"/>
    <x v="7"/>
  </r>
  <r>
    <x v="948"/>
    <x v="0"/>
    <x v="0"/>
    <x v="3"/>
    <s v="Yes explain why morning voice Republican again step old."/>
    <x v="1"/>
    <x v="1"/>
    <d v="2024-08-06T00:00:00"/>
    <d v="2024-08-06T00:00:00"/>
    <n v="0"/>
    <x v="0"/>
    <x v="6"/>
  </r>
  <r>
    <x v="949"/>
    <x v="2"/>
    <x v="5"/>
    <x v="4"/>
    <s v="Toward since civil away."/>
    <x v="2"/>
    <x v="2"/>
    <d v="2024-12-07T00:00:00"/>
    <d v="2024-12-07T00:00:00"/>
    <n v="0"/>
    <x v="0"/>
    <x v="7"/>
  </r>
  <r>
    <x v="950"/>
    <x v="2"/>
    <x v="2"/>
    <x v="3"/>
    <s v="Sport her radio look marriage."/>
    <x v="1"/>
    <x v="4"/>
    <d v="2024-07-01T00:00:00"/>
    <d v="2024-07-01T00:00:00"/>
    <n v="0"/>
    <x v="0"/>
    <x v="8"/>
  </r>
  <r>
    <x v="951"/>
    <x v="3"/>
    <x v="9"/>
    <x v="0"/>
    <s v="Against they event which whose."/>
    <x v="1"/>
    <x v="4"/>
    <d v="2024-09-03T00:00:00"/>
    <d v="2024-09-03T00:00:00"/>
    <n v="0"/>
    <x v="0"/>
    <x v="11"/>
  </r>
  <r>
    <x v="952"/>
    <x v="2"/>
    <x v="2"/>
    <x v="3"/>
    <s v="Top act about police fill."/>
    <x v="0"/>
    <x v="3"/>
    <d v="2024-07-19T00:00:00"/>
    <d v="2024-07-19T00:00:00"/>
    <n v="0"/>
    <x v="0"/>
    <x v="8"/>
  </r>
  <r>
    <x v="953"/>
    <x v="1"/>
    <x v="10"/>
    <x v="6"/>
    <s v="Soon especially expect he today entire protect risk radio."/>
    <x v="1"/>
    <x v="1"/>
    <d v="2024-10-25T00:00:00"/>
    <d v="2024-10-25T00:00:00"/>
    <n v="0"/>
    <x v="0"/>
    <x v="9"/>
  </r>
  <r>
    <x v="954"/>
    <x v="1"/>
    <x v="1"/>
    <x v="4"/>
    <s v="Decade natural stock hard someone."/>
    <x v="1"/>
    <x v="3"/>
    <d v="2024-12-02T00:00:00"/>
    <d v="2024-12-02T00:00:00"/>
    <n v="0"/>
    <x v="0"/>
    <x v="7"/>
  </r>
  <r>
    <x v="955"/>
    <x v="1"/>
    <x v="10"/>
    <x v="1"/>
    <s v="I what question until sister media receive list sound project floor."/>
    <x v="1"/>
    <x v="0"/>
    <d v="2024-11-03T00:00:00"/>
    <d v="2024-11-03T00:00:00"/>
    <n v="0"/>
    <x v="0"/>
    <x v="10"/>
  </r>
  <r>
    <x v="956"/>
    <x v="4"/>
    <x v="4"/>
    <x v="3"/>
    <s v="Drive that stay why imagine partner country care employee."/>
    <x v="1"/>
    <x v="0"/>
    <d v="2024-12-16T00:00:00"/>
    <d v="2024-12-16T00:00:00"/>
    <n v="0"/>
    <x v="0"/>
    <x v="7"/>
  </r>
  <r>
    <x v="957"/>
    <x v="0"/>
    <x v="8"/>
    <x v="3"/>
    <s v="Rather about give dinner when instead since seven."/>
    <x v="1"/>
    <x v="0"/>
    <d v="2024-11-26T00:00:00"/>
    <d v="2024-11-26T00:00:00"/>
    <n v="0"/>
    <x v="0"/>
    <x v="10"/>
  </r>
  <r>
    <x v="958"/>
    <x v="2"/>
    <x v="14"/>
    <x v="3"/>
    <s v="Paper rich particularly country pay."/>
    <x v="1"/>
    <x v="1"/>
    <d v="2024-10-27T00:00:00"/>
    <d v="2024-10-27T00:00:00"/>
    <n v="0"/>
    <x v="0"/>
    <x v="9"/>
  </r>
  <r>
    <x v="959"/>
    <x v="3"/>
    <x v="9"/>
    <x v="7"/>
    <s v="Without use peace good apply activity make."/>
    <x v="2"/>
    <x v="4"/>
    <d v="2024-11-09T00:00:00"/>
    <d v="2024-11-09T00:00:00"/>
    <n v="0"/>
    <x v="0"/>
    <x v="10"/>
  </r>
  <r>
    <x v="960"/>
    <x v="0"/>
    <x v="0"/>
    <x v="6"/>
    <s v="Change concern factor green store worry well."/>
    <x v="1"/>
    <x v="3"/>
    <d v="2024-09-07T00:00:00"/>
    <d v="2024-09-07T00:00:00"/>
    <n v="0"/>
    <x v="0"/>
    <x v="11"/>
  </r>
  <r>
    <x v="961"/>
    <x v="0"/>
    <x v="8"/>
    <x v="6"/>
    <s v="Nature why once number idea owner power wait."/>
    <x v="0"/>
    <x v="3"/>
    <d v="2024-10-19T00:00:00"/>
    <d v="2024-10-19T00:00:00"/>
    <n v="0"/>
    <x v="0"/>
    <x v="9"/>
  </r>
  <r>
    <x v="962"/>
    <x v="4"/>
    <x v="4"/>
    <x v="7"/>
    <s v="Treatment clearly teach argue."/>
    <x v="1"/>
    <x v="5"/>
    <d v="2024-07-29T00:00:00"/>
    <d v="2024-07-29T00:00:00"/>
    <n v="0"/>
    <x v="0"/>
    <x v="8"/>
  </r>
  <r>
    <x v="963"/>
    <x v="0"/>
    <x v="0"/>
    <x v="3"/>
    <s v="Prepare effect strong sure sister yes."/>
    <x v="1"/>
    <x v="4"/>
    <d v="2024-09-15T00:00:00"/>
    <d v="2024-09-16T00:00:00"/>
    <n v="1"/>
    <x v="1"/>
    <x v="11"/>
  </r>
  <r>
    <x v="964"/>
    <x v="2"/>
    <x v="14"/>
    <x v="3"/>
    <s v="The scene employee of area stop them character southern."/>
    <x v="2"/>
    <x v="5"/>
    <d v="2024-09-21T00:00:00"/>
    <d v="2024-09-21T00:00:00"/>
    <n v="0"/>
    <x v="0"/>
    <x v="11"/>
  </r>
  <r>
    <x v="965"/>
    <x v="1"/>
    <x v="1"/>
    <x v="6"/>
    <s v="Activity drug agreement western hold himself very."/>
    <x v="2"/>
    <x v="1"/>
    <d v="2024-11-02T00:00:00"/>
    <d v="2024-11-02T00:00:00"/>
    <n v="0"/>
    <x v="0"/>
    <x v="10"/>
  </r>
  <r>
    <x v="966"/>
    <x v="3"/>
    <x v="6"/>
    <x v="5"/>
    <s v="Book degree new data night last focus it during into blood."/>
    <x v="1"/>
    <x v="2"/>
    <d v="2024-07-10T00:00:00"/>
    <d v="2024-07-10T00:00:00"/>
    <n v="0"/>
    <x v="0"/>
    <x v="8"/>
  </r>
  <r>
    <x v="967"/>
    <x v="0"/>
    <x v="0"/>
    <x v="1"/>
    <s v="Material ok ask attorney end simply image summer oil."/>
    <x v="0"/>
    <x v="0"/>
    <d v="2024-10-17T00:00:00"/>
    <d v="2024-10-17T00:00:00"/>
    <n v="0"/>
    <x v="0"/>
    <x v="9"/>
  </r>
  <r>
    <x v="968"/>
    <x v="1"/>
    <x v="1"/>
    <x v="4"/>
    <s v="Against manager reveal you down sing floor finally meeting main."/>
    <x v="1"/>
    <x v="4"/>
    <d v="2024-09-22T00:00:00"/>
    <d v="2024-09-23T00:00:00"/>
    <n v="1"/>
    <x v="1"/>
    <x v="11"/>
  </r>
  <r>
    <x v="969"/>
    <x v="2"/>
    <x v="2"/>
    <x v="6"/>
    <s v="Might bit group two court manage particularly meeting station relate."/>
    <x v="2"/>
    <x v="0"/>
    <d v="2024-09-05T00:00:00"/>
    <d v="2024-09-05T00:00:00"/>
    <n v="0"/>
    <x v="0"/>
    <x v="11"/>
  </r>
  <r>
    <x v="970"/>
    <x v="1"/>
    <x v="11"/>
    <x v="4"/>
    <s v="Six local itself size commercial."/>
    <x v="1"/>
    <x v="2"/>
    <d v="2024-07-30T00:00:00"/>
    <d v="2024-07-30T00:00:00"/>
    <n v="0"/>
    <x v="0"/>
    <x v="8"/>
  </r>
  <r>
    <x v="971"/>
    <x v="4"/>
    <x v="12"/>
    <x v="3"/>
    <s v="Democrat sound pattern how author include design bill poor television."/>
    <x v="2"/>
    <x v="5"/>
    <d v="2024-07-12T00:00:00"/>
    <d v="2024-07-12T00:00:00"/>
    <n v="0"/>
    <x v="0"/>
    <x v="8"/>
  </r>
  <r>
    <x v="972"/>
    <x v="4"/>
    <x v="13"/>
    <x v="6"/>
    <s v="Special effort provide interview word fight."/>
    <x v="1"/>
    <x v="4"/>
    <d v="2024-12-21T00:00:00"/>
    <d v="2024-12-21T00:00:00"/>
    <n v="0"/>
    <x v="0"/>
    <x v="7"/>
  </r>
  <r>
    <x v="973"/>
    <x v="2"/>
    <x v="5"/>
    <x v="6"/>
    <s v="Church like half activity first chance bad head standard kitchen."/>
    <x v="2"/>
    <x v="1"/>
    <d v="2024-11-03T00:00:00"/>
    <d v="2024-11-03T00:00:00"/>
    <n v="0"/>
    <x v="0"/>
    <x v="10"/>
  </r>
  <r>
    <x v="974"/>
    <x v="4"/>
    <x v="13"/>
    <x v="2"/>
    <s v="Entire necessary without front throughout office political."/>
    <x v="2"/>
    <x v="5"/>
    <d v="2024-12-09T00:00:00"/>
    <d v="2024-12-09T00:00:00"/>
    <n v="0"/>
    <x v="0"/>
    <x v="7"/>
  </r>
  <r>
    <x v="975"/>
    <x v="4"/>
    <x v="4"/>
    <x v="1"/>
    <s v="Traditional major already husband with follow sign purpose."/>
    <x v="1"/>
    <x v="5"/>
    <d v="2024-12-18T00:00:00"/>
    <d v="2024-12-18T00:00:00"/>
    <n v="0"/>
    <x v="0"/>
    <x v="7"/>
  </r>
  <r>
    <x v="976"/>
    <x v="2"/>
    <x v="5"/>
    <x v="7"/>
    <s v="Thus camera mother structure will society tell whom amount should campaign."/>
    <x v="0"/>
    <x v="3"/>
    <d v="2024-10-30T00:00:00"/>
    <d v="2024-10-30T00:00:00"/>
    <n v="0"/>
    <x v="0"/>
    <x v="9"/>
  </r>
  <r>
    <x v="977"/>
    <x v="4"/>
    <x v="13"/>
    <x v="3"/>
    <s v="Action year argue usually ground clear war interview garden brother."/>
    <x v="1"/>
    <x v="2"/>
    <d v="2024-10-09T00:00:00"/>
    <d v="2024-10-09T00:00:00"/>
    <n v="0"/>
    <x v="0"/>
    <x v="9"/>
  </r>
  <r>
    <x v="978"/>
    <x v="3"/>
    <x v="9"/>
    <x v="1"/>
    <s v="Thus red senior term movie fall less."/>
    <x v="2"/>
    <x v="3"/>
    <d v="2024-10-26T00:00:00"/>
    <d v="2024-10-26T00:00:00"/>
    <n v="0"/>
    <x v="0"/>
    <x v="9"/>
  </r>
  <r>
    <x v="979"/>
    <x v="2"/>
    <x v="5"/>
    <x v="2"/>
    <s v="Stand reveal story compare mean last war stock happen book."/>
    <x v="2"/>
    <x v="1"/>
    <d v="2024-09-05T00:00:00"/>
    <d v="2024-09-05T00:00:00"/>
    <n v="0"/>
    <x v="0"/>
    <x v="11"/>
  </r>
  <r>
    <x v="980"/>
    <x v="2"/>
    <x v="2"/>
    <x v="3"/>
    <s v="Pull official father political marriage traditional can perhaps."/>
    <x v="2"/>
    <x v="2"/>
    <d v="2024-11-18T00:00:00"/>
    <d v="2024-11-18T00:00:00"/>
    <n v="0"/>
    <x v="0"/>
    <x v="10"/>
  </r>
  <r>
    <x v="981"/>
    <x v="0"/>
    <x v="8"/>
    <x v="5"/>
    <s v="Worry time notice happen close daughter case."/>
    <x v="0"/>
    <x v="5"/>
    <d v="2024-09-09T00:00:00"/>
    <d v="2024-09-09T00:00:00"/>
    <n v="0"/>
    <x v="0"/>
    <x v="11"/>
  </r>
  <r>
    <x v="982"/>
    <x v="4"/>
    <x v="12"/>
    <x v="0"/>
    <s v="Parent outside fact base clear."/>
    <x v="2"/>
    <x v="3"/>
    <d v="2024-07-27T00:00:00"/>
    <d v="2024-07-27T00:00:00"/>
    <n v="0"/>
    <x v="0"/>
    <x v="8"/>
  </r>
  <r>
    <x v="983"/>
    <x v="2"/>
    <x v="14"/>
    <x v="3"/>
    <s v="Different interesting who both board lot course road drop around."/>
    <x v="1"/>
    <x v="4"/>
    <d v="2024-07-22T00:00:00"/>
    <d v="2024-07-22T00:00:00"/>
    <n v="0"/>
    <x v="0"/>
    <x v="8"/>
  </r>
  <r>
    <x v="984"/>
    <x v="1"/>
    <x v="11"/>
    <x v="2"/>
    <s v="Call exactly protect order their lose organization money."/>
    <x v="1"/>
    <x v="4"/>
    <d v="2024-09-27T00:00:00"/>
    <d v="2024-09-27T00:00:00"/>
    <n v="0"/>
    <x v="0"/>
    <x v="11"/>
  </r>
  <r>
    <x v="985"/>
    <x v="3"/>
    <x v="3"/>
    <x v="3"/>
    <s v="Describe account run hope turn run organization employee."/>
    <x v="0"/>
    <x v="1"/>
    <d v="2024-09-14T00:00:00"/>
    <d v="2024-09-14T00:00:00"/>
    <n v="0"/>
    <x v="0"/>
    <x v="11"/>
  </r>
  <r>
    <x v="986"/>
    <x v="0"/>
    <x v="7"/>
    <x v="4"/>
    <s v="Their shoulder involve opportunity present he market positive."/>
    <x v="0"/>
    <x v="4"/>
    <d v="2024-10-11T00:00:00"/>
    <d v="2024-10-11T00:00:00"/>
    <n v="0"/>
    <x v="0"/>
    <x v="9"/>
  </r>
  <r>
    <x v="987"/>
    <x v="2"/>
    <x v="2"/>
    <x v="4"/>
    <s v="Drop employee religious too age tell word size up."/>
    <x v="1"/>
    <x v="1"/>
    <d v="2024-11-20T00:00:00"/>
    <d v="2024-11-20T00:00:00"/>
    <n v="0"/>
    <x v="0"/>
    <x v="10"/>
  </r>
  <r>
    <x v="988"/>
    <x v="2"/>
    <x v="14"/>
    <x v="5"/>
    <s v="Control force be sell contain."/>
    <x v="2"/>
    <x v="5"/>
    <d v="2024-07-05T00:00:00"/>
    <d v="2024-07-05T00:00:00"/>
    <n v="0"/>
    <x v="0"/>
    <x v="8"/>
  </r>
  <r>
    <x v="989"/>
    <x v="1"/>
    <x v="10"/>
    <x v="7"/>
    <s v="Well town month should bag."/>
    <x v="2"/>
    <x v="5"/>
    <d v="2024-10-04T00:00:00"/>
    <d v="2024-10-04T00:00:00"/>
    <n v="0"/>
    <x v="0"/>
    <x v="9"/>
  </r>
  <r>
    <x v="990"/>
    <x v="4"/>
    <x v="13"/>
    <x v="5"/>
    <s v="North goal only since specific major just theory seek."/>
    <x v="1"/>
    <x v="0"/>
    <d v="2024-10-24T00:00:00"/>
    <d v="2024-10-24T00:00:00"/>
    <n v="0"/>
    <x v="0"/>
    <x v="9"/>
  </r>
  <r>
    <x v="991"/>
    <x v="1"/>
    <x v="1"/>
    <x v="2"/>
    <s v="City should discuss election rate."/>
    <x v="0"/>
    <x v="5"/>
    <d v="2024-08-16T00:00:00"/>
    <d v="2024-08-16T00:00:00"/>
    <n v="0"/>
    <x v="0"/>
    <x v="6"/>
  </r>
  <r>
    <x v="992"/>
    <x v="0"/>
    <x v="0"/>
    <x v="1"/>
    <s v="Model hand recent image around since history order."/>
    <x v="1"/>
    <x v="1"/>
    <d v="2024-10-21T00:00:00"/>
    <d v="2024-10-21T00:00:00"/>
    <n v="0"/>
    <x v="0"/>
    <x v="9"/>
  </r>
  <r>
    <x v="993"/>
    <x v="1"/>
    <x v="10"/>
    <x v="1"/>
    <s v="Word member certain policy no."/>
    <x v="1"/>
    <x v="3"/>
    <d v="2024-12-07T00:00:00"/>
    <d v="2024-12-07T00:00:00"/>
    <n v="0"/>
    <x v="0"/>
    <x v="7"/>
  </r>
  <r>
    <x v="994"/>
    <x v="3"/>
    <x v="3"/>
    <x v="5"/>
    <s v="Everybody late feeling lot sort follow investment figure other maintain."/>
    <x v="2"/>
    <x v="5"/>
    <d v="2024-07-08T00:00:00"/>
    <d v="2024-07-08T00:00:00"/>
    <n v="0"/>
    <x v="0"/>
    <x v="8"/>
  </r>
  <r>
    <x v="995"/>
    <x v="1"/>
    <x v="10"/>
    <x v="0"/>
    <s v="Huge yourself just amount list."/>
    <x v="2"/>
    <x v="4"/>
    <d v="2024-07-14T00:00:00"/>
    <d v="2024-07-14T00:00:00"/>
    <n v="0"/>
    <x v="0"/>
    <x v="8"/>
  </r>
  <r>
    <x v="996"/>
    <x v="3"/>
    <x v="6"/>
    <x v="7"/>
    <s v="Build interesting interest little level often national."/>
    <x v="0"/>
    <x v="5"/>
    <d v="2024-11-20T00:00:00"/>
    <d v="2024-11-20T00:00:00"/>
    <n v="0"/>
    <x v="0"/>
    <x v="10"/>
  </r>
  <r>
    <x v="997"/>
    <x v="2"/>
    <x v="2"/>
    <x v="6"/>
    <s v="Find board region draw reflect goal event special way along."/>
    <x v="1"/>
    <x v="0"/>
    <d v="2024-10-23T00:00:00"/>
    <d v="2024-10-23T00:00:00"/>
    <n v="0"/>
    <x v="0"/>
    <x v="9"/>
  </r>
  <r>
    <x v="998"/>
    <x v="4"/>
    <x v="4"/>
    <x v="0"/>
    <s v="Debate history art know either."/>
    <x v="1"/>
    <x v="3"/>
    <d v="2024-08-08T00:00:00"/>
    <d v="2024-08-08T00:00:00"/>
    <n v="0"/>
    <x v="0"/>
    <x v="6"/>
  </r>
  <r>
    <x v="999"/>
    <x v="2"/>
    <x v="2"/>
    <x v="3"/>
    <s v="Attention road physical imagine drop eight writer wind middle of."/>
    <x v="1"/>
    <x v="4"/>
    <d v="2024-11-02T00:00:00"/>
    <d v="2024-11-02T00:00:00"/>
    <n v="0"/>
    <x v="0"/>
    <x v="10"/>
  </r>
  <r>
    <x v="1000"/>
    <x v="0"/>
    <x v="7"/>
    <x v="6"/>
    <s v="Through nothing money recognize."/>
    <x v="2"/>
    <x v="3"/>
    <d v="2024-10-17T00:00:00"/>
    <d v="2024-10-17T00:00:00"/>
    <n v="0"/>
    <x v="0"/>
    <x v="9"/>
  </r>
  <r>
    <x v="1001"/>
    <x v="2"/>
    <x v="5"/>
    <x v="4"/>
    <s v="Far these him easy girl street."/>
    <x v="0"/>
    <x v="0"/>
    <d v="2024-07-13T00:00:00"/>
    <d v="2024-07-13T00:00:00"/>
    <n v="0"/>
    <x v="0"/>
    <x v="8"/>
  </r>
  <r>
    <x v="1002"/>
    <x v="1"/>
    <x v="1"/>
    <x v="3"/>
    <s v="Week when future region travel."/>
    <x v="0"/>
    <x v="2"/>
    <d v="2024-07-14T00:00:00"/>
    <d v="2024-07-14T00:00:00"/>
    <n v="0"/>
    <x v="0"/>
    <x v="8"/>
  </r>
  <r>
    <x v="1003"/>
    <x v="0"/>
    <x v="7"/>
    <x v="3"/>
    <s v="Call despite for American whether call during may."/>
    <x v="0"/>
    <x v="5"/>
    <d v="2024-08-15T00:00:00"/>
    <d v="2024-08-15T00:00:00"/>
    <n v="0"/>
    <x v="0"/>
    <x v="6"/>
  </r>
  <r>
    <x v="1004"/>
    <x v="2"/>
    <x v="14"/>
    <x v="0"/>
    <s v="Himself benefit food true skill add on."/>
    <x v="1"/>
    <x v="2"/>
    <d v="2024-07-11T00:00:00"/>
    <d v="2024-07-11T00:00:00"/>
    <n v="0"/>
    <x v="0"/>
    <x v="8"/>
  </r>
  <r>
    <x v="1005"/>
    <x v="3"/>
    <x v="9"/>
    <x v="3"/>
    <s v="Suddenly figure again but keep leave form real threat."/>
    <x v="2"/>
    <x v="5"/>
    <d v="2024-09-30T00:00:00"/>
    <d v="2024-09-30T00:00:00"/>
    <n v="0"/>
    <x v="0"/>
    <x v="11"/>
  </r>
  <r>
    <x v="1006"/>
    <x v="0"/>
    <x v="0"/>
    <x v="7"/>
    <s v="Home word worry east that."/>
    <x v="0"/>
    <x v="4"/>
    <d v="2024-07-15T00:00:00"/>
    <d v="2024-07-15T00:00:00"/>
    <n v="0"/>
    <x v="0"/>
    <x v="8"/>
  </r>
  <r>
    <x v="1007"/>
    <x v="0"/>
    <x v="8"/>
    <x v="3"/>
    <s v="Stay money education can debate care traditional left."/>
    <x v="0"/>
    <x v="3"/>
    <d v="2024-10-04T00:00:00"/>
    <d v="2024-10-04T00:00:00"/>
    <n v="0"/>
    <x v="0"/>
    <x v="9"/>
  </r>
  <r>
    <x v="1008"/>
    <x v="0"/>
    <x v="0"/>
    <x v="2"/>
    <s v="Often offer he box road they inside huge animal."/>
    <x v="1"/>
    <x v="0"/>
    <d v="2024-08-11T00:00:00"/>
    <d v="2024-08-11T00:00:00"/>
    <n v="0"/>
    <x v="0"/>
    <x v="6"/>
  </r>
  <r>
    <x v="1009"/>
    <x v="1"/>
    <x v="11"/>
    <x v="3"/>
    <s v="Central data year recently one former television how financial describe type."/>
    <x v="1"/>
    <x v="5"/>
    <d v="2024-09-02T00:00:00"/>
    <d v="2024-09-02T00:00:00"/>
    <n v="0"/>
    <x v="0"/>
    <x v="11"/>
  </r>
  <r>
    <x v="1010"/>
    <x v="4"/>
    <x v="13"/>
    <x v="3"/>
    <s v="Simply fact like alone cover yeah listen rather."/>
    <x v="1"/>
    <x v="5"/>
    <d v="2024-12-24T00:00:00"/>
    <d v="2024-12-24T00:00:00"/>
    <n v="0"/>
    <x v="0"/>
    <x v="7"/>
  </r>
  <r>
    <x v="1011"/>
    <x v="0"/>
    <x v="8"/>
    <x v="3"/>
    <s v="People billion through resource meet believe rather build huge establish."/>
    <x v="2"/>
    <x v="3"/>
    <d v="2024-09-01T00:00:00"/>
    <d v="2024-09-01T00:00:00"/>
    <n v="0"/>
    <x v="0"/>
    <x v="11"/>
  </r>
  <r>
    <x v="1012"/>
    <x v="1"/>
    <x v="10"/>
    <x v="1"/>
    <s v="Fire administration notice voice address much student play send."/>
    <x v="0"/>
    <x v="5"/>
    <d v="2024-08-17T00:00:00"/>
    <d v="2024-08-17T00:00:00"/>
    <n v="0"/>
    <x v="0"/>
    <x v="6"/>
  </r>
  <r>
    <x v="1013"/>
    <x v="0"/>
    <x v="0"/>
    <x v="4"/>
    <s v="Behavior tonight also day fill."/>
    <x v="2"/>
    <x v="4"/>
    <d v="2024-07-13T00:00:00"/>
    <d v="2024-07-13T00:00:00"/>
    <n v="0"/>
    <x v="0"/>
    <x v="8"/>
  </r>
  <r>
    <x v="1014"/>
    <x v="1"/>
    <x v="1"/>
    <x v="0"/>
    <s v="Practice throw protect good without note reach pull."/>
    <x v="1"/>
    <x v="2"/>
    <d v="2024-09-27T00:00:00"/>
    <d v="2024-09-27T00:00:00"/>
    <n v="0"/>
    <x v="0"/>
    <x v="11"/>
  </r>
  <r>
    <x v="1015"/>
    <x v="3"/>
    <x v="3"/>
    <x v="7"/>
    <s v="Suffer end lay north move again."/>
    <x v="1"/>
    <x v="5"/>
    <d v="2024-09-09T00:00:00"/>
    <d v="2024-09-09T00:00:00"/>
    <n v="0"/>
    <x v="0"/>
    <x v="11"/>
  </r>
  <r>
    <x v="1016"/>
    <x v="1"/>
    <x v="10"/>
    <x v="0"/>
    <s v="Only than who know."/>
    <x v="2"/>
    <x v="1"/>
    <d v="2024-10-23T00:00:00"/>
    <d v="2024-10-23T00:00:00"/>
    <n v="0"/>
    <x v="0"/>
    <x v="9"/>
  </r>
  <r>
    <x v="1017"/>
    <x v="2"/>
    <x v="14"/>
    <x v="5"/>
    <s v="Big once who suggest either."/>
    <x v="0"/>
    <x v="0"/>
    <d v="2024-10-11T00:00:00"/>
    <d v="2024-10-11T00:00:00"/>
    <n v="0"/>
    <x v="0"/>
    <x v="9"/>
  </r>
  <r>
    <x v="1018"/>
    <x v="1"/>
    <x v="10"/>
    <x v="5"/>
    <s v="Short practice easy front left what owner condition."/>
    <x v="1"/>
    <x v="4"/>
    <d v="2024-07-13T00:00:00"/>
    <d v="2024-07-13T00:00:00"/>
    <n v="0"/>
    <x v="0"/>
    <x v="8"/>
  </r>
  <r>
    <x v="1019"/>
    <x v="1"/>
    <x v="10"/>
    <x v="6"/>
    <s v="Price yourself entire price pull another safe gas."/>
    <x v="2"/>
    <x v="2"/>
    <d v="2024-09-24T00:00:00"/>
    <d v="2024-09-24T00:00:00"/>
    <n v="0"/>
    <x v="0"/>
    <x v="11"/>
  </r>
  <r>
    <x v="1020"/>
    <x v="0"/>
    <x v="8"/>
    <x v="1"/>
    <s v="Fill research kid left wonder send difference seven."/>
    <x v="0"/>
    <x v="5"/>
    <d v="2024-07-24T00:00:00"/>
    <d v="2024-07-24T00:00:00"/>
    <n v="0"/>
    <x v="0"/>
    <x v="8"/>
  </r>
  <r>
    <x v="1021"/>
    <x v="3"/>
    <x v="9"/>
    <x v="2"/>
    <s v="Activity let law economy body couple ever possible past career."/>
    <x v="2"/>
    <x v="1"/>
    <d v="2024-10-17T00:00:00"/>
    <d v="2024-10-17T00:00:00"/>
    <n v="0"/>
    <x v="0"/>
    <x v="9"/>
  </r>
  <r>
    <x v="1022"/>
    <x v="3"/>
    <x v="9"/>
    <x v="3"/>
    <s v="Full we keep member total find none."/>
    <x v="2"/>
    <x v="5"/>
    <d v="2024-11-13T00:00:00"/>
    <d v="2024-11-13T00:00:00"/>
    <n v="0"/>
    <x v="0"/>
    <x v="10"/>
  </r>
  <r>
    <x v="1023"/>
    <x v="4"/>
    <x v="4"/>
    <x v="5"/>
    <s v="That feeling end second happy week impact clear."/>
    <x v="1"/>
    <x v="4"/>
    <d v="2024-10-23T00:00:00"/>
    <d v="2024-10-23T00:00:00"/>
    <n v="0"/>
    <x v="0"/>
    <x v="9"/>
  </r>
  <r>
    <x v="1024"/>
    <x v="0"/>
    <x v="0"/>
    <x v="0"/>
    <s v="Maybe four character end product."/>
    <x v="2"/>
    <x v="5"/>
    <d v="2024-08-11T00:00:00"/>
    <d v="2024-08-11T00:00:00"/>
    <n v="0"/>
    <x v="0"/>
    <x v="6"/>
  </r>
  <r>
    <x v="1025"/>
    <x v="3"/>
    <x v="3"/>
    <x v="7"/>
    <s v="No should most social open nice form recognize east have."/>
    <x v="0"/>
    <x v="0"/>
    <d v="2024-09-28T00:00:00"/>
    <d v="2024-09-28T00:00:00"/>
    <n v="0"/>
    <x v="0"/>
    <x v="11"/>
  </r>
  <r>
    <x v="1026"/>
    <x v="1"/>
    <x v="10"/>
    <x v="5"/>
    <s v="Work successful your walk the with class million determine attention it."/>
    <x v="0"/>
    <x v="3"/>
    <d v="2024-12-04T00:00:00"/>
    <d v="2024-12-04T00:00:00"/>
    <n v="0"/>
    <x v="0"/>
    <x v="7"/>
  </r>
  <r>
    <x v="1027"/>
    <x v="2"/>
    <x v="2"/>
    <x v="2"/>
    <s v="Away only happy quality even we take consider."/>
    <x v="1"/>
    <x v="2"/>
    <d v="2024-08-09T00:00:00"/>
    <d v="2024-08-09T00:00:00"/>
    <n v="0"/>
    <x v="0"/>
    <x v="6"/>
  </r>
  <r>
    <x v="1028"/>
    <x v="2"/>
    <x v="5"/>
    <x v="0"/>
    <s v="Teach pick expect on director go wide agent thousand force."/>
    <x v="2"/>
    <x v="4"/>
    <d v="2024-07-23T00:00:00"/>
    <d v="2024-07-23T00:00:00"/>
    <n v="0"/>
    <x v="0"/>
    <x v="8"/>
  </r>
  <r>
    <x v="1029"/>
    <x v="2"/>
    <x v="5"/>
    <x v="2"/>
    <s v="Those too car yard early ever only such fall necessary."/>
    <x v="0"/>
    <x v="2"/>
    <d v="2024-10-18T00:00:00"/>
    <d v="2024-10-18T00:00:00"/>
    <n v="0"/>
    <x v="0"/>
    <x v="9"/>
  </r>
  <r>
    <x v="1030"/>
    <x v="2"/>
    <x v="5"/>
    <x v="3"/>
    <s v="Lose prove tax thousand son."/>
    <x v="2"/>
    <x v="0"/>
    <d v="2024-08-07T00:00:00"/>
    <d v="2024-08-07T00:00:00"/>
    <n v="0"/>
    <x v="0"/>
    <x v="6"/>
  </r>
  <r>
    <x v="1031"/>
    <x v="2"/>
    <x v="5"/>
    <x v="3"/>
    <s v="Kid almost establish explain record operation."/>
    <x v="2"/>
    <x v="0"/>
    <d v="2024-11-18T00:00:00"/>
    <d v="2024-11-18T00:00:00"/>
    <n v="0"/>
    <x v="0"/>
    <x v="10"/>
  </r>
  <r>
    <x v="1032"/>
    <x v="2"/>
    <x v="2"/>
    <x v="2"/>
    <s v="Employee view computer particularly successful."/>
    <x v="2"/>
    <x v="3"/>
    <d v="2024-07-30T00:00:00"/>
    <d v="2024-07-30T00:00:00"/>
    <n v="0"/>
    <x v="0"/>
    <x v="8"/>
  </r>
  <r>
    <x v="1033"/>
    <x v="2"/>
    <x v="2"/>
    <x v="5"/>
    <s v="Theory type break picture choose son professor."/>
    <x v="2"/>
    <x v="1"/>
    <d v="2024-11-06T00:00:00"/>
    <d v="2024-11-06T00:00:00"/>
    <n v="0"/>
    <x v="0"/>
    <x v="10"/>
  </r>
  <r>
    <x v="1034"/>
    <x v="2"/>
    <x v="14"/>
    <x v="1"/>
    <s v="Week act of piece kitchen technology drive blood."/>
    <x v="0"/>
    <x v="3"/>
    <d v="2024-11-11T00:00:00"/>
    <d v="2024-11-11T00:00:00"/>
    <n v="0"/>
    <x v="0"/>
    <x v="10"/>
  </r>
  <r>
    <x v="1035"/>
    <x v="2"/>
    <x v="5"/>
    <x v="3"/>
    <s v="Put issue window late audience Congress friend available impact."/>
    <x v="2"/>
    <x v="2"/>
    <d v="2024-11-18T00:00:00"/>
    <d v="2024-11-18T00:00:00"/>
    <n v="0"/>
    <x v="0"/>
    <x v="10"/>
  </r>
  <r>
    <x v="1036"/>
    <x v="2"/>
    <x v="5"/>
    <x v="3"/>
    <s v="Interesting image protect early trip fine manage."/>
    <x v="2"/>
    <x v="0"/>
    <d v="2024-11-09T00:00:00"/>
    <d v="2024-11-09T00:00:00"/>
    <n v="0"/>
    <x v="0"/>
    <x v="10"/>
  </r>
  <r>
    <x v="1037"/>
    <x v="2"/>
    <x v="14"/>
    <x v="2"/>
    <s v="More foot culture right happen."/>
    <x v="2"/>
    <x v="0"/>
    <d v="2024-07-18T00:00:00"/>
    <d v="2024-07-18T00:00:00"/>
    <n v="0"/>
    <x v="0"/>
    <x v="8"/>
  </r>
  <r>
    <x v="1038"/>
    <x v="2"/>
    <x v="2"/>
    <x v="1"/>
    <s v="Both modern any item small information according full side risk."/>
    <x v="1"/>
    <x v="1"/>
    <d v="2024-10-24T00:00:00"/>
    <d v="2024-10-24T00:00:00"/>
    <n v="0"/>
    <x v="0"/>
    <x v="9"/>
  </r>
  <r>
    <x v="1039"/>
    <x v="2"/>
    <x v="14"/>
    <x v="0"/>
    <s v="Firm during notice investment draw safe wind party."/>
    <x v="0"/>
    <x v="3"/>
    <d v="2024-10-26T00:00:00"/>
    <d v="2024-10-26T00:00:00"/>
    <n v="0"/>
    <x v="0"/>
    <x v="9"/>
  </r>
  <r>
    <x v="1040"/>
    <x v="2"/>
    <x v="14"/>
    <x v="1"/>
    <s v="Notice age how social camera personal."/>
    <x v="0"/>
    <x v="2"/>
    <d v="2024-10-15T00:00:00"/>
    <d v="2024-10-15T00:00:00"/>
    <n v="0"/>
    <x v="0"/>
    <x v="9"/>
  </r>
  <r>
    <x v="1041"/>
    <x v="2"/>
    <x v="2"/>
    <x v="6"/>
    <s v="Simply company choice recently least cover crime."/>
    <x v="0"/>
    <x v="2"/>
    <d v="2024-11-04T00:00:00"/>
    <d v="2024-11-04T00:00:00"/>
    <n v="0"/>
    <x v="0"/>
    <x v="10"/>
  </r>
  <r>
    <x v="1042"/>
    <x v="2"/>
    <x v="14"/>
    <x v="4"/>
    <s v="Administration opportunity education represent here."/>
    <x v="0"/>
    <x v="3"/>
    <d v="2024-09-05T00:00:00"/>
    <d v="2024-09-05T00:00:00"/>
    <n v="0"/>
    <x v="0"/>
    <x v="11"/>
  </r>
  <r>
    <x v="1043"/>
    <x v="2"/>
    <x v="5"/>
    <x v="4"/>
    <s v="Operation citizen rich environmental wrong example prepare."/>
    <x v="0"/>
    <x v="2"/>
    <d v="2024-09-26T00:00:00"/>
    <d v="2024-09-26T00:00:00"/>
    <n v="0"/>
    <x v="0"/>
    <x v="11"/>
  </r>
  <r>
    <x v="1044"/>
    <x v="2"/>
    <x v="14"/>
    <x v="3"/>
    <s v="Paper rich particularly country pay."/>
    <x v="1"/>
    <x v="1"/>
    <d v="2024-10-27T00:00:00"/>
    <d v="2024-10-27T00:00:00"/>
    <n v="0"/>
    <x v="0"/>
    <x v="9"/>
  </r>
  <r>
    <x v="1045"/>
    <x v="2"/>
    <x v="14"/>
    <x v="3"/>
    <s v="The scene employee of area stop them character southern."/>
    <x v="2"/>
    <x v="5"/>
    <d v="2024-09-21T00:00:00"/>
    <d v="2024-09-21T00:00:00"/>
    <n v="0"/>
    <x v="0"/>
    <x v="11"/>
  </r>
  <r>
    <x v="1046"/>
    <x v="2"/>
    <x v="2"/>
    <x v="6"/>
    <s v="Might bit group two court manage particularly meeting station relate."/>
    <x v="2"/>
    <x v="0"/>
    <d v="2024-09-05T00:00:00"/>
    <d v="2024-09-06T00:00:00"/>
    <n v="1"/>
    <x v="1"/>
    <x v="11"/>
  </r>
  <r>
    <x v="1047"/>
    <x v="2"/>
    <x v="5"/>
    <x v="6"/>
    <s v="Church like half activity first chance bad head standard kitchen."/>
    <x v="2"/>
    <x v="1"/>
    <d v="2024-11-03T00:00:00"/>
    <d v="2024-11-03T00:00:00"/>
    <n v="0"/>
    <x v="0"/>
    <x v="10"/>
  </r>
  <r>
    <x v="1048"/>
    <x v="2"/>
    <x v="5"/>
    <x v="7"/>
    <s v="Thus camera mother structure will society tell whom amount should campaign."/>
    <x v="0"/>
    <x v="3"/>
    <d v="2024-10-30T00:00:00"/>
    <d v="2024-10-30T00:00:00"/>
    <n v="0"/>
    <x v="0"/>
    <x v="9"/>
  </r>
  <r>
    <x v="1049"/>
    <x v="2"/>
    <x v="5"/>
    <x v="3"/>
    <s v="Stand reveal story compare mean last war stock happen book."/>
    <x v="2"/>
    <x v="1"/>
    <d v="2024-09-05T00:00:00"/>
    <d v="2024-09-06T00:00:00"/>
    <n v="1"/>
    <x v="1"/>
    <x v="11"/>
  </r>
  <r>
    <x v="1050"/>
    <x v="2"/>
    <x v="2"/>
    <x v="3"/>
    <s v="Pull official father political marriage traditional can perhaps."/>
    <x v="2"/>
    <x v="2"/>
    <d v="2024-11-18T00:00:00"/>
    <d v="2024-11-18T00:00:00"/>
    <n v="0"/>
    <x v="0"/>
    <x v="10"/>
  </r>
  <r>
    <x v="1051"/>
    <x v="2"/>
    <x v="14"/>
    <x v="3"/>
    <s v="Different interesting who both board lot course road drop around."/>
    <x v="1"/>
    <x v="4"/>
    <d v="2024-07-22T00:00:00"/>
    <d v="2024-07-22T00:00:00"/>
    <n v="0"/>
    <x v="0"/>
    <x v="8"/>
  </r>
  <r>
    <x v="1052"/>
    <x v="2"/>
    <x v="2"/>
    <x v="4"/>
    <s v="Drop employee religious too age tell word size up."/>
    <x v="1"/>
    <x v="1"/>
    <d v="2024-11-20T00:00:00"/>
    <d v="2024-11-20T00:00:00"/>
    <n v="0"/>
    <x v="0"/>
    <x v="10"/>
  </r>
  <r>
    <x v="1053"/>
    <x v="2"/>
    <x v="14"/>
    <x v="5"/>
    <s v="Control force be sell contain."/>
    <x v="2"/>
    <x v="5"/>
    <d v="2024-07-05T00:00:00"/>
    <d v="2024-07-05T00:00:00"/>
    <n v="0"/>
    <x v="0"/>
    <x v="8"/>
  </r>
  <r>
    <x v="1054"/>
    <x v="2"/>
    <x v="2"/>
    <x v="6"/>
    <s v="Find board region draw reflect goal event special way along."/>
    <x v="1"/>
    <x v="0"/>
    <d v="2024-10-23T00:00:00"/>
    <d v="2024-10-23T00:00:00"/>
    <n v="0"/>
    <x v="0"/>
    <x v="9"/>
  </r>
  <r>
    <x v="1055"/>
    <x v="2"/>
    <x v="2"/>
    <x v="3"/>
    <s v="Attention road physical imagine drop eight writer wind middle of."/>
    <x v="1"/>
    <x v="4"/>
    <d v="2024-11-02T00:00:00"/>
    <d v="2024-11-02T00:00:00"/>
    <n v="0"/>
    <x v="0"/>
    <x v="10"/>
  </r>
  <r>
    <x v="1056"/>
    <x v="2"/>
    <x v="5"/>
    <x v="4"/>
    <s v="Far these him easy girl street."/>
    <x v="0"/>
    <x v="0"/>
    <d v="2024-07-13T00:00:00"/>
    <d v="2024-07-13T00:00:00"/>
    <n v="0"/>
    <x v="0"/>
    <x v="8"/>
  </r>
  <r>
    <x v="1057"/>
    <x v="2"/>
    <x v="14"/>
    <x v="0"/>
    <s v="Himself benefit food true skill add on."/>
    <x v="1"/>
    <x v="2"/>
    <d v="2024-07-11T00:00:00"/>
    <d v="2024-07-11T00:00:00"/>
    <n v="0"/>
    <x v="0"/>
    <x v="8"/>
  </r>
  <r>
    <x v="1058"/>
    <x v="2"/>
    <x v="14"/>
    <x v="5"/>
    <s v="Big once who suggest either."/>
    <x v="0"/>
    <x v="0"/>
    <d v="2024-10-11T00:00:00"/>
    <d v="2024-10-11T00:00:00"/>
    <n v="0"/>
    <x v="0"/>
    <x v="9"/>
  </r>
  <r>
    <x v="1059"/>
    <x v="2"/>
    <x v="5"/>
    <x v="2"/>
    <s v="Himself nothing public season why."/>
    <x v="0"/>
    <x v="0"/>
    <d v="2024-09-11T00:00:00"/>
    <d v="2024-09-11T00:00:00"/>
    <n v="0"/>
    <x v="0"/>
    <x v="11"/>
  </r>
  <r>
    <x v="1060"/>
    <x v="2"/>
    <x v="5"/>
    <x v="0"/>
    <s v="History cold account attack lawyer unit peace although film onto run."/>
    <x v="2"/>
    <x v="0"/>
    <d v="2024-07-05T00:00:00"/>
    <d v="2024-07-05T00:00:00"/>
    <n v="0"/>
    <x v="0"/>
    <x v="8"/>
  </r>
  <r>
    <x v="1061"/>
    <x v="2"/>
    <x v="5"/>
    <x v="3"/>
    <s v="Reduce truth without medical hand."/>
    <x v="0"/>
    <x v="5"/>
    <d v="2024-09-30T00:00:00"/>
    <d v="2024-09-30T00:00:00"/>
    <n v="0"/>
    <x v="0"/>
    <x v="11"/>
  </r>
  <r>
    <x v="1062"/>
    <x v="2"/>
    <x v="2"/>
    <x v="3"/>
    <s v="Trouble certain happen imagine throughout Democrat goal crime also above."/>
    <x v="2"/>
    <x v="0"/>
    <d v="2024-10-20T00:00:00"/>
    <d v="2024-10-20T00:00:00"/>
    <n v="0"/>
    <x v="0"/>
    <x v="9"/>
  </r>
  <r>
    <x v="1063"/>
    <x v="2"/>
    <x v="2"/>
    <x v="1"/>
    <s v="Concern charge opportunity against challenge Congress someone else late."/>
    <x v="2"/>
    <x v="1"/>
    <d v="2024-11-19T00:00:00"/>
    <d v="2024-11-19T00:00:00"/>
    <n v="0"/>
    <x v="0"/>
    <x v="10"/>
  </r>
  <r>
    <x v="1064"/>
    <x v="2"/>
    <x v="5"/>
    <x v="5"/>
    <s v="Move well cause reveal improve include business."/>
    <x v="1"/>
    <x v="4"/>
    <d v="2024-08-14T00:00:00"/>
    <d v="2024-08-14T00:00:00"/>
    <n v="0"/>
    <x v="0"/>
    <x v="6"/>
  </r>
  <r>
    <x v="1065"/>
    <x v="2"/>
    <x v="14"/>
    <x v="6"/>
    <s v="Whom run note send hold first build serious."/>
    <x v="0"/>
    <x v="0"/>
    <d v="2024-12-02T00:00:00"/>
    <d v="2024-12-02T00:00:00"/>
    <n v="0"/>
    <x v="0"/>
    <x v="7"/>
  </r>
  <r>
    <x v="1066"/>
    <x v="2"/>
    <x v="5"/>
    <x v="4"/>
    <s v="Toward since civil away."/>
    <x v="2"/>
    <x v="2"/>
    <d v="2024-12-07T00:00:00"/>
    <d v="2024-12-07T00:00:00"/>
    <n v="0"/>
    <x v="0"/>
    <x v="7"/>
  </r>
  <r>
    <x v="1067"/>
    <x v="2"/>
    <x v="2"/>
    <x v="3"/>
    <s v="Sport her radio look marriage."/>
    <x v="1"/>
    <x v="4"/>
    <d v="2024-07-01T00:00:00"/>
    <d v="2024-07-01T00:00:00"/>
    <n v="0"/>
    <x v="0"/>
    <x v="8"/>
  </r>
  <r>
    <x v="1068"/>
    <x v="2"/>
    <x v="2"/>
    <x v="3"/>
    <s v="Top act about police fill."/>
    <x v="0"/>
    <x v="3"/>
    <d v="2024-07-19T00:00:00"/>
    <d v="2024-07-19T00:00:00"/>
    <n v="0"/>
    <x v="0"/>
    <x v="8"/>
  </r>
  <r>
    <x v="1069"/>
    <x v="2"/>
    <x v="2"/>
    <x v="2"/>
    <s v="Away only happy quality even we take consider."/>
    <x v="1"/>
    <x v="2"/>
    <d v="2024-08-09T00:00:00"/>
    <d v="2024-08-09T00:00:00"/>
    <n v="0"/>
    <x v="0"/>
    <x v="6"/>
  </r>
  <r>
    <x v="1070"/>
    <x v="2"/>
    <x v="5"/>
    <x v="0"/>
    <s v="Teach pick expect on director go wide agent thousand force."/>
    <x v="2"/>
    <x v="4"/>
    <d v="2024-07-23T00:00:00"/>
    <d v="2024-07-23T00:00:00"/>
    <n v="0"/>
    <x v="0"/>
    <x v="8"/>
  </r>
  <r>
    <x v="1071"/>
    <x v="2"/>
    <x v="5"/>
    <x v="2"/>
    <s v="Those too car yard early ever only such fall necessary."/>
    <x v="0"/>
    <x v="2"/>
    <d v="2024-10-18T00:00:00"/>
    <d v="2024-10-18T00:00:00"/>
    <n v="0"/>
    <x v="0"/>
    <x v="9"/>
  </r>
  <r>
    <x v="1072"/>
    <x v="2"/>
    <x v="5"/>
    <x v="3"/>
    <s v="Lose prove tax thousand son."/>
    <x v="2"/>
    <x v="0"/>
    <d v="2024-08-07T00:00:00"/>
    <d v="2024-08-07T00:00:00"/>
    <n v="0"/>
    <x v="0"/>
    <x v="6"/>
  </r>
  <r>
    <x v="1073"/>
    <x v="2"/>
    <x v="5"/>
    <x v="3"/>
    <s v="Kid almost establish explain record operation."/>
    <x v="2"/>
    <x v="0"/>
    <d v="2024-11-18T00:00:00"/>
    <d v="2024-11-18T00:00:00"/>
    <n v="0"/>
    <x v="0"/>
    <x v="10"/>
  </r>
  <r>
    <x v="1074"/>
    <x v="2"/>
    <x v="2"/>
    <x v="3"/>
    <s v="Employee view computer particularly successful."/>
    <x v="2"/>
    <x v="3"/>
    <d v="2024-07-30T00:00:00"/>
    <d v="2024-07-30T00:00:00"/>
    <n v="0"/>
    <x v="0"/>
    <x v="8"/>
  </r>
  <r>
    <x v="1075"/>
    <x v="2"/>
    <x v="2"/>
    <x v="5"/>
    <s v="Theory type break picture choose son professor."/>
    <x v="2"/>
    <x v="1"/>
    <d v="2024-11-06T00:00:00"/>
    <d v="2024-11-06T00:00:00"/>
    <n v="0"/>
    <x v="0"/>
    <x v="10"/>
  </r>
  <r>
    <x v="1076"/>
    <x v="2"/>
    <x v="14"/>
    <x v="1"/>
    <s v="Week act of piece kitchen technology drive blood."/>
    <x v="0"/>
    <x v="3"/>
    <d v="2024-11-11T00:00:00"/>
    <d v="2024-11-11T00:00:00"/>
    <n v="0"/>
    <x v="0"/>
    <x v="10"/>
  </r>
  <r>
    <x v="1077"/>
    <x v="2"/>
    <x v="5"/>
    <x v="3"/>
    <s v="Put issue window late audience Congress friend available impact."/>
    <x v="2"/>
    <x v="2"/>
    <d v="2024-11-18T00:00:00"/>
    <d v="2024-11-18T00:00:00"/>
    <n v="0"/>
    <x v="0"/>
    <x v="10"/>
  </r>
  <r>
    <x v="1078"/>
    <x v="2"/>
    <x v="5"/>
    <x v="3"/>
    <s v="Interesting image protect early trip fine manage."/>
    <x v="2"/>
    <x v="0"/>
    <d v="2024-11-09T00:00:00"/>
    <d v="2024-11-09T00:00:00"/>
    <n v="0"/>
    <x v="0"/>
    <x v="10"/>
  </r>
  <r>
    <x v="1079"/>
    <x v="2"/>
    <x v="14"/>
    <x v="2"/>
    <s v="More foot culture right happen."/>
    <x v="2"/>
    <x v="0"/>
    <d v="2024-07-18T00:00:00"/>
    <d v="2024-07-18T00:00:00"/>
    <n v="0"/>
    <x v="0"/>
    <x v="8"/>
  </r>
  <r>
    <x v="1080"/>
    <x v="2"/>
    <x v="2"/>
    <x v="1"/>
    <s v="Both modern any item small information according full side risk."/>
    <x v="1"/>
    <x v="1"/>
    <d v="2024-10-24T00:00:00"/>
    <d v="2024-10-24T00:00:00"/>
    <n v="0"/>
    <x v="0"/>
    <x v="9"/>
  </r>
  <r>
    <x v="1081"/>
    <x v="2"/>
    <x v="14"/>
    <x v="0"/>
    <s v="Firm during notice investment draw safe wind party."/>
    <x v="0"/>
    <x v="3"/>
    <d v="2024-10-26T00:00:00"/>
    <d v="2024-10-26T00:00:00"/>
    <n v="0"/>
    <x v="0"/>
    <x v="9"/>
  </r>
  <r>
    <x v="1082"/>
    <x v="2"/>
    <x v="14"/>
    <x v="1"/>
    <s v="Notice age how social camera personal."/>
    <x v="0"/>
    <x v="2"/>
    <d v="2024-10-15T00:00:00"/>
    <d v="2024-10-15T00:00:00"/>
    <n v="0"/>
    <x v="0"/>
    <x v="9"/>
  </r>
  <r>
    <x v="1083"/>
    <x v="2"/>
    <x v="2"/>
    <x v="6"/>
    <s v="Simply company choice recently least cover crime."/>
    <x v="0"/>
    <x v="2"/>
    <d v="2024-11-04T00:00:00"/>
    <d v="2024-11-04T00:00:00"/>
    <n v="0"/>
    <x v="0"/>
    <x v="10"/>
  </r>
  <r>
    <x v="1084"/>
    <x v="2"/>
    <x v="14"/>
    <x v="4"/>
    <s v="Administration opportunity education represent here."/>
    <x v="0"/>
    <x v="3"/>
    <d v="2024-09-05T00:00:00"/>
    <d v="2024-09-05T00:00:00"/>
    <n v="0"/>
    <x v="0"/>
    <x v="11"/>
  </r>
  <r>
    <x v="1085"/>
    <x v="2"/>
    <x v="5"/>
    <x v="4"/>
    <s v="Operation citizen rich environmental wrong example prepare."/>
    <x v="0"/>
    <x v="2"/>
    <d v="2024-09-26T00:00:00"/>
    <d v="2024-09-26T00:00:00"/>
    <n v="0"/>
    <x v="0"/>
    <x v="11"/>
  </r>
  <r>
    <x v="1086"/>
    <x v="2"/>
    <x v="14"/>
    <x v="3"/>
    <s v="Paper rich particularly country pay."/>
    <x v="1"/>
    <x v="1"/>
    <d v="2024-10-27T00:00:00"/>
    <d v="2024-10-27T00:00:00"/>
    <n v="0"/>
    <x v="0"/>
    <x v="9"/>
  </r>
  <r>
    <x v="1087"/>
    <x v="2"/>
    <x v="14"/>
    <x v="3"/>
    <s v="The scene employee of area stop them character southern."/>
    <x v="2"/>
    <x v="5"/>
    <d v="2024-09-21T00:00:00"/>
    <d v="2024-09-21T00:00:00"/>
    <n v="0"/>
    <x v="0"/>
    <x v="11"/>
  </r>
  <r>
    <x v="1088"/>
    <x v="2"/>
    <x v="2"/>
    <x v="6"/>
    <s v="Might bit group two court manage particularly meeting station relate."/>
    <x v="2"/>
    <x v="0"/>
    <d v="2024-09-05T00:00:00"/>
    <d v="2024-09-05T00:00:00"/>
    <n v="0"/>
    <x v="0"/>
    <x v="11"/>
  </r>
  <r>
    <x v="1089"/>
    <x v="2"/>
    <x v="5"/>
    <x v="6"/>
    <s v="Church like half activity first chance bad head standard kitchen."/>
    <x v="2"/>
    <x v="1"/>
    <d v="2024-11-03T00:00:00"/>
    <d v="2024-11-03T00:00:00"/>
    <n v="0"/>
    <x v="0"/>
    <x v="10"/>
  </r>
  <r>
    <x v="1090"/>
    <x v="2"/>
    <x v="5"/>
    <x v="7"/>
    <s v="Thus camera mother structure will society tell whom amount should campaign."/>
    <x v="0"/>
    <x v="3"/>
    <d v="2024-10-30T00:00:00"/>
    <d v="2024-10-30T00:00:00"/>
    <n v="0"/>
    <x v="0"/>
    <x v="9"/>
  </r>
  <r>
    <x v="1091"/>
    <x v="2"/>
    <x v="5"/>
    <x v="3"/>
    <s v="Stand reveal story compare mean last war stock happen book."/>
    <x v="2"/>
    <x v="1"/>
    <d v="2024-09-05T00:00:00"/>
    <d v="2024-09-05T00:00:00"/>
    <n v="0"/>
    <x v="0"/>
    <x v="11"/>
  </r>
  <r>
    <x v="1092"/>
    <x v="2"/>
    <x v="2"/>
    <x v="3"/>
    <s v="Pull official father political marriage traditional can perhaps."/>
    <x v="2"/>
    <x v="2"/>
    <d v="2024-11-18T00:00:00"/>
    <d v="2024-11-18T00:00:00"/>
    <n v="0"/>
    <x v="0"/>
    <x v="10"/>
  </r>
  <r>
    <x v="1093"/>
    <x v="2"/>
    <x v="14"/>
    <x v="3"/>
    <s v="Different interesting who both board lot course road drop around."/>
    <x v="1"/>
    <x v="4"/>
    <d v="2024-07-22T00:00:00"/>
    <d v="2024-07-22T00:00:00"/>
    <n v="0"/>
    <x v="0"/>
    <x v="8"/>
  </r>
  <r>
    <x v="1094"/>
    <x v="2"/>
    <x v="2"/>
    <x v="4"/>
    <s v="Drop employee religious too age tell word size up."/>
    <x v="1"/>
    <x v="1"/>
    <d v="2024-11-20T00:00:00"/>
    <d v="2024-11-20T00:00:00"/>
    <n v="0"/>
    <x v="0"/>
    <x v="10"/>
  </r>
  <r>
    <x v="1095"/>
    <x v="2"/>
    <x v="14"/>
    <x v="5"/>
    <s v="Control force be sell contain."/>
    <x v="2"/>
    <x v="5"/>
    <d v="2024-07-05T00:00:00"/>
    <d v="2024-07-05T00:00:00"/>
    <n v="0"/>
    <x v="0"/>
    <x v="8"/>
  </r>
  <r>
    <x v="1096"/>
    <x v="2"/>
    <x v="2"/>
    <x v="6"/>
    <s v="Find board region draw reflect goal event special way along."/>
    <x v="1"/>
    <x v="0"/>
    <d v="2024-10-23T00:00:00"/>
    <d v="2024-10-23T00:00:00"/>
    <n v="0"/>
    <x v="0"/>
    <x v="9"/>
  </r>
  <r>
    <x v="1097"/>
    <x v="2"/>
    <x v="2"/>
    <x v="3"/>
    <s v="Attention road physical imagine drop eight writer wind middle of."/>
    <x v="1"/>
    <x v="4"/>
    <d v="2024-11-02T00:00:00"/>
    <d v="2024-11-02T00:00:00"/>
    <n v="0"/>
    <x v="0"/>
    <x v="10"/>
  </r>
  <r>
    <x v="1098"/>
    <x v="2"/>
    <x v="5"/>
    <x v="4"/>
    <s v="Far these him easy girl street."/>
    <x v="0"/>
    <x v="0"/>
    <d v="2024-07-13T00:00:00"/>
    <d v="2024-07-13T00:00:00"/>
    <n v="0"/>
    <x v="0"/>
    <x v="8"/>
  </r>
  <r>
    <x v="1099"/>
    <x v="2"/>
    <x v="14"/>
    <x v="0"/>
    <s v="Himself benefit food true skill add on."/>
    <x v="1"/>
    <x v="2"/>
    <d v="2024-07-11T00:00:00"/>
    <d v="2024-07-11T00:00:00"/>
    <n v="0"/>
    <x v="0"/>
    <x v="8"/>
  </r>
  <r>
    <x v="1100"/>
    <x v="2"/>
    <x v="14"/>
    <x v="5"/>
    <s v="Big once who suggest either."/>
    <x v="0"/>
    <x v="0"/>
    <d v="2024-10-11T00:00:00"/>
    <d v="2024-10-11T00:00:00"/>
    <n v="0"/>
    <x v="0"/>
    <x v="9"/>
  </r>
  <r>
    <x v="1101"/>
    <x v="2"/>
    <x v="5"/>
    <x v="2"/>
    <s v="Himself nothing public season why."/>
    <x v="0"/>
    <x v="0"/>
    <d v="2024-09-11T00:00:00"/>
    <d v="2024-09-12T00:00:00"/>
    <n v="1"/>
    <x v="1"/>
    <x v="11"/>
  </r>
  <r>
    <x v="1102"/>
    <x v="2"/>
    <x v="5"/>
    <x v="0"/>
    <s v="History cold account attack lawyer unit peace although film onto run."/>
    <x v="2"/>
    <x v="0"/>
    <d v="2024-07-05T00:00:00"/>
    <d v="2024-07-05T00:00:00"/>
    <n v="0"/>
    <x v="0"/>
    <x v="8"/>
  </r>
  <r>
    <x v="1103"/>
    <x v="2"/>
    <x v="5"/>
    <x v="3"/>
    <s v="Reduce truth without medical hand."/>
    <x v="0"/>
    <x v="5"/>
    <d v="2024-09-30T00:00:00"/>
    <d v="2024-09-30T00:00:00"/>
    <n v="0"/>
    <x v="0"/>
    <x v="11"/>
  </r>
  <r>
    <x v="1104"/>
    <x v="2"/>
    <x v="2"/>
    <x v="3"/>
    <s v="Trouble certain happen imagine throughout Democrat goal crime also above."/>
    <x v="2"/>
    <x v="0"/>
    <d v="2024-10-20T00:00:00"/>
    <d v="2024-10-20T00:00:00"/>
    <n v="0"/>
    <x v="0"/>
    <x v="9"/>
  </r>
  <r>
    <x v="1105"/>
    <x v="2"/>
    <x v="2"/>
    <x v="1"/>
    <s v="Concern charge opportunity against challenge Congress someone else late."/>
    <x v="2"/>
    <x v="1"/>
    <d v="2024-11-19T00:00:00"/>
    <d v="2024-11-19T00:00:00"/>
    <n v="0"/>
    <x v="0"/>
    <x v="10"/>
  </r>
  <r>
    <x v="1106"/>
    <x v="2"/>
    <x v="5"/>
    <x v="5"/>
    <s v="Move well cause reveal improve include business."/>
    <x v="1"/>
    <x v="4"/>
    <d v="2024-08-14T00:00:00"/>
    <d v="2024-08-14T00:00:00"/>
    <n v="0"/>
    <x v="0"/>
    <x v="6"/>
  </r>
  <r>
    <x v="1107"/>
    <x v="2"/>
    <x v="14"/>
    <x v="6"/>
    <s v="Whom run note send hold first build serious."/>
    <x v="0"/>
    <x v="0"/>
    <d v="2024-12-02T00:00:00"/>
    <d v="2024-12-02T00:00:00"/>
    <n v="0"/>
    <x v="0"/>
    <x v="7"/>
  </r>
  <r>
    <x v="1108"/>
    <x v="2"/>
    <x v="5"/>
    <x v="4"/>
    <s v="Toward since civil away."/>
    <x v="2"/>
    <x v="2"/>
    <d v="2024-12-07T00:00:00"/>
    <d v="2024-12-07T00:00:00"/>
    <n v="0"/>
    <x v="0"/>
    <x v="7"/>
  </r>
  <r>
    <x v="1109"/>
    <x v="2"/>
    <x v="2"/>
    <x v="3"/>
    <s v="Sport her radio look marriage."/>
    <x v="1"/>
    <x v="4"/>
    <d v="2024-07-01T00:00:00"/>
    <d v="2024-07-01T00:00:00"/>
    <n v="0"/>
    <x v="0"/>
    <x v="8"/>
  </r>
  <r>
    <x v="1110"/>
    <x v="2"/>
    <x v="2"/>
    <x v="3"/>
    <s v="Top act about police fill."/>
    <x v="0"/>
    <x v="3"/>
    <d v="2024-07-19T00:00:00"/>
    <d v="2024-07-19T00:00:00"/>
    <n v="0"/>
    <x v="0"/>
    <x v="8"/>
  </r>
  <r>
    <x v="1111"/>
    <x v="2"/>
    <x v="14"/>
    <x v="3"/>
    <s v="Paper rich particularly country pay."/>
    <x v="1"/>
    <x v="1"/>
    <d v="2024-10-27T00:00:00"/>
    <d v="2024-10-27T00:00:00"/>
    <n v="0"/>
    <x v="0"/>
    <x v="9"/>
  </r>
  <r>
    <x v="1112"/>
    <x v="2"/>
    <x v="14"/>
    <x v="3"/>
    <s v="The scene employee of area stop them character southern."/>
    <x v="2"/>
    <x v="5"/>
    <d v="2024-09-21T00:00:00"/>
    <d v="2024-09-21T00:00:00"/>
    <n v="0"/>
    <x v="0"/>
    <x v="11"/>
  </r>
  <r>
    <x v="1113"/>
    <x v="2"/>
    <x v="2"/>
    <x v="6"/>
    <s v="Might bit group two court manage particularly meeting station relate."/>
    <x v="2"/>
    <x v="0"/>
    <d v="2024-09-05T00:00:00"/>
    <d v="2024-09-05T00:00:00"/>
    <n v="0"/>
    <x v="0"/>
    <x v="11"/>
  </r>
  <r>
    <x v="1114"/>
    <x v="2"/>
    <x v="5"/>
    <x v="6"/>
    <s v="Church like half activity first chance bad head standard kitchen."/>
    <x v="2"/>
    <x v="1"/>
    <d v="2024-11-03T00:00:00"/>
    <d v="2024-11-03T00:00:00"/>
    <n v="0"/>
    <x v="0"/>
    <x v="10"/>
  </r>
  <r>
    <x v="1115"/>
    <x v="2"/>
    <x v="5"/>
    <x v="7"/>
    <s v="Thus camera mother structure will society tell whom amount should campaign."/>
    <x v="0"/>
    <x v="3"/>
    <d v="2024-10-30T00:00:00"/>
    <d v="2024-10-30T00:00:00"/>
    <n v="0"/>
    <x v="0"/>
    <x v="9"/>
  </r>
  <r>
    <x v="1116"/>
    <x v="2"/>
    <x v="5"/>
    <x v="2"/>
    <s v="Stand reveal story compare mean last war stock happen book."/>
    <x v="2"/>
    <x v="1"/>
    <d v="2024-09-05T00:00:00"/>
    <d v="2024-09-05T00:00:00"/>
    <n v="0"/>
    <x v="0"/>
    <x v="11"/>
  </r>
  <r>
    <x v="1117"/>
    <x v="2"/>
    <x v="2"/>
    <x v="3"/>
    <s v="Pull official father political marriage traditional can perhaps."/>
    <x v="2"/>
    <x v="2"/>
    <d v="2024-11-18T00:00:00"/>
    <d v="2024-11-18T00:00:00"/>
    <n v="0"/>
    <x v="0"/>
    <x v="10"/>
  </r>
  <r>
    <x v="1118"/>
    <x v="2"/>
    <x v="14"/>
    <x v="3"/>
    <s v="Different interesting who both board lot course road drop around."/>
    <x v="1"/>
    <x v="4"/>
    <d v="2024-07-22T00:00:00"/>
    <d v="2024-07-22T00:00:00"/>
    <n v="0"/>
    <x v="0"/>
    <x v="8"/>
  </r>
  <r>
    <x v="1119"/>
    <x v="2"/>
    <x v="2"/>
    <x v="4"/>
    <s v="Drop employee religious too age tell word size up."/>
    <x v="1"/>
    <x v="1"/>
    <d v="2024-11-20T00:00:00"/>
    <d v="2024-11-20T00:00:00"/>
    <n v="0"/>
    <x v="0"/>
    <x v="10"/>
  </r>
  <r>
    <x v="1120"/>
    <x v="2"/>
    <x v="14"/>
    <x v="5"/>
    <s v="Control force be sell contain."/>
    <x v="2"/>
    <x v="5"/>
    <d v="2024-07-05T00:00:00"/>
    <d v="2024-07-05T00:00:00"/>
    <n v="0"/>
    <x v="0"/>
    <x v="8"/>
  </r>
  <r>
    <x v="1121"/>
    <x v="2"/>
    <x v="2"/>
    <x v="1"/>
    <s v="Find board region draw reflect goal event special way along."/>
    <x v="1"/>
    <x v="0"/>
    <d v="2024-10-23T00:00:00"/>
    <d v="2024-10-23T00:00:00"/>
    <n v="0"/>
    <x v="0"/>
    <x v="9"/>
  </r>
  <r>
    <x v="1122"/>
    <x v="2"/>
    <x v="2"/>
    <x v="3"/>
    <s v="Attention road physical imagine drop eight writer wind middle of."/>
    <x v="1"/>
    <x v="4"/>
    <d v="2024-11-02T00:00:00"/>
    <d v="2024-11-02T00:00:00"/>
    <n v="0"/>
    <x v="0"/>
    <x v="10"/>
  </r>
  <r>
    <x v="1123"/>
    <x v="2"/>
    <x v="5"/>
    <x v="4"/>
    <s v="Far these him easy girl street."/>
    <x v="0"/>
    <x v="0"/>
    <d v="2024-07-13T00:00:00"/>
    <d v="2024-07-13T00:00:00"/>
    <n v="0"/>
    <x v="0"/>
    <x v="8"/>
  </r>
  <r>
    <x v="1124"/>
    <x v="2"/>
    <x v="14"/>
    <x v="0"/>
    <s v="Himself benefit food true skill add on."/>
    <x v="1"/>
    <x v="2"/>
    <d v="2024-07-11T00:00:00"/>
    <d v="2024-07-11T00:00:00"/>
    <n v="0"/>
    <x v="0"/>
    <x v="8"/>
  </r>
  <r>
    <x v="1125"/>
    <x v="2"/>
    <x v="14"/>
    <x v="5"/>
    <s v="Big once who suggest either."/>
    <x v="0"/>
    <x v="0"/>
    <d v="2024-10-11T00:00:00"/>
    <d v="2024-10-11T00:00:00"/>
    <n v="0"/>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16C74-AC65-437B-9B83-53378327A2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4:H60" firstHeaderRow="1" firstDataRow="1" firstDataCol="1" rowPageCount="1" colPageCount="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axis="axisRow"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items count="7">
        <item x="1"/>
        <item x="5"/>
        <item x="3"/>
        <item x="2"/>
        <item x="0"/>
        <item x="4"/>
        <item t="default"/>
      </items>
    </pivotField>
    <pivotField numFmtId="15" showAll="0"/>
    <pivotField numFmtId="15" showAll="0"/>
    <pivotField showAll="0"/>
    <pivotField axis="axisPage" showAll="0">
      <items count="3">
        <item x="0"/>
        <item x="1"/>
        <item t="default"/>
      </items>
    </pivotField>
    <pivotField showAll="0">
      <items count="13">
        <item x="2"/>
        <item x="0"/>
        <item x="5"/>
        <item x="3"/>
        <item x="4"/>
        <item x="1"/>
        <item x="8"/>
        <item x="6"/>
        <item x="11"/>
        <item x="9"/>
        <item x="10"/>
        <item x="7"/>
        <item t="default"/>
      </items>
    </pivotField>
  </pivotFields>
  <rowFields count="1">
    <field x="1"/>
  </rowFields>
  <rowItems count="6">
    <i>
      <x/>
    </i>
    <i>
      <x v="1"/>
    </i>
    <i>
      <x v="2"/>
    </i>
    <i>
      <x v="3"/>
    </i>
    <i>
      <x v="4"/>
    </i>
    <i t="grand">
      <x/>
    </i>
  </rowItems>
  <colItems count="1">
    <i/>
  </colItems>
  <pageFields count="1">
    <pageField fld="10" hier="-1"/>
  </pageFields>
  <dataFields count="1">
    <dataField name="Count of Ticket ID" fld="0" subtotal="count"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3DEFF-5359-46C3-A04B-6AEFFF1640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6" firstHeaderRow="1" firstDataRow="1" firstDataCol="1" rowPageCount="1" colPageCount="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numFmtId="15" showAll="0"/>
    <pivotField numFmtId="15" showAll="0"/>
    <pivotField showAll="0"/>
    <pivotField axis="axisPage" showAll="0">
      <items count="3">
        <item x="0"/>
        <item x="1"/>
        <item t="default"/>
      </items>
    </pivotField>
    <pivotField axis="axisRow" showAll="0">
      <items count="13">
        <item x="2"/>
        <item x="0"/>
        <item x="5"/>
        <item x="3"/>
        <item x="4"/>
        <item x="1"/>
        <item x="8"/>
        <item x="6"/>
        <item x="11"/>
        <item x="9"/>
        <item x="10"/>
        <item x="7"/>
        <item t="default"/>
      </items>
    </pivotField>
  </pivotFields>
  <rowFields count="1">
    <field x="11"/>
  </rowFields>
  <rowItems count="13">
    <i>
      <x/>
    </i>
    <i>
      <x v="1"/>
    </i>
    <i>
      <x v="2"/>
    </i>
    <i>
      <x v="3"/>
    </i>
    <i>
      <x v="4"/>
    </i>
    <i>
      <x v="5"/>
    </i>
    <i>
      <x v="6"/>
    </i>
    <i>
      <x v="7"/>
    </i>
    <i>
      <x v="8"/>
    </i>
    <i>
      <x v="9"/>
    </i>
    <i>
      <x v="10"/>
    </i>
    <i>
      <x v="11"/>
    </i>
    <i t="grand">
      <x/>
    </i>
  </rowItems>
  <colItems count="1">
    <i/>
  </colItems>
  <pageFields count="1">
    <pageField fld="10" hier="-1"/>
  </pageFields>
  <dataFields count="1">
    <dataField name="Count of Ticket ID" fld="0" subtotal="count" baseField="11" baseItem="0"/>
  </dataFields>
  <formats count="6">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0A203A-BD79-4B42-9384-2374E4F780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7:I45" firstHeaderRow="1" firstDataRow="2" firstDataCol="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pivotField showAll="0"/>
    <pivotField showAll="0">
      <items count="9">
        <item x="3"/>
        <item x="6"/>
        <item x="7"/>
        <item x="0"/>
        <item x="5"/>
        <item x="1"/>
        <item x="4"/>
        <item x="2"/>
        <item t="default"/>
      </items>
    </pivotField>
    <pivotField showAll="0"/>
    <pivotField showAll="0"/>
    <pivotField axis="axisRow" showAll="0">
      <items count="7">
        <item x="1"/>
        <item x="5"/>
        <item x="3"/>
        <item x="2"/>
        <item x="0"/>
        <item x="4"/>
        <item t="default"/>
      </items>
    </pivotField>
    <pivotField numFmtId="15" showAll="0"/>
    <pivotField numFmtId="15" showAll="0"/>
    <pivotField showAll="0"/>
    <pivotField axis="axisCol" showAll="0">
      <items count="3">
        <item x="0"/>
        <item x="1"/>
        <item t="default"/>
      </items>
    </pivotField>
    <pivotField showAll="0">
      <items count="13">
        <item x="2"/>
        <item x="0"/>
        <item x="5"/>
        <item x="3"/>
        <item x="4"/>
        <item x="1"/>
        <item x="8"/>
        <item x="6"/>
        <item x="11"/>
        <item x="9"/>
        <item x="10"/>
        <item x="7"/>
        <item t="default"/>
      </items>
    </pivotField>
  </pivotFields>
  <rowFields count="1">
    <field x="6"/>
  </rowFields>
  <rowItems count="7">
    <i>
      <x/>
    </i>
    <i>
      <x v="1"/>
    </i>
    <i>
      <x v="2"/>
    </i>
    <i>
      <x v="3"/>
    </i>
    <i>
      <x v="4"/>
    </i>
    <i>
      <x v="5"/>
    </i>
    <i t="grand">
      <x/>
    </i>
  </rowItems>
  <colFields count="1">
    <field x="10"/>
  </colFields>
  <colItems count="3">
    <i>
      <x/>
    </i>
    <i>
      <x v="1"/>
    </i>
    <i t="grand">
      <x/>
    </i>
  </colItems>
  <dataFields count="1">
    <dataField name="Count of Ticket ID" fld="0" subtotal="count" baseField="0" baseItem="0"/>
  </dataFields>
  <formats count="10">
    <format dxfId="21">
      <pivotArea type="all" dataOnly="0" outline="0" fieldPosition="0"/>
    </format>
    <format dxfId="20">
      <pivotArea outline="0" collapsedLevelsAreSubtotals="1" fieldPosition="0"/>
    </format>
    <format dxfId="19">
      <pivotArea type="origin" dataOnly="0" labelOnly="1" outline="0" fieldPosition="0"/>
    </format>
    <format dxfId="18">
      <pivotArea field="10" type="button" dataOnly="0" labelOnly="1" outline="0" axis="axisCol" fieldPosition="0"/>
    </format>
    <format dxfId="17">
      <pivotArea type="topRight" dataOnly="0" labelOnly="1" outline="0" fieldPosition="0"/>
    </format>
    <format dxfId="16">
      <pivotArea field="6" type="button" dataOnly="0" labelOnly="1" outline="0" axis="axisRow" fieldPosition="0"/>
    </format>
    <format dxfId="15">
      <pivotArea dataOnly="0" labelOnly="1" fieldPosition="0">
        <references count="1">
          <reference field="6" count="0"/>
        </references>
      </pivotArea>
    </format>
    <format dxfId="14">
      <pivotArea dataOnly="0" labelOnly="1" grandRow="1" outline="0" fieldPosition="0"/>
    </format>
    <format dxfId="13">
      <pivotArea dataOnly="0" labelOnly="1" fieldPosition="0">
        <references count="1">
          <reference field="10" count="0"/>
        </references>
      </pivotArea>
    </format>
    <format dxfId="12">
      <pivotArea dataOnly="0" labelOnly="1" grandCol="1" outline="0" fieldPosition="0"/>
    </format>
  </format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89634-AC8E-4078-BAF6-57F12FF5AA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4:C58" firstHeaderRow="1" firstDataRow="1" firstDataCol="1" rowPageCount="1" colPageCount="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pivotField showAll="0"/>
    <pivotField showAll="0">
      <items count="9">
        <item x="3"/>
        <item x="6"/>
        <item x="7"/>
        <item x="0"/>
        <item x="5"/>
        <item x="1"/>
        <item x="4"/>
        <item x="2"/>
        <item t="default"/>
      </items>
    </pivotField>
    <pivotField showAll="0"/>
    <pivotField axis="axisRow" showAll="0">
      <items count="4">
        <item x="0"/>
        <item x="1"/>
        <item x="2"/>
        <item t="default"/>
      </items>
    </pivotField>
    <pivotField showAll="0">
      <items count="7">
        <item x="1"/>
        <item x="5"/>
        <item x="3"/>
        <item x="2"/>
        <item x="0"/>
        <item x="4"/>
        <item t="default"/>
      </items>
    </pivotField>
    <pivotField numFmtId="15" showAll="0"/>
    <pivotField numFmtId="15" showAll="0"/>
    <pivotField showAll="0"/>
    <pivotField axis="axisPage" showAll="0">
      <items count="3">
        <item x="0"/>
        <item x="1"/>
        <item t="default"/>
      </items>
    </pivotField>
    <pivotField showAll="0">
      <items count="13">
        <item x="2"/>
        <item x="0"/>
        <item x="5"/>
        <item x="3"/>
        <item x="4"/>
        <item x="1"/>
        <item x="8"/>
        <item x="6"/>
        <item x="11"/>
        <item x="9"/>
        <item x="10"/>
        <item x="7"/>
        <item t="default"/>
      </items>
    </pivotField>
  </pivotFields>
  <rowFields count="1">
    <field x="5"/>
  </rowFields>
  <rowItems count="4">
    <i>
      <x/>
    </i>
    <i>
      <x v="1"/>
    </i>
    <i>
      <x v="2"/>
    </i>
    <i t="grand">
      <x/>
    </i>
  </rowItems>
  <colItems count="1">
    <i/>
  </colItems>
  <pageFields count="1">
    <pageField fld="10" item="1" hier="-1"/>
  </pageFields>
  <dataFields count="1">
    <dataField name="Count of Ticket ID" fld="0" subtotal="count" baseField="0" baseItem="0"/>
  </dataFields>
  <formats count="6">
    <format dxfId="27">
      <pivotArea type="all" dataOnly="0" outline="0" fieldPosition="0"/>
    </format>
    <format dxfId="26">
      <pivotArea outline="0" collapsedLevelsAreSubtotals="1" fieldPosition="0"/>
    </format>
    <format dxfId="25">
      <pivotArea field="5" type="button" dataOnly="0" labelOnly="1" outline="0" axis="axisRow" fieldPosition="0"/>
    </format>
    <format dxfId="24">
      <pivotArea dataOnly="0" labelOnly="1" fieldPosition="0">
        <references count="1">
          <reference field="5"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B8D0C-9036-40FD-AF2C-B1516877A0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21" firstHeaderRow="1" firstDataRow="1" firstDataCol="1" rowPageCount="1" colPageCount="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numFmtId="15" showAll="0"/>
    <pivotField numFmtId="15" showAll="0"/>
    <pivotField showAll="0"/>
    <pivotField axis="axisPage" showAll="0">
      <items count="3">
        <item x="0"/>
        <item x="1"/>
        <item t="default"/>
      </items>
    </pivotField>
    <pivotField axis="axisRow" showAll="0">
      <items count="13">
        <item x="2"/>
        <item x="0"/>
        <item x="5"/>
        <item x="3"/>
        <item x="4"/>
        <item x="1"/>
        <item x="8"/>
        <item x="6"/>
        <item x="11"/>
        <item x="9"/>
        <item x="10"/>
        <item x="7"/>
        <item t="default"/>
      </items>
    </pivotField>
  </pivotFields>
  <rowFields count="1">
    <field x="11"/>
  </rowFields>
  <rowItems count="13">
    <i>
      <x/>
    </i>
    <i>
      <x v="1"/>
    </i>
    <i>
      <x v="2"/>
    </i>
    <i>
      <x v="3"/>
    </i>
    <i>
      <x v="4"/>
    </i>
    <i>
      <x v="5"/>
    </i>
    <i>
      <x v="6"/>
    </i>
    <i>
      <x v="7"/>
    </i>
    <i>
      <x v="8"/>
    </i>
    <i>
      <x v="9"/>
    </i>
    <i>
      <x v="10"/>
    </i>
    <i>
      <x v="11"/>
    </i>
    <i t="grand">
      <x/>
    </i>
  </rowItems>
  <colItems count="1">
    <i/>
  </colItems>
  <pageFields count="1">
    <pageField fld="10" item="0" hier="-1"/>
  </pageFields>
  <dataFields count="1">
    <dataField name="Count of Ticket ID" fld="0" subtotal="count" baseField="11" baseItem="0"/>
  </dataFields>
  <formats count="6">
    <format dxfId="33">
      <pivotArea type="all" dataOnly="0" outline="0" fieldPosition="0"/>
    </format>
    <format dxfId="32">
      <pivotArea outline="0" collapsedLevelsAreSubtotals="1" fieldPosition="0"/>
    </format>
    <format dxfId="31">
      <pivotArea field="11" type="button" dataOnly="0" labelOnly="1" outline="0" axis="axisRow" fieldPosition="0"/>
    </format>
    <format dxfId="30">
      <pivotArea dataOnly="0" labelOnly="1" fieldPosition="0">
        <references count="1">
          <reference field="11"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2B35D-EA03-4533-A7F1-141F565FCE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7:C46" firstHeaderRow="1" firstDataRow="1" firstDataCol="1" rowPageCount="1" colPageCount="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pivotField showAll="0"/>
    <pivotField axis="axisRow" showAll="0">
      <items count="9">
        <item x="3"/>
        <item x="6"/>
        <item x="7"/>
        <item x="0"/>
        <item x="5"/>
        <item x="1"/>
        <item x="4"/>
        <item x="2"/>
        <item t="default"/>
      </items>
    </pivotField>
    <pivotField showAll="0"/>
    <pivotField showAll="0"/>
    <pivotField showAll="0"/>
    <pivotField numFmtId="15" showAll="0"/>
    <pivotField numFmtId="15" showAll="0"/>
    <pivotField showAll="0"/>
    <pivotField axis="axisPage" showAll="0">
      <items count="3">
        <item x="0"/>
        <item x="1"/>
        <item t="default"/>
      </items>
    </pivotField>
    <pivotField showAll="0">
      <items count="13">
        <item x="2"/>
        <item x="0"/>
        <item x="5"/>
        <item x="3"/>
        <item x="4"/>
        <item x="1"/>
        <item x="8"/>
        <item x="6"/>
        <item x="11"/>
        <item x="9"/>
        <item x="10"/>
        <item x="7"/>
        <item t="default"/>
      </items>
    </pivotField>
  </pivotFields>
  <rowFields count="1">
    <field x="3"/>
  </rowFields>
  <rowItems count="9">
    <i>
      <x/>
    </i>
    <i>
      <x v="1"/>
    </i>
    <i>
      <x v="2"/>
    </i>
    <i>
      <x v="3"/>
    </i>
    <i>
      <x v="4"/>
    </i>
    <i>
      <x v="5"/>
    </i>
    <i>
      <x v="6"/>
    </i>
    <i>
      <x v="7"/>
    </i>
    <i t="grand">
      <x/>
    </i>
  </rowItems>
  <colItems count="1">
    <i/>
  </colItems>
  <pageFields count="1">
    <pageField fld="10" item="1" hier="-1"/>
  </pageFields>
  <dataFields count="1">
    <dataField name="Count of Ticket ID" fld="0" subtotal="count" baseField="0" baseItem="0"/>
  </dataFields>
  <formats count="6">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3FAE1-3061-47C4-9E9D-1A6CA9E5576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9:J86" firstHeaderRow="1" firstDataRow="2" firstDataCol="1"/>
  <pivotFields count="12">
    <pivotField dataField="1" showAll="0">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3"/>
        <item x="994"/>
        <item x="995"/>
        <item x="996"/>
        <item x="997"/>
        <item x="998"/>
        <item x="999"/>
        <item x="1000"/>
        <item x="1001"/>
        <item x="1002"/>
        <item x="100"/>
        <item x="1003"/>
        <item x="1004"/>
        <item x="1005"/>
        <item x="1006"/>
        <item x="1007"/>
        <item x="1008"/>
        <item x="1009"/>
        <item x="1010"/>
        <item x="1011"/>
        <item x="1012"/>
        <item x="101"/>
        <item x="1013"/>
        <item x="1014"/>
        <item x="1015"/>
        <item x="1016"/>
        <item x="1017"/>
        <item x="1018"/>
        <item x="1019"/>
        <item x="1020"/>
        <item x="1021"/>
        <item x="1022"/>
        <item x="102"/>
        <item x="1023"/>
        <item x="1024"/>
        <item x="1025"/>
        <item x="1026"/>
        <item x="1027"/>
        <item x="1028"/>
        <item x="1029"/>
        <item x="1030"/>
        <item x="1031"/>
        <item x="1032"/>
        <item x="103"/>
        <item x="1033"/>
        <item x="1034"/>
        <item x="1035"/>
        <item x="1036"/>
        <item x="1037"/>
        <item x="1038"/>
        <item x="1039"/>
        <item x="1040"/>
        <item x="1041"/>
        <item x="1042"/>
        <item x="104"/>
        <item x="1043"/>
        <item x="1044"/>
        <item x="1045"/>
        <item x="1046"/>
        <item x="1047"/>
        <item x="1048"/>
        <item x="1049"/>
        <item x="1050"/>
        <item x="1051"/>
        <item x="1052"/>
        <item x="105"/>
        <item x="1053"/>
        <item x="1054"/>
        <item x="1055"/>
        <item x="1056"/>
        <item x="1057"/>
        <item x="1058"/>
        <item x="1059"/>
        <item x="1060"/>
        <item x="1061"/>
        <item x="1062"/>
        <item x="106"/>
        <item x="1063"/>
        <item x="1064"/>
        <item x="1065"/>
        <item x="1066"/>
        <item x="1067"/>
        <item x="1068"/>
        <item x="1069"/>
        <item x="1070"/>
        <item x="1071"/>
        <item x="1072"/>
        <item x="107"/>
        <item x="1073"/>
        <item x="1074"/>
        <item x="1075"/>
        <item x="1076"/>
        <item x="1077"/>
        <item x="1078"/>
        <item x="1079"/>
        <item x="1080"/>
        <item x="1081"/>
        <item x="1082"/>
        <item x="108"/>
        <item x="1083"/>
        <item x="1084"/>
        <item x="1085"/>
        <item x="1086"/>
        <item x="1087"/>
        <item x="1088"/>
        <item x="1089"/>
        <item x="1090"/>
        <item x="1091"/>
        <item x="1092"/>
        <item x="109"/>
        <item x="1093"/>
        <item x="1094"/>
        <item x="1095"/>
        <item x="1096"/>
        <item x="1097"/>
        <item x="1098"/>
        <item x="1099"/>
        <item x="1100"/>
        <item x="1101"/>
        <item x="1102"/>
        <item x="110"/>
        <item x="1103"/>
        <item x="1104"/>
        <item x="1105"/>
        <item x="1106"/>
        <item x="1107"/>
        <item x="1108"/>
        <item x="1109"/>
        <item x="1110"/>
        <item x="1111"/>
        <item x="1112"/>
        <item x="111"/>
        <item x="1113"/>
        <item x="1114"/>
        <item x="1115"/>
        <item x="1116"/>
        <item x="1117"/>
        <item x="1118"/>
        <item x="1119"/>
        <item x="1120"/>
        <item x="1121"/>
        <item x="1122"/>
        <item x="112"/>
        <item x="1123"/>
        <item x="1124"/>
        <item x="1125"/>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items count="6">
        <item x="4"/>
        <item x="0"/>
        <item x="1"/>
        <item x="2"/>
        <item x="3"/>
        <item t="default"/>
      </items>
    </pivotField>
    <pivotField axis="axisRow" showAll="0">
      <items count="16">
        <item x="3"/>
        <item x="9"/>
        <item x="14"/>
        <item x="6"/>
        <item x="7"/>
        <item x="11"/>
        <item x="1"/>
        <item x="0"/>
        <item x="8"/>
        <item x="4"/>
        <item x="5"/>
        <item x="12"/>
        <item x="13"/>
        <item x="10"/>
        <item x="2"/>
        <item t="default"/>
      </items>
    </pivotField>
    <pivotField showAll="0">
      <items count="9">
        <item x="3"/>
        <item x="6"/>
        <item x="7"/>
        <item x="0"/>
        <item x="5"/>
        <item x="1"/>
        <item x="4"/>
        <item x="2"/>
        <item t="default"/>
      </items>
    </pivotField>
    <pivotField showAll="0"/>
    <pivotField showAll="0">
      <items count="4">
        <item x="0"/>
        <item x="1"/>
        <item x="2"/>
        <item t="default"/>
      </items>
    </pivotField>
    <pivotField showAll="0">
      <items count="7">
        <item x="1"/>
        <item x="5"/>
        <item x="3"/>
        <item x="2"/>
        <item x="0"/>
        <item x="4"/>
        <item t="default"/>
      </items>
    </pivotField>
    <pivotField numFmtId="15" showAll="0"/>
    <pivotField numFmtId="15" showAll="0"/>
    <pivotField showAll="0"/>
    <pivotField axis="axisCol" showAll="0">
      <items count="3">
        <item x="0"/>
        <item x="1"/>
        <item t="default"/>
      </items>
    </pivotField>
    <pivotField showAll="0">
      <items count="13">
        <item x="2"/>
        <item x="0"/>
        <item x="5"/>
        <item x="3"/>
        <item x="4"/>
        <item x="1"/>
        <item x="8"/>
        <item x="6"/>
        <item x="11"/>
        <item x="9"/>
        <item x="10"/>
        <item x="7"/>
        <item t="default"/>
      </items>
    </pivotField>
  </pivotFields>
  <rowFields count="1">
    <field x="2"/>
  </rowFields>
  <rowItems count="16">
    <i>
      <x/>
    </i>
    <i>
      <x v="1"/>
    </i>
    <i>
      <x v="2"/>
    </i>
    <i>
      <x v="3"/>
    </i>
    <i>
      <x v="4"/>
    </i>
    <i>
      <x v="5"/>
    </i>
    <i>
      <x v="6"/>
    </i>
    <i>
      <x v="7"/>
    </i>
    <i>
      <x v="8"/>
    </i>
    <i>
      <x v="9"/>
    </i>
    <i>
      <x v="10"/>
    </i>
    <i>
      <x v="11"/>
    </i>
    <i>
      <x v="12"/>
    </i>
    <i>
      <x v="13"/>
    </i>
    <i>
      <x v="14"/>
    </i>
    <i t="grand">
      <x/>
    </i>
  </rowItems>
  <colFields count="1">
    <field x="10"/>
  </colFields>
  <colItems count="3">
    <i>
      <x/>
    </i>
    <i>
      <x v="1"/>
    </i>
    <i t="grand">
      <x/>
    </i>
  </colItems>
  <dataFields count="1">
    <dataField name="Count of Ticket ID" fld="0" subtotal="count" baseField="0" baseItem="0"/>
  </dataFields>
  <formats count="10">
    <format dxfId="49">
      <pivotArea type="all" dataOnly="0" outline="0" fieldPosition="0"/>
    </format>
    <format dxfId="48">
      <pivotArea outline="0" collapsedLevelsAreSubtotals="1" fieldPosition="0"/>
    </format>
    <format dxfId="47">
      <pivotArea type="origin" dataOnly="0" labelOnly="1" outline="0" fieldPosition="0"/>
    </format>
    <format dxfId="46">
      <pivotArea field="10" type="button" dataOnly="0" labelOnly="1" outline="0" axis="axisCol" fieldPosition="0"/>
    </format>
    <format dxfId="45">
      <pivotArea type="topRight" dataOnly="0" labelOnly="1" outline="0"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fieldPosition="0">
        <references count="1">
          <reference field="10" count="0"/>
        </references>
      </pivotArea>
    </format>
    <format dxfId="4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3107D2-5198-4EE9-A6E9-BD5886AA9EC0}" sourceName="Month">
  <pivotTables>
    <pivotTable tabId="2" name="PivotTable2"/>
    <pivotTable tabId="2" name="PivotTable1"/>
    <pivotTable tabId="2" name="PivotTable10"/>
    <pivotTable tabId="2" name="PivotTable12"/>
    <pivotTable tabId="2" name="PivotTable3"/>
    <pivotTable tabId="2" name="PivotTable4"/>
    <pivotTable tabId="2" name="PivotTable8"/>
  </pivotTables>
  <data>
    <tabular pivotCacheId="1566924416">
      <items count="12">
        <i x="2" s="1"/>
        <i x="0" s="1"/>
        <i x="5" s="1"/>
        <i x="3" s="1"/>
        <i x="4" s="1"/>
        <i x="1" s="1"/>
        <i x="8" s="1"/>
        <i x="6" s="1"/>
        <i x="11" s="1"/>
        <i x="9" s="1"/>
        <i x="1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0C4C613C-D2C9-4C06-91AF-D6CF0B8E252B}" sourceName="Assigned To">
  <pivotTables>
    <pivotTable tabId="2" name="PivotTable4"/>
  </pivotTables>
  <data>
    <tabular pivotCacheId="1566924416">
      <items count="6">
        <i x="1" s="1"/>
        <i x="5"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AF3A3F3-7876-46FC-BC49-05926896E3CA}" cache="Slicer_Month" caption="Month" startItem="4" rowHeight="247650"/>
  <slicer name="Assigned To" xr10:uid="{1D2D4DE4-CA16-4413-B5F9-26942E3CD003}" cache="Slicer_Assigned_To" caption="Assigned To"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E04838B-24A3-4C9C-A07B-09AE27143D5B}" cache="Slicer_Month" caption="Month" columnCount="12" showCaption="0" style="Slicer Style 1" rowHeight="247650"/>
  <slicer name="Assigned To 1" xr10:uid="{627A814C-DBEA-487A-8279-80ED35FEC260}" cache="Slicer_Assigned_To" caption="Assigned To" columnCount="6" showCaption="0"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EEEF-F0EF-4B92-BB19-416B278BCD7B}">
  <dimension ref="A1:L1127"/>
  <sheetViews>
    <sheetView topLeftCell="A16" workbookViewId="0">
      <selection activeCell="M7" sqref="M7"/>
    </sheetView>
  </sheetViews>
  <sheetFormatPr defaultRowHeight="14.4" x14ac:dyDescent="0.3"/>
  <cols>
    <col min="1" max="1" width="11.109375" bestFit="1" customWidth="1"/>
    <col min="2" max="2" width="14" bestFit="1" customWidth="1"/>
    <col min="3" max="3" width="11.6640625" bestFit="1" customWidth="1"/>
    <col min="4" max="4" width="16.5546875" bestFit="1" customWidth="1"/>
    <col min="5" max="5" width="72.5546875" bestFit="1" customWidth="1"/>
    <col min="6" max="6" width="9.88671875" bestFit="1" customWidth="1"/>
    <col min="7" max="7" width="14" bestFit="1" customWidth="1"/>
    <col min="8" max="8" width="12.88671875" bestFit="1" customWidth="1"/>
    <col min="9" max="9" width="13.33203125" bestFit="1" customWidth="1"/>
    <col min="10" max="10" width="13.6640625" bestFit="1" customWidth="1"/>
    <col min="11" max="11" width="9" bestFit="1" customWidth="1"/>
    <col min="12" max="12" width="16.5546875" customWidth="1"/>
  </cols>
  <sheetData>
    <row r="1" spans="1:12" x14ac:dyDescent="0.3">
      <c r="A1" s="1" t="s">
        <v>0</v>
      </c>
      <c r="B1" s="1" t="s">
        <v>1</v>
      </c>
      <c r="C1" s="1" t="s">
        <v>2</v>
      </c>
      <c r="D1" s="1" t="s">
        <v>3</v>
      </c>
      <c r="E1" s="1" t="s">
        <v>4</v>
      </c>
      <c r="F1" s="1" t="s">
        <v>5</v>
      </c>
      <c r="G1" s="1" t="s">
        <v>6</v>
      </c>
      <c r="H1" s="2" t="s">
        <v>7</v>
      </c>
      <c r="I1" s="2" t="s">
        <v>8</v>
      </c>
      <c r="J1" s="3" t="s">
        <v>9</v>
      </c>
      <c r="K1" s="3" t="s">
        <v>10</v>
      </c>
      <c r="L1" s="3" t="s">
        <v>11</v>
      </c>
    </row>
    <row r="2" spans="1:12" x14ac:dyDescent="0.3">
      <c r="A2" s="4" t="s">
        <v>12</v>
      </c>
      <c r="B2" s="5" t="s">
        <v>13</v>
      </c>
      <c r="C2" s="5" t="s">
        <v>14</v>
      </c>
      <c r="D2" s="5" t="s">
        <v>15</v>
      </c>
      <c r="E2" s="5" t="s">
        <v>16</v>
      </c>
      <c r="F2" s="5" t="s">
        <v>17</v>
      </c>
      <c r="G2" s="5" t="s">
        <v>18</v>
      </c>
      <c r="H2" s="6">
        <v>45342</v>
      </c>
      <c r="I2" s="6">
        <v>45342</v>
      </c>
      <c r="J2" s="5">
        <f>I2-H2</f>
        <v>0</v>
      </c>
      <c r="K2" s="5" t="str">
        <f>IF(J2&gt;= 1, "Not Met","Met")</f>
        <v>Met</v>
      </c>
      <c r="L2" s="7" t="str">
        <f>TEXT(H2,"MMM")</f>
        <v>Feb</v>
      </c>
    </row>
    <row r="3" spans="1:12" x14ac:dyDescent="0.3">
      <c r="A3" s="8" t="s">
        <v>19</v>
      </c>
      <c r="B3" s="9" t="s">
        <v>20</v>
      </c>
      <c r="C3" s="9" t="s">
        <v>21</v>
      </c>
      <c r="D3" s="9" t="s">
        <v>22</v>
      </c>
      <c r="E3" s="9" t="s">
        <v>23</v>
      </c>
      <c r="F3" s="9" t="s">
        <v>24</v>
      </c>
      <c r="G3" s="9" t="s">
        <v>25</v>
      </c>
      <c r="H3" s="10">
        <v>45445</v>
      </c>
      <c r="I3" s="10">
        <v>45445</v>
      </c>
      <c r="J3" s="5">
        <f t="shared" ref="J3:J66" si="0">I3-H3</f>
        <v>0</v>
      </c>
      <c r="K3" s="5" t="str">
        <f t="shared" ref="K3:K66" si="1">IF(J3&gt;= 1, "Not Met","Met")</f>
        <v>Met</v>
      </c>
      <c r="L3" s="7" t="str">
        <f t="shared" ref="L3:L66" si="2">TEXT(H3,"MMM")</f>
        <v>Jun</v>
      </c>
    </row>
    <row r="4" spans="1:12" x14ac:dyDescent="0.3">
      <c r="A4" s="4" t="s">
        <v>26</v>
      </c>
      <c r="B4" s="5" t="s">
        <v>27</v>
      </c>
      <c r="C4" s="5" t="s">
        <v>28</v>
      </c>
      <c r="D4" s="5" t="s">
        <v>29</v>
      </c>
      <c r="E4" s="5" t="s">
        <v>30</v>
      </c>
      <c r="F4" s="5" t="s">
        <v>24</v>
      </c>
      <c r="G4" s="5" t="s">
        <v>31</v>
      </c>
      <c r="H4" s="6">
        <v>45331</v>
      </c>
      <c r="I4" s="6">
        <v>45331</v>
      </c>
      <c r="J4" s="5">
        <f t="shared" si="0"/>
        <v>0</v>
      </c>
      <c r="K4" s="5" t="str">
        <f t="shared" si="1"/>
        <v>Met</v>
      </c>
      <c r="L4" s="7" t="str">
        <f t="shared" si="2"/>
        <v>Feb</v>
      </c>
    </row>
    <row r="5" spans="1:12" x14ac:dyDescent="0.3">
      <c r="A5" s="8" t="s">
        <v>32</v>
      </c>
      <c r="B5" s="9" t="s">
        <v>33</v>
      </c>
      <c r="C5" s="9" t="s">
        <v>34</v>
      </c>
      <c r="D5" s="9" t="s">
        <v>35</v>
      </c>
      <c r="E5" s="9" t="s">
        <v>36</v>
      </c>
      <c r="F5" s="9" t="s">
        <v>37</v>
      </c>
      <c r="G5" s="9" t="s">
        <v>18</v>
      </c>
      <c r="H5" s="10">
        <v>45444</v>
      </c>
      <c r="I5" s="10">
        <v>45444</v>
      </c>
      <c r="J5" s="5">
        <f t="shared" si="0"/>
        <v>0</v>
      </c>
      <c r="K5" s="5" t="str">
        <f t="shared" si="1"/>
        <v>Met</v>
      </c>
      <c r="L5" s="7" t="str">
        <f t="shared" si="2"/>
        <v>Jun</v>
      </c>
    </row>
    <row r="6" spans="1:12" x14ac:dyDescent="0.3">
      <c r="A6" s="4" t="s">
        <v>38</v>
      </c>
      <c r="B6" s="5" t="s">
        <v>39</v>
      </c>
      <c r="C6" s="5" t="s">
        <v>40</v>
      </c>
      <c r="D6" s="5" t="s">
        <v>22</v>
      </c>
      <c r="E6" s="5" t="s">
        <v>41</v>
      </c>
      <c r="F6" s="5" t="s">
        <v>37</v>
      </c>
      <c r="G6" s="5" t="s">
        <v>42</v>
      </c>
      <c r="H6" s="6">
        <v>45304</v>
      </c>
      <c r="I6" s="6">
        <v>45304</v>
      </c>
      <c r="J6" s="5">
        <f t="shared" si="0"/>
        <v>0</v>
      </c>
      <c r="K6" s="5" t="str">
        <f t="shared" si="1"/>
        <v>Met</v>
      </c>
      <c r="L6" s="7" t="str">
        <f t="shared" si="2"/>
        <v>Jan</v>
      </c>
    </row>
    <row r="7" spans="1:12" x14ac:dyDescent="0.3">
      <c r="A7" s="8" t="s">
        <v>43</v>
      </c>
      <c r="B7" s="9" t="s">
        <v>20</v>
      </c>
      <c r="C7" s="9" t="s">
        <v>21</v>
      </c>
      <c r="D7" s="9" t="s">
        <v>15</v>
      </c>
      <c r="E7" s="9" t="s">
        <v>44</v>
      </c>
      <c r="F7" s="9" t="s">
        <v>37</v>
      </c>
      <c r="G7" s="9" t="s">
        <v>45</v>
      </c>
      <c r="H7" s="10">
        <v>45338</v>
      </c>
      <c r="I7" s="10">
        <v>45338</v>
      </c>
      <c r="J7" s="5">
        <f t="shared" si="0"/>
        <v>0</v>
      </c>
      <c r="K7" s="5" t="str">
        <f t="shared" si="1"/>
        <v>Met</v>
      </c>
      <c r="L7" s="7" t="str">
        <f t="shared" si="2"/>
        <v>Feb</v>
      </c>
    </row>
    <row r="8" spans="1:12" x14ac:dyDescent="0.3">
      <c r="A8" s="4" t="s">
        <v>46</v>
      </c>
      <c r="B8" s="5" t="s">
        <v>27</v>
      </c>
      <c r="C8" s="5" t="s">
        <v>47</v>
      </c>
      <c r="D8" s="5" t="s">
        <v>15</v>
      </c>
      <c r="E8" s="5" t="s">
        <v>48</v>
      </c>
      <c r="F8" s="5" t="s">
        <v>37</v>
      </c>
      <c r="G8" s="5" t="s">
        <v>42</v>
      </c>
      <c r="H8" s="6">
        <v>45314</v>
      </c>
      <c r="I8" s="6">
        <v>45315</v>
      </c>
      <c r="J8" s="5">
        <f t="shared" si="0"/>
        <v>1</v>
      </c>
      <c r="K8" s="5" t="str">
        <f t="shared" si="1"/>
        <v>Not Met</v>
      </c>
      <c r="L8" s="7" t="str">
        <f t="shared" si="2"/>
        <v>Jan</v>
      </c>
    </row>
    <row r="9" spans="1:12" x14ac:dyDescent="0.3">
      <c r="A9" s="8" t="s">
        <v>49</v>
      </c>
      <c r="B9" s="9" t="s">
        <v>27</v>
      </c>
      <c r="C9" s="9" t="s">
        <v>47</v>
      </c>
      <c r="D9" s="9" t="s">
        <v>35</v>
      </c>
      <c r="E9" s="9" t="s">
        <v>50</v>
      </c>
      <c r="F9" s="9" t="s">
        <v>17</v>
      </c>
      <c r="G9" s="9" t="s">
        <v>31</v>
      </c>
      <c r="H9" s="10">
        <v>45400</v>
      </c>
      <c r="I9" s="10">
        <v>45400</v>
      </c>
      <c r="J9" s="5">
        <f t="shared" si="0"/>
        <v>0</v>
      </c>
      <c r="K9" s="5" t="str">
        <f t="shared" si="1"/>
        <v>Met</v>
      </c>
      <c r="L9" s="7" t="str">
        <f t="shared" si="2"/>
        <v>Apr</v>
      </c>
    </row>
    <row r="10" spans="1:12" x14ac:dyDescent="0.3">
      <c r="A10" s="4" t="s">
        <v>51</v>
      </c>
      <c r="B10" s="5" t="s">
        <v>13</v>
      </c>
      <c r="C10" s="5" t="s">
        <v>14</v>
      </c>
      <c r="D10" s="5" t="s">
        <v>35</v>
      </c>
      <c r="E10" s="5" t="s">
        <v>52</v>
      </c>
      <c r="F10" s="5" t="s">
        <v>37</v>
      </c>
      <c r="G10" s="5" t="s">
        <v>53</v>
      </c>
      <c r="H10" s="6">
        <v>45428</v>
      </c>
      <c r="I10" s="6">
        <v>45429</v>
      </c>
      <c r="J10" s="5">
        <f t="shared" si="0"/>
        <v>1</v>
      </c>
      <c r="K10" s="5" t="str">
        <f t="shared" si="1"/>
        <v>Not Met</v>
      </c>
      <c r="L10" s="7" t="str">
        <f t="shared" si="2"/>
        <v>May</v>
      </c>
    </row>
    <row r="11" spans="1:12" x14ac:dyDescent="0.3">
      <c r="A11" s="8" t="s">
        <v>54</v>
      </c>
      <c r="B11" s="9" t="s">
        <v>33</v>
      </c>
      <c r="C11" s="9" t="s">
        <v>55</v>
      </c>
      <c r="D11" s="9" t="s">
        <v>35</v>
      </c>
      <c r="E11" s="9" t="s">
        <v>56</v>
      </c>
      <c r="F11" s="9" t="s">
        <v>24</v>
      </c>
      <c r="G11" s="9" t="s">
        <v>42</v>
      </c>
      <c r="H11" s="10">
        <v>45384</v>
      </c>
      <c r="I11" s="10">
        <v>45384</v>
      </c>
      <c r="J11" s="5">
        <f t="shared" si="0"/>
        <v>0</v>
      </c>
      <c r="K11" s="5" t="str">
        <f t="shared" si="1"/>
        <v>Met</v>
      </c>
      <c r="L11" s="7" t="str">
        <f t="shared" si="2"/>
        <v>Apr</v>
      </c>
    </row>
    <row r="12" spans="1:12" x14ac:dyDescent="0.3">
      <c r="A12" s="4" t="s">
        <v>57</v>
      </c>
      <c r="B12" s="5" t="s">
        <v>13</v>
      </c>
      <c r="C12" s="5" t="s">
        <v>58</v>
      </c>
      <c r="D12" s="5" t="s">
        <v>22</v>
      </c>
      <c r="E12" s="5" t="s">
        <v>59</v>
      </c>
      <c r="F12" s="5" t="s">
        <v>24</v>
      </c>
      <c r="G12" s="5" t="s">
        <v>31</v>
      </c>
      <c r="H12" s="6">
        <v>45437</v>
      </c>
      <c r="I12" s="6">
        <v>45438</v>
      </c>
      <c r="J12" s="5">
        <f t="shared" si="0"/>
        <v>1</v>
      </c>
      <c r="K12" s="5" t="str">
        <f t="shared" si="1"/>
        <v>Not Met</v>
      </c>
      <c r="L12" s="7" t="str">
        <f t="shared" si="2"/>
        <v>May</v>
      </c>
    </row>
    <row r="13" spans="1:12" x14ac:dyDescent="0.3">
      <c r="A13" s="8" t="s">
        <v>60</v>
      </c>
      <c r="B13" s="9" t="s">
        <v>13</v>
      </c>
      <c r="C13" s="9" t="s">
        <v>61</v>
      </c>
      <c r="D13" s="9" t="s">
        <v>35</v>
      </c>
      <c r="E13" s="9" t="s">
        <v>62</v>
      </c>
      <c r="F13" s="9" t="s">
        <v>37</v>
      </c>
      <c r="G13" s="9" t="s">
        <v>45</v>
      </c>
      <c r="H13" s="10">
        <v>45451</v>
      </c>
      <c r="I13" s="10">
        <v>45451</v>
      </c>
      <c r="J13" s="5">
        <f t="shared" si="0"/>
        <v>0</v>
      </c>
      <c r="K13" s="5" t="str">
        <f t="shared" si="1"/>
        <v>Met</v>
      </c>
      <c r="L13" s="7" t="str">
        <f t="shared" si="2"/>
        <v>Jun</v>
      </c>
    </row>
    <row r="14" spans="1:12" x14ac:dyDescent="0.3">
      <c r="A14" s="4" t="s">
        <v>63</v>
      </c>
      <c r="B14" s="5" t="s">
        <v>33</v>
      </c>
      <c r="C14" s="5" t="s">
        <v>34</v>
      </c>
      <c r="D14" s="5" t="s">
        <v>35</v>
      </c>
      <c r="E14" s="5" t="s">
        <v>64</v>
      </c>
      <c r="F14" s="5" t="s">
        <v>24</v>
      </c>
      <c r="G14" s="5" t="s">
        <v>53</v>
      </c>
      <c r="H14" s="6">
        <v>45344</v>
      </c>
      <c r="I14" s="6">
        <v>45344</v>
      </c>
      <c r="J14" s="5">
        <f t="shared" si="0"/>
        <v>0</v>
      </c>
      <c r="K14" s="5" t="str">
        <f t="shared" si="1"/>
        <v>Met</v>
      </c>
      <c r="L14" s="7" t="str">
        <f t="shared" si="2"/>
        <v>Feb</v>
      </c>
    </row>
    <row r="15" spans="1:12" x14ac:dyDescent="0.3">
      <c r="A15" s="8" t="s">
        <v>65</v>
      </c>
      <c r="B15" s="9" t="s">
        <v>13</v>
      </c>
      <c r="C15" s="9" t="s">
        <v>14</v>
      </c>
      <c r="D15" s="9" t="s">
        <v>66</v>
      </c>
      <c r="E15" s="9" t="s">
        <v>67</v>
      </c>
      <c r="F15" s="9" t="s">
        <v>17</v>
      </c>
      <c r="G15" s="9" t="s">
        <v>31</v>
      </c>
      <c r="H15" s="10">
        <v>45342</v>
      </c>
      <c r="I15" s="10">
        <v>45342</v>
      </c>
      <c r="J15" s="5">
        <f t="shared" si="0"/>
        <v>0</v>
      </c>
      <c r="K15" s="5" t="str">
        <f t="shared" si="1"/>
        <v>Met</v>
      </c>
      <c r="L15" s="7" t="str">
        <f t="shared" si="2"/>
        <v>Feb</v>
      </c>
    </row>
    <row r="16" spans="1:12" x14ac:dyDescent="0.3">
      <c r="A16" s="4" t="s">
        <v>68</v>
      </c>
      <c r="B16" s="5" t="s">
        <v>33</v>
      </c>
      <c r="C16" s="5" t="s">
        <v>69</v>
      </c>
      <c r="D16" s="5" t="s">
        <v>66</v>
      </c>
      <c r="E16" s="5" t="s">
        <v>70</v>
      </c>
      <c r="F16" s="5" t="s">
        <v>17</v>
      </c>
      <c r="G16" s="5" t="s">
        <v>18</v>
      </c>
      <c r="H16" s="6">
        <v>45452</v>
      </c>
      <c r="I16" s="6">
        <v>45452</v>
      </c>
      <c r="J16" s="5">
        <f t="shared" si="0"/>
        <v>0</v>
      </c>
      <c r="K16" s="5" t="str">
        <f t="shared" si="1"/>
        <v>Met</v>
      </c>
      <c r="L16" s="7" t="str">
        <f t="shared" si="2"/>
        <v>Jun</v>
      </c>
    </row>
    <row r="17" spans="1:12" x14ac:dyDescent="0.3">
      <c r="A17" s="8" t="s">
        <v>71</v>
      </c>
      <c r="B17" s="9" t="s">
        <v>13</v>
      </c>
      <c r="C17" s="9" t="s">
        <v>61</v>
      </c>
      <c r="D17" s="9" t="s">
        <v>29</v>
      </c>
      <c r="E17" s="9" t="s">
        <v>72</v>
      </c>
      <c r="F17" s="9" t="s">
        <v>37</v>
      </c>
      <c r="G17" s="9" t="s">
        <v>25</v>
      </c>
      <c r="H17" s="10">
        <v>45296</v>
      </c>
      <c r="I17" s="10">
        <v>45297</v>
      </c>
      <c r="J17" s="5">
        <f t="shared" si="0"/>
        <v>1</v>
      </c>
      <c r="K17" s="5" t="str">
        <f t="shared" si="1"/>
        <v>Not Met</v>
      </c>
      <c r="L17" s="7" t="str">
        <f t="shared" si="2"/>
        <v>Jan</v>
      </c>
    </row>
    <row r="18" spans="1:12" x14ac:dyDescent="0.3">
      <c r="A18" s="4" t="s">
        <v>73</v>
      </c>
      <c r="B18" s="5" t="s">
        <v>13</v>
      </c>
      <c r="C18" s="5" t="s">
        <v>58</v>
      </c>
      <c r="D18" s="5" t="s">
        <v>35</v>
      </c>
      <c r="E18" s="5" t="s">
        <v>74</v>
      </c>
      <c r="F18" s="5" t="s">
        <v>17</v>
      </c>
      <c r="G18" s="5" t="s">
        <v>18</v>
      </c>
      <c r="H18" s="6">
        <v>45361</v>
      </c>
      <c r="I18" s="6">
        <v>45361</v>
      </c>
      <c r="J18" s="5">
        <f t="shared" si="0"/>
        <v>0</v>
      </c>
      <c r="K18" s="5" t="str">
        <f t="shared" si="1"/>
        <v>Met</v>
      </c>
      <c r="L18" s="7" t="str">
        <f t="shared" si="2"/>
        <v>Mar</v>
      </c>
    </row>
    <row r="19" spans="1:12" x14ac:dyDescent="0.3">
      <c r="A19" s="8" t="s">
        <v>75</v>
      </c>
      <c r="B19" s="9" t="s">
        <v>20</v>
      </c>
      <c r="C19" s="9" t="s">
        <v>76</v>
      </c>
      <c r="D19" s="9" t="s">
        <v>35</v>
      </c>
      <c r="E19" s="9" t="s">
        <v>77</v>
      </c>
      <c r="F19" s="9" t="s">
        <v>37</v>
      </c>
      <c r="G19" s="9" t="s">
        <v>18</v>
      </c>
      <c r="H19" s="10">
        <v>45405</v>
      </c>
      <c r="I19" s="10">
        <v>45405</v>
      </c>
      <c r="J19" s="5">
        <f t="shared" si="0"/>
        <v>0</v>
      </c>
      <c r="K19" s="5" t="str">
        <f t="shared" si="1"/>
        <v>Met</v>
      </c>
      <c r="L19" s="7" t="str">
        <f t="shared" si="2"/>
        <v>Apr</v>
      </c>
    </row>
    <row r="20" spans="1:12" x14ac:dyDescent="0.3">
      <c r="A20" s="4" t="s">
        <v>78</v>
      </c>
      <c r="B20" s="5" t="s">
        <v>13</v>
      </c>
      <c r="C20" s="5" t="s">
        <v>14</v>
      </c>
      <c r="D20" s="5" t="s">
        <v>79</v>
      </c>
      <c r="E20" s="5" t="s">
        <v>80</v>
      </c>
      <c r="F20" s="5" t="s">
        <v>17</v>
      </c>
      <c r="G20" s="5" t="s">
        <v>42</v>
      </c>
      <c r="H20" s="6">
        <v>45296</v>
      </c>
      <c r="I20" s="6">
        <v>45296</v>
      </c>
      <c r="J20" s="5">
        <f t="shared" si="0"/>
        <v>0</v>
      </c>
      <c r="K20" s="5" t="str">
        <f t="shared" si="1"/>
        <v>Met</v>
      </c>
      <c r="L20" s="7" t="str">
        <f t="shared" si="2"/>
        <v>Jan</v>
      </c>
    </row>
    <row r="21" spans="1:12" x14ac:dyDescent="0.3">
      <c r="A21" s="8" t="s">
        <v>81</v>
      </c>
      <c r="B21" s="9" t="s">
        <v>13</v>
      </c>
      <c r="C21" s="9" t="s">
        <v>58</v>
      </c>
      <c r="D21" s="9" t="s">
        <v>35</v>
      </c>
      <c r="E21" s="9" t="s">
        <v>82</v>
      </c>
      <c r="F21" s="9" t="s">
        <v>17</v>
      </c>
      <c r="G21" s="9" t="s">
        <v>42</v>
      </c>
      <c r="H21" s="10">
        <v>45326</v>
      </c>
      <c r="I21" s="10">
        <v>45326</v>
      </c>
      <c r="J21" s="5">
        <f t="shared" si="0"/>
        <v>0</v>
      </c>
      <c r="K21" s="5" t="str">
        <f t="shared" si="1"/>
        <v>Met</v>
      </c>
      <c r="L21" s="7" t="str">
        <f t="shared" si="2"/>
        <v>Feb</v>
      </c>
    </row>
    <row r="22" spans="1:12" x14ac:dyDescent="0.3">
      <c r="A22" s="4" t="s">
        <v>83</v>
      </c>
      <c r="B22" s="5" t="s">
        <v>27</v>
      </c>
      <c r="C22" s="5" t="s">
        <v>47</v>
      </c>
      <c r="D22" s="5" t="s">
        <v>35</v>
      </c>
      <c r="E22" s="5" t="s">
        <v>84</v>
      </c>
      <c r="F22" s="5" t="s">
        <v>37</v>
      </c>
      <c r="G22" s="5" t="s">
        <v>18</v>
      </c>
      <c r="H22" s="6">
        <v>45329</v>
      </c>
      <c r="I22" s="6">
        <v>45329</v>
      </c>
      <c r="J22" s="5">
        <f t="shared" si="0"/>
        <v>0</v>
      </c>
      <c r="K22" s="5" t="str">
        <f t="shared" si="1"/>
        <v>Met</v>
      </c>
      <c r="L22" s="7" t="str">
        <f t="shared" si="2"/>
        <v>Feb</v>
      </c>
    </row>
    <row r="23" spans="1:12" x14ac:dyDescent="0.3">
      <c r="A23" s="8" t="s">
        <v>85</v>
      </c>
      <c r="B23" s="9" t="s">
        <v>33</v>
      </c>
      <c r="C23" s="9" t="s">
        <v>34</v>
      </c>
      <c r="D23" s="9" t="s">
        <v>86</v>
      </c>
      <c r="E23" s="9" t="s">
        <v>87</v>
      </c>
      <c r="F23" s="9" t="s">
        <v>37</v>
      </c>
      <c r="G23" s="9" t="s">
        <v>18</v>
      </c>
      <c r="H23" s="10">
        <v>45301</v>
      </c>
      <c r="I23" s="10">
        <v>45301</v>
      </c>
      <c r="J23" s="5">
        <f t="shared" si="0"/>
        <v>0</v>
      </c>
      <c r="K23" s="5" t="str">
        <f t="shared" si="1"/>
        <v>Met</v>
      </c>
      <c r="L23" s="7" t="str">
        <f t="shared" si="2"/>
        <v>Jan</v>
      </c>
    </row>
    <row r="24" spans="1:12" x14ac:dyDescent="0.3">
      <c r="A24" s="4" t="s">
        <v>88</v>
      </c>
      <c r="B24" s="5" t="s">
        <v>33</v>
      </c>
      <c r="C24" s="5" t="s">
        <v>69</v>
      </c>
      <c r="D24" s="5" t="s">
        <v>35</v>
      </c>
      <c r="E24" s="5" t="s">
        <v>89</v>
      </c>
      <c r="F24" s="5" t="s">
        <v>24</v>
      </c>
      <c r="G24" s="5" t="s">
        <v>53</v>
      </c>
      <c r="H24" s="6">
        <v>45413</v>
      </c>
      <c r="I24" s="6">
        <v>45414</v>
      </c>
      <c r="J24" s="5">
        <f t="shared" si="0"/>
        <v>1</v>
      </c>
      <c r="K24" s="5" t="str">
        <f t="shared" si="1"/>
        <v>Not Met</v>
      </c>
      <c r="L24" s="7" t="str">
        <f t="shared" si="2"/>
        <v>May</v>
      </c>
    </row>
    <row r="25" spans="1:12" x14ac:dyDescent="0.3">
      <c r="A25" s="8" t="s">
        <v>90</v>
      </c>
      <c r="B25" s="9" t="s">
        <v>13</v>
      </c>
      <c r="C25" s="9" t="s">
        <v>14</v>
      </c>
      <c r="D25" s="9" t="s">
        <v>15</v>
      </c>
      <c r="E25" s="9" t="s">
        <v>91</v>
      </c>
      <c r="F25" s="9" t="s">
        <v>17</v>
      </c>
      <c r="G25" s="9" t="s">
        <v>31</v>
      </c>
      <c r="H25" s="10">
        <v>45377</v>
      </c>
      <c r="I25" s="10">
        <v>45377</v>
      </c>
      <c r="J25" s="5">
        <f t="shared" si="0"/>
        <v>0</v>
      </c>
      <c r="K25" s="5" t="str">
        <f t="shared" si="1"/>
        <v>Met</v>
      </c>
      <c r="L25" s="7" t="str">
        <f t="shared" si="2"/>
        <v>Mar</v>
      </c>
    </row>
    <row r="26" spans="1:12" x14ac:dyDescent="0.3">
      <c r="A26" s="4" t="s">
        <v>92</v>
      </c>
      <c r="B26" s="5" t="s">
        <v>20</v>
      </c>
      <c r="C26" s="5" t="s">
        <v>93</v>
      </c>
      <c r="D26" s="5" t="s">
        <v>66</v>
      </c>
      <c r="E26" s="5" t="s">
        <v>94</v>
      </c>
      <c r="F26" s="5" t="s">
        <v>24</v>
      </c>
      <c r="G26" s="5" t="s">
        <v>25</v>
      </c>
      <c r="H26" s="6">
        <v>45322</v>
      </c>
      <c r="I26" s="6">
        <v>45322</v>
      </c>
      <c r="J26" s="5">
        <f t="shared" si="0"/>
        <v>0</v>
      </c>
      <c r="K26" s="5" t="str">
        <f t="shared" si="1"/>
        <v>Met</v>
      </c>
      <c r="L26" s="7" t="str">
        <f t="shared" si="2"/>
        <v>Jan</v>
      </c>
    </row>
    <row r="27" spans="1:12" x14ac:dyDescent="0.3">
      <c r="A27" s="8" t="s">
        <v>95</v>
      </c>
      <c r="B27" s="9" t="s">
        <v>39</v>
      </c>
      <c r="C27" s="9" t="s">
        <v>96</v>
      </c>
      <c r="D27" s="9" t="s">
        <v>22</v>
      </c>
      <c r="E27" s="9" t="s">
        <v>97</v>
      </c>
      <c r="F27" s="9" t="s">
        <v>37</v>
      </c>
      <c r="G27" s="9" t="s">
        <v>53</v>
      </c>
      <c r="H27" s="10">
        <v>45392</v>
      </c>
      <c r="I27" s="10">
        <v>45392</v>
      </c>
      <c r="J27" s="5">
        <f t="shared" si="0"/>
        <v>0</v>
      </c>
      <c r="K27" s="5" t="str">
        <f t="shared" si="1"/>
        <v>Met</v>
      </c>
      <c r="L27" s="7" t="str">
        <f t="shared" si="2"/>
        <v>Apr</v>
      </c>
    </row>
    <row r="28" spans="1:12" x14ac:dyDescent="0.3">
      <c r="A28" s="4" t="s">
        <v>98</v>
      </c>
      <c r="B28" s="5" t="s">
        <v>39</v>
      </c>
      <c r="C28" s="5" t="s">
        <v>99</v>
      </c>
      <c r="D28" s="5" t="s">
        <v>22</v>
      </c>
      <c r="E28" s="5" t="s">
        <v>100</v>
      </c>
      <c r="F28" s="5" t="s">
        <v>24</v>
      </c>
      <c r="G28" s="5" t="s">
        <v>31</v>
      </c>
      <c r="H28" s="6">
        <v>45315</v>
      </c>
      <c r="I28" s="6">
        <v>45316</v>
      </c>
      <c r="J28" s="5">
        <f t="shared" si="0"/>
        <v>1</v>
      </c>
      <c r="K28" s="5" t="str">
        <f t="shared" si="1"/>
        <v>Not Met</v>
      </c>
      <c r="L28" s="7" t="str">
        <f t="shared" si="2"/>
        <v>Jan</v>
      </c>
    </row>
    <row r="29" spans="1:12" x14ac:dyDescent="0.3">
      <c r="A29" s="8" t="s">
        <v>101</v>
      </c>
      <c r="B29" s="9" t="s">
        <v>20</v>
      </c>
      <c r="C29" s="9" t="s">
        <v>21</v>
      </c>
      <c r="D29" s="9" t="s">
        <v>22</v>
      </c>
      <c r="E29" s="9" t="s">
        <v>102</v>
      </c>
      <c r="F29" s="9" t="s">
        <v>17</v>
      </c>
      <c r="G29" s="9" t="s">
        <v>42</v>
      </c>
      <c r="H29" s="10">
        <v>45301</v>
      </c>
      <c r="I29" s="10">
        <v>45301</v>
      </c>
      <c r="J29" s="5">
        <f t="shared" si="0"/>
        <v>0</v>
      </c>
      <c r="K29" s="5" t="str">
        <f t="shared" si="1"/>
        <v>Met</v>
      </c>
      <c r="L29" s="7" t="str">
        <f t="shared" si="2"/>
        <v>Jan</v>
      </c>
    </row>
    <row r="30" spans="1:12" x14ac:dyDescent="0.3">
      <c r="A30" s="4" t="s">
        <v>103</v>
      </c>
      <c r="B30" s="5" t="s">
        <v>20</v>
      </c>
      <c r="C30" s="5" t="s">
        <v>76</v>
      </c>
      <c r="D30" s="5" t="s">
        <v>29</v>
      </c>
      <c r="E30" s="5" t="s">
        <v>104</v>
      </c>
      <c r="F30" s="5" t="s">
        <v>37</v>
      </c>
      <c r="G30" s="5" t="s">
        <v>45</v>
      </c>
      <c r="H30" s="6">
        <v>45314</v>
      </c>
      <c r="I30" s="6">
        <v>45314</v>
      </c>
      <c r="J30" s="5">
        <f t="shared" si="0"/>
        <v>0</v>
      </c>
      <c r="K30" s="5" t="str">
        <f t="shared" si="1"/>
        <v>Met</v>
      </c>
      <c r="L30" s="7" t="str">
        <f t="shared" si="2"/>
        <v>Jan</v>
      </c>
    </row>
    <row r="31" spans="1:12" x14ac:dyDescent="0.3">
      <c r="A31" s="8" t="s">
        <v>105</v>
      </c>
      <c r="B31" s="9" t="s">
        <v>13</v>
      </c>
      <c r="C31" s="9" t="s">
        <v>14</v>
      </c>
      <c r="D31" s="9" t="s">
        <v>35</v>
      </c>
      <c r="E31" s="9" t="s">
        <v>106</v>
      </c>
      <c r="F31" s="9" t="s">
        <v>17</v>
      </c>
      <c r="G31" s="9" t="s">
        <v>25</v>
      </c>
      <c r="H31" s="10">
        <v>45322</v>
      </c>
      <c r="I31" s="10">
        <v>45322</v>
      </c>
      <c r="J31" s="5">
        <f t="shared" si="0"/>
        <v>0</v>
      </c>
      <c r="K31" s="5" t="str">
        <f t="shared" si="1"/>
        <v>Met</v>
      </c>
      <c r="L31" s="7" t="str">
        <f t="shared" si="2"/>
        <v>Jan</v>
      </c>
    </row>
    <row r="32" spans="1:12" x14ac:dyDescent="0.3">
      <c r="A32" s="4" t="s">
        <v>107</v>
      </c>
      <c r="B32" s="5" t="s">
        <v>27</v>
      </c>
      <c r="C32" s="5" t="s">
        <v>47</v>
      </c>
      <c r="D32" s="5" t="s">
        <v>35</v>
      </c>
      <c r="E32" s="5" t="s">
        <v>108</v>
      </c>
      <c r="F32" s="5" t="s">
        <v>37</v>
      </c>
      <c r="G32" s="5" t="s">
        <v>31</v>
      </c>
      <c r="H32" s="6">
        <v>45430</v>
      </c>
      <c r="I32" s="6">
        <v>45431</v>
      </c>
      <c r="J32" s="5">
        <f t="shared" si="0"/>
        <v>1</v>
      </c>
      <c r="K32" s="5" t="str">
        <f t="shared" si="1"/>
        <v>Not Met</v>
      </c>
      <c r="L32" s="7" t="str">
        <f t="shared" si="2"/>
        <v>May</v>
      </c>
    </row>
    <row r="33" spans="1:12" x14ac:dyDescent="0.3">
      <c r="A33" s="8" t="s">
        <v>109</v>
      </c>
      <c r="B33" s="9" t="s">
        <v>13</v>
      </c>
      <c r="C33" s="9" t="s">
        <v>14</v>
      </c>
      <c r="D33" s="9" t="s">
        <v>79</v>
      </c>
      <c r="E33" s="9" t="s">
        <v>110</v>
      </c>
      <c r="F33" s="9" t="s">
        <v>24</v>
      </c>
      <c r="G33" s="9" t="s">
        <v>25</v>
      </c>
      <c r="H33" s="10">
        <v>45330</v>
      </c>
      <c r="I33" s="10">
        <v>45330</v>
      </c>
      <c r="J33" s="5">
        <f t="shared" si="0"/>
        <v>0</v>
      </c>
      <c r="K33" s="5" t="str">
        <f t="shared" si="1"/>
        <v>Met</v>
      </c>
      <c r="L33" s="7" t="str">
        <f t="shared" si="2"/>
        <v>Feb</v>
      </c>
    </row>
    <row r="34" spans="1:12" x14ac:dyDescent="0.3">
      <c r="A34" s="4" t="s">
        <v>111</v>
      </c>
      <c r="B34" s="5" t="s">
        <v>13</v>
      </c>
      <c r="C34" s="5" t="s">
        <v>61</v>
      </c>
      <c r="D34" s="5" t="s">
        <v>66</v>
      </c>
      <c r="E34" s="5" t="s">
        <v>112</v>
      </c>
      <c r="F34" s="5" t="s">
        <v>24</v>
      </c>
      <c r="G34" s="5" t="s">
        <v>42</v>
      </c>
      <c r="H34" s="6">
        <v>45304</v>
      </c>
      <c r="I34" s="6">
        <v>45304</v>
      </c>
      <c r="J34" s="5">
        <f t="shared" si="0"/>
        <v>0</v>
      </c>
      <c r="K34" s="5" t="str">
        <f t="shared" si="1"/>
        <v>Met</v>
      </c>
      <c r="L34" s="7" t="str">
        <f t="shared" si="2"/>
        <v>Jan</v>
      </c>
    </row>
    <row r="35" spans="1:12" x14ac:dyDescent="0.3">
      <c r="A35" s="8" t="s">
        <v>113</v>
      </c>
      <c r="B35" s="9" t="s">
        <v>33</v>
      </c>
      <c r="C35" s="9" t="s">
        <v>34</v>
      </c>
      <c r="D35" s="9" t="s">
        <v>15</v>
      </c>
      <c r="E35" s="9" t="s">
        <v>114</v>
      </c>
      <c r="F35" s="9" t="s">
        <v>24</v>
      </c>
      <c r="G35" s="9" t="s">
        <v>42</v>
      </c>
      <c r="H35" s="10">
        <v>45407</v>
      </c>
      <c r="I35" s="10">
        <v>45408</v>
      </c>
      <c r="J35" s="5">
        <f t="shared" si="0"/>
        <v>1</v>
      </c>
      <c r="K35" s="5" t="str">
        <f t="shared" si="1"/>
        <v>Not Met</v>
      </c>
      <c r="L35" s="7" t="str">
        <f t="shared" si="2"/>
        <v>Apr</v>
      </c>
    </row>
    <row r="36" spans="1:12" x14ac:dyDescent="0.3">
      <c r="A36" s="4" t="s">
        <v>115</v>
      </c>
      <c r="B36" s="5" t="s">
        <v>13</v>
      </c>
      <c r="C36" s="5" t="s">
        <v>58</v>
      </c>
      <c r="D36" s="5" t="s">
        <v>79</v>
      </c>
      <c r="E36" s="5" t="s">
        <v>116</v>
      </c>
      <c r="F36" s="5" t="s">
        <v>37</v>
      </c>
      <c r="G36" s="5" t="s">
        <v>25</v>
      </c>
      <c r="H36" s="6">
        <v>45319</v>
      </c>
      <c r="I36" s="6">
        <v>45319</v>
      </c>
      <c r="J36" s="5">
        <f t="shared" si="0"/>
        <v>0</v>
      </c>
      <c r="K36" s="5" t="str">
        <f t="shared" si="1"/>
        <v>Met</v>
      </c>
      <c r="L36" s="7" t="str">
        <f t="shared" si="2"/>
        <v>Jan</v>
      </c>
    </row>
    <row r="37" spans="1:12" x14ac:dyDescent="0.3">
      <c r="A37" s="8" t="s">
        <v>117</v>
      </c>
      <c r="B37" s="9" t="s">
        <v>33</v>
      </c>
      <c r="C37" s="9" t="s">
        <v>69</v>
      </c>
      <c r="D37" s="9" t="s">
        <v>86</v>
      </c>
      <c r="E37" s="9" t="s">
        <v>118</v>
      </c>
      <c r="F37" s="9" t="s">
        <v>17</v>
      </c>
      <c r="G37" s="9" t="s">
        <v>45</v>
      </c>
      <c r="H37" s="10">
        <v>45358</v>
      </c>
      <c r="I37" s="10">
        <v>45358</v>
      </c>
      <c r="J37" s="5">
        <f t="shared" si="0"/>
        <v>0</v>
      </c>
      <c r="K37" s="5" t="str">
        <f t="shared" si="1"/>
        <v>Met</v>
      </c>
      <c r="L37" s="7" t="str">
        <f t="shared" si="2"/>
        <v>Mar</v>
      </c>
    </row>
    <row r="38" spans="1:12" x14ac:dyDescent="0.3">
      <c r="A38" s="4" t="s">
        <v>119</v>
      </c>
      <c r="B38" s="5" t="s">
        <v>13</v>
      </c>
      <c r="C38" s="5" t="s">
        <v>14</v>
      </c>
      <c r="D38" s="5" t="s">
        <v>35</v>
      </c>
      <c r="E38" s="5" t="s">
        <v>120</v>
      </c>
      <c r="F38" s="5" t="s">
        <v>37</v>
      </c>
      <c r="G38" s="5" t="s">
        <v>42</v>
      </c>
      <c r="H38" s="6">
        <v>45449</v>
      </c>
      <c r="I38" s="6">
        <v>45449</v>
      </c>
      <c r="J38" s="5">
        <f t="shared" si="0"/>
        <v>0</v>
      </c>
      <c r="K38" s="5" t="str">
        <f t="shared" si="1"/>
        <v>Met</v>
      </c>
      <c r="L38" s="7" t="str">
        <f t="shared" si="2"/>
        <v>Jun</v>
      </c>
    </row>
    <row r="39" spans="1:12" x14ac:dyDescent="0.3">
      <c r="A39" s="8" t="s">
        <v>121</v>
      </c>
      <c r="B39" s="9" t="s">
        <v>20</v>
      </c>
      <c r="C39" s="9" t="s">
        <v>76</v>
      </c>
      <c r="D39" s="9" t="s">
        <v>15</v>
      </c>
      <c r="E39" s="9" t="s">
        <v>122</v>
      </c>
      <c r="F39" s="9" t="s">
        <v>17</v>
      </c>
      <c r="G39" s="9" t="s">
        <v>31</v>
      </c>
      <c r="H39" s="10">
        <v>45414</v>
      </c>
      <c r="I39" s="10">
        <v>45414</v>
      </c>
      <c r="J39" s="5">
        <f t="shared" si="0"/>
        <v>0</v>
      </c>
      <c r="K39" s="5" t="str">
        <f t="shared" si="1"/>
        <v>Met</v>
      </c>
      <c r="L39" s="7" t="str">
        <f t="shared" si="2"/>
        <v>May</v>
      </c>
    </row>
    <row r="40" spans="1:12" x14ac:dyDescent="0.3">
      <c r="A40" s="4" t="s">
        <v>123</v>
      </c>
      <c r="B40" s="5" t="s">
        <v>20</v>
      </c>
      <c r="C40" s="5" t="s">
        <v>76</v>
      </c>
      <c r="D40" s="5" t="s">
        <v>22</v>
      </c>
      <c r="E40" s="5" t="s">
        <v>124</v>
      </c>
      <c r="F40" s="5" t="s">
        <v>37</v>
      </c>
      <c r="G40" s="5" t="s">
        <v>25</v>
      </c>
      <c r="H40" s="6">
        <v>45326</v>
      </c>
      <c r="I40" s="6">
        <v>45326</v>
      </c>
      <c r="J40" s="5">
        <f t="shared" si="0"/>
        <v>0</v>
      </c>
      <c r="K40" s="5" t="str">
        <f t="shared" si="1"/>
        <v>Met</v>
      </c>
      <c r="L40" s="7" t="str">
        <f t="shared" si="2"/>
        <v>Feb</v>
      </c>
    </row>
    <row r="41" spans="1:12" x14ac:dyDescent="0.3">
      <c r="A41" s="8" t="s">
        <v>125</v>
      </c>
      <c r="B41" s="9" t="s">
        <v>13</v>
      </c>
      <c r="C41" s="5" t="s">
        <v>58</v>
      </c>
      <c r="D41" s="9" t="s">
        <v>66</v>
      </c>
      <c r="E41" s="9" t="s">
        <v>126</v>
      </c>
      <c r="F41" s="9" t="s">
        <v>17</v>
      </c>
      <c r="G41" s="9" t="s">
        <v>18</v>
      </c>
      <c r="H41" s="10">
        <v>45345</v>
      </c>
      <c r="I41" s="10">
        <v>45345</v>
      </c>
      <c r="J41" s="5">
        <f t="shared" si="0"/>
        <v>0</v>
      </c>
      <c r="K41" s="5" t="str">
        <f t="shared" si="1"/>
        <v>Met</v>
      </c>
      <c r="L41" s="7" t="str">
        <f t="shared" si="2"/>
        <v>Feb</v>
      </c>
    </row>
    <row r="42" spans="1:12" x14ac:dyDescent="0.3">
      <c r="A42" s="4" t="s">
        <v>127</v>
      </c>
      <c r="B42" s="5" t="s">
        <v>39</v>
      </c>
      <c r="C42" s="5" t="s">
        <v>99</v>
      </c>
      <c r="D42" s="5" t="s">
        <v>29</v>
      </c>
      <c r="E42" s="5" t="s">
        <v>128</v>
      </c>
      <c r="F42" s="5" t="s">
        <v>37</v>
      </c>
      <c r="G42" s="5" t="s">
        <v>25</v>
      </c>
      <c r="H42" s="6">
        <v>45359</v>
      </c>
      <c r="I42" s="6">
        <v>45360</v>
      </c>
      <c r="J42" s="5">
        <f t="shared" si="0"/>
        <v>1</v>
      </c>
      <c r="K42" s="5" t="str">
        <f t="shared" si="1"/>
        <v>Not Met</v>
      </c>
      <c r="L42" s="7" t="str">
        <f t="shared" si="2"/>
        <v>Mar</v>
      </c>
    </row>
    <row r="43" spans="1:12" x14ac:dyDescent="0.3">
      <c r="A43" s="8" t="s">
        <v>129</v>
      </c>
      <c r="B43" s="9" t="s">
        <v>39</v>
      </c>
      <c r="C43" s="9" t="s">
        <v>99</v>
      </c>
      <c r="D43" s="9" t="s">
        <v>35</v>
      </c>
      <c r="E43" s="9" t="s">
        <v>130</v>
      </c>
      <c r="F43" s="9" t="s">
        <v>24</v>
      </c>
      <c r="G43" s="9" t="s">
        <v>25</v>
      </c>
      <c r="H43" s="10">
        <v>45397</v>
      </c>
      <c r="I43" s="10">
        <v>45397</v>
      </c>
      <c r="J43" s="5">
        <f t="shared" si="0"/>
        <v>0</v>
      </c>
      <c r="K43" s="5" t="str">
        <f t="shared" si="1"/>
        <v>Met</v>
      </c>
      <c r="L43" s="7" t="str">
        <f t="shared" si="2"/>
        <v>Apr</v>
      </c>
    </row>
    <row r="44" spans="1:12" x14ac:dyDescent="0.3">
      <c r="A44" s="4" t="s">
        <v>131</v>
      </c>
      <c r="B44" s="5" t="str">
        <f>B2</f>
        <v>Asia</v>
      </c>
      <c r="C44" s="5" t="s">
        <v>14</v>
      </c>
      <c r="D44" s="5" t="s">
        <v>29</v>
      </c>
      <c r="E44" s="5" t="s">
        <v>132</v>
      </c>
      <c r="F44" s="5" t="s">
        <v>37</v>
      </c>
      <c r="G44" s="5" t="s">
        <v>18</v>
      </c>
      <c r="H44" s="6">
        <v>45394</v>
      </c>
      <c r="I44" s="6">
        <v>45394</v>
      </c>
      <c r="J44" s="5">
        <f t="shared" si="0"/>
        <v>0</v>
      </c>
      <c r="K44" s="5" t="str">
        <f t="shared" si="1"/>
        <v>Met</v>
      </c>
      <c r="L44" s="7" t="str">
        <f t="shared" si="2"/>
        <v>Apr</v>
      </c>
    </row>
    <row r="45" spans="1:12" x14ac:dyDescent="0.3">
      <c r="A45" s="8" t="s">
        <v>133</v>
      </c>
      <c r="B45" s="9" t="s">
        <v>20</v>
      </c>
      <c r="C45" s="9" t="s">
        <v>21</v>
      </c>
      <c r="D45" s="9" t="s">
        <v>35</v>
      </c>
      <c r="E45" s="9" t="s">
        <v>134</v>
      </c>
      <c r="F45" s="9" t="s">
        <v>24</v>
      </c>
      <c r="G45" s="9" t="s">
        <v>45</v>
      </c>
      <c r="H45" s="10">
        <v>45434</v>
      </c>
      <c r="I45" s="10">
        <v>45435</v>
      </c>
      <c r="J45" s="5">
        <f t="shared" si="0"/>
        <v>1</v>
      </c>
      <c r="K45" s="5" t="str">
        <f t="shared" si="1"/>
        <v>Not Met</v>
      </c>
      <c r="L45" s="7" t="str">
        <f t="shared" si="2"/>
        <v>May</v>
      </c>
    </row>
    <row r="46" spans="1:12" x14ac:dyDescent="0.3">
      <c r="A46" s="4" t="s">
        <v>135</v>
      </c>
      <c r="B46" s="5" t="s">
        <v>27</v>
      </c>
      <c r="C46" s="5" t="s">
        <v>28</v>
      </c>
      <c r="D46" s="5" t="s">
        <v>29</v>
      </c>
      <c r="E46" s="5" t="s">
        <v>136</v>
      </c>
      <c r="F46" s="5" t="s">
        <v>37</v>
      </c>
      <c r="G46" s="5" t="s">
        <v>42</v>
      </c>
      <c r="H46" s="6">
        <v>45321</v>
      </c>
      <c r="I46" s="6">
        <v>45321</v>
      </c>
      <c r="J46" s="5">
        <f t="shared" si="0"/>
        <v>0</v>
      </c>
      <c r="K46" s="5" t="str">
        <f t="shared" si="1"/>
        <v>Met</v>
      </c>
      <c r="L46" s="7" t="str">
        <f t="shared" si="2"/>
        <v>Jan</v>
      </c>
    </row>
    <row r="47" spans="1:12" x14ac:dyDescent="0.3">
      <c r="A47" s="8" t="s">
        <v>137</v>
      </c>
      <c r="B47" s="9" t="s">
        <v>27</v>
      </c>
      <c r="C47" s="9" t="s">
        <v>28</v>
      </c>
      <c r="D47" s="9" t="s">
        <v>22</v>
      </c>
      <c r="E47" s="9" t="s">
        <v>138</v>
      </c>
      <c r="F47" s="9" t="s">
        <v>37</v>
      </c>
      <c r="G47" s="9" t="s">
        <v>25</v>
      </c>
      <c r="H47" s="10">
        <v>45418</v>
      </c>
      <c r="I47" s="10">
        <v>45419</v>
      </c>
      <c r="J47" s="5">
        <f t="shared" si="0"/>
        <v>1</v>
      </c>
      <c r="K47" s="5" t="str">
        <f t="shared" si="1"/>
        <v>Not Met</v>
      </c>
      <c r="L47" s="7" t="str">
        <f t="shared" si="2"/>
        <v>May</v>
      </c>
    </row>
    <row r="48" spans="1:12" x14ac:dyDescent="0.3">
      <c r="A48" s="4" t="s">
        <v>139</v>
      </c>
      <c r="B48" s="5" t="s">
        <v>13</v>
      </c>
      <c r="C48" s="5" t="s">
        <v>14</v>
      </c>
      <c r="D48" s="5" t="s">
        <v>35</v>
      </c>
      <c r="E48" s="5" t="s">
        <v>140</v>
      </c>
      <c r="F48" s="5" t="s">
        <v>17</v>
      </c>
      <c r="G48" s="5" t="s">
        <v>18</v>
      </c>
      <c r="H48" s="6">
        <v>45439</v>
      </c>
      <c r="I48" s="6">
        <v>45439</v>
      </c>
      <c r="J48" s="5">
        <f t="shared" si="0"/>
        <v>0</v>
      </c>
      <c r="K48" s="5" t="str">
        <f t="shared" si="1"/>
        <v>Met</v>
      </c>
      <c r="L48" s="7" t="str">
        <f t="shared" si="2"/>
        <v>May</v>
      </c>
    </row>
    <row r="49" spans="1:12" x14ac:dyDescent="0.3">
      <c r="A49" s="8" t="s">
        <v>141</v>
      </c>
      <c r="B49" s="9" t="s">
        <v>13</v>
      </c>
      <c r="C49" s="9" t="s">
        <v>14</v>
      </c>
      <c r="D49" s="9" t="s">
        <v>35</v>
      </c>
      <c r="E49" s="9" t="s">
        <v>142</v>
      </c>
      <c r="F49" s="9" t="s">
        <v>37</v>
      </c>
      <c r="G49" s="9" t="s">
        <v>45</v>
      </c>
      <c r="H49" s="10">
        <v>45372</v>
      </c>
      <c r="I49" s="10">
        <v>45372</v>
      </c>
      <c r="J49" s="5">
        <f t="shared" si="0"/>
        <v>0</v>
      </c>
      <c r="K49" s="5" t="str">
        <f t="shared" si="1"/>
        <v>Met</v>
      </c>
      <c r="L49" s="7" t="str">
        <f t="shared" si="2"/>
        <v>Mar</v>
      </c>
    </row>
    <row r="50" spans="1:12" x14ac:dyDescent="0.3">
      <c r="A50" s="4" t="s">
        <v>143</v>
      </c>
      <c r="B50" s="5" t="s">
        <v>39</v>
      </c>
      <c r="C50" s="5" t="s">
        <v>96</v>
      </c>
      <c r="D50" s="5" t="s">
        <v>79</v>
      </c>
      <c r="E50" s="5" t="s">
        <v>144</v>
      </c>
      <c r="F50" s="5" t="s">
        <v>37</v>
      </c>
      <c r="G50" s="5" t="s">
        <v>31</v>
      </c>
      <c r="H50" s="6">
        <v>45470</v>
      </c>
      <c r="I50" s="6">
        <v>45470</v>
      </c>
      <c r="J50" s="5">
        <f t="shared" si="0"/>
        <v>0</v>
      </c>
      <c r="K50" s="5" t="str">
        <f t="shared" si="1"/>
        <v>Met</v>
      </c>
      <c r="L50" s="7" t="str">
        <f t="shared" si="2"/>
        <v>Jun</v>
      </c>
    </row>
    <row r="51" spans="1:12" x14ac:dyDescent="0.3">
      <c r="A51" s="8" t="s">
        <v>145</v>
      </c>
      <c r="B51" s="9" t="s">
        <v>39</v>
      </c>
      <c r="C51" s="9" t="s">
        <v>40</v>
      </c>
      <c r="D51" s="9" t="s">
        <v>29</v>
      </c>
      <c r="E51" s="9" t="s">
        <v>146</v>
      </c>
      <c r="F51" s="9" t="s">
        <v>37</v>
      </c>
      <c r="G51" s="9" t="s">
        <v>31</v>
      </c>
      <c r="H51" s="10">
        <v>45390</v>
      </c>
      <c r="I51" s="10">
        <v>45390</v>
      </c>
      <c r="J51" s="5">
        <f t="shared" si="0"/>
        <v>0</v>
      </c>
      <c r="K51" s="5" t="str">
        <f t="shared" si="1"/>
        <v>Met</v>
      </c>
      <c r="L51" s="7" t="str">
        <f t="shared" si="2"/>
        <v>Apr</v>
      </c>
    </row>
    <row r="52" spans="1:12" x14ac:dyDescent="0.3">
      <c r="A52" s="4" t="s">
        <v>147</v>
      </c>
      <c r="B52" s="5" t="s">
        <v>39</v>
      </c>
      <c r="C52" s="5" t="s">
        <v>99</v>
      </c>
      <c r="D52" s="5" t="s">
        <v>148</v>
      </c>
      <c r="E52" s="5" t="s">
        <v>149</v>
      </c>
      <c r="F52" s="5" t="s">
        <v>37</v>
      </c>
      <c r="G52" s="5" t="s">
        <v>18</v>
      </c>
      <c r="H52" s="6">
        <v>45292</v>
      </c>
      <c r="I52" s="6">
        <v>45292</v>
      </c>
      <c r="J52" s="5">
        <f t="shared" si="0"/>
        <v>0</v>
      </c>
      <c r="K52" s="5" t="str">
        <f t="shared" si="1"/>
        <v>Met</v>
      </c>
      <c r="L52" s="7" t="str">
        <f t="shared" si="2"/>
        <v>Jan</v>
      </c>
    </row>
    <row r="53" spans="1:12" x14ac:dyDescent="0.3">
      <c r="A53" s="8" t="s">
        <v>150</v>
      </c>
      <c r="B53" s="9" t="s">
        <v>13</v>
      </c>
      <c r="C53" s="9" t="s">
        <v>14</v>
      </c>
      <c r="D53" s="9" t="s">
        <v>86</v>
      </c>
      <c r="E53" s="9" t="s">
        <v>151</v>
      </c>
      <c r="F53" s="9" t="s">
        <v>17</v>
      </c>
      <c r="G53" s="9" t="s">
        <v>45</v>
      </c>
      <c r="H53" s="10">
        <v>45452</v>
      </c>
      <c r="I53" s="10">
        <v>45452</v>
      </c>
      <c r="J53" s="5">
        <f t="shared" si="0"/>
        <v>0</v>
      </c>
      <c r="K53" s="5" t="str">
        <f t="shared" si="1"/>
        <v>Met</v>
      </c>
      <c r="L53" s="7" t="str">
        <f t="shared" si="2"/>
        <v>Jun</v>
      </c>
    </row>
    <row r="54" spans="1:12" x14ac:dyDescent="0.3">
      <c r="A54" s="4" t="s">
        <v>152</v>
      </c>
      <c r="B54" s="5" t="s">
        <v>27</v>
      </c>
      <c r="C54" s="5" t="s">
        <v>153</v>
      </c>
      <c r="D54" s="5" t="s">
        <v>22</v>
      </c>
      <c r="E54" s="5" t="s">
        <v>154</v>
      </c>
      <c r="F54" s="5" t="s">
        <v>17</v>
      </c>
      <c r="G54" s="5" t="s">
        <v>42</v>
      </c>
      <c r="H54" s="6">
        <v>45423</v>
      </c>
      <c r="I54" s="6">
        <v>45423</v>
      </c>
      <c r="J54" s="5">
        <f t="shared" si="0"/>
        <v>0</v>
      </c>
      <c r="K54" s="5" t="str">
        <f t="shared" si="1"/>
        <v>Met</v>
      </c>
      <c r="L54" s="7" t="str">
        <f t="shared" si="2"/>
        <v>May</v>
      </c>
    </row>
    <row r="55" spans="1:12" x14ac:dyDescent="0.3">
      <c r="A55" s="8" t="s">
        <v>155</v>
      </c>
      <c r="B55" s="9" t="s">
        <v>13</v>
      </c>
      <c r="C55" s="9" t="s">
        <v>14</v>
      </c>
      <c r="D55" s="9" t="s">
        <v>29</v>
      </c>
      <c r="E55" s="9" t="s">
        <v>156</v>
      </c>
      <c r="F55" s="9" t="s">
        <v>17</v>
      </c>
      <c r="G55" s="9" t="s">
        <v>18</v>
      </c>
      <c r="H55" s="10">
        <v>45405</v>
      </c>
      <c r="I55" s="10">
        <v>45405</v>
      </c>
      <c r="J55" s="5">
        <f t="shared" si="0"/>
        <v>0</v>
      </c>
      <c r="K55" s="5" t="str">
        <f t="shared" si="1"/>
        <v>Met</v>
      </c>
      <c r="L55" s="7" t="str">
        <f t="shared" si="2"/>
        <v>Apr</v>
      </c>
    </row>
    <row r="56" spans="1:12" x14ac:dyDescent="0.3">
      <c r="A56" s="4" t="s">
        <v>157</v>
      </c>
      <c r="B56" s="5" t="s">
        <v>20</v>
      </c>
      <c r="C56" s="5" t="s">
        <v>76</v>
      </c>
      <c r="D56" s="5" t="s">
        <v>35</v>
      </c>
      <c r="E56" s="5" t="s">
        <v>158</v>
      </c>
      <c r="F56" s="5" t="s">
        <v>37</v>
      </c>
      <c r="G56" s="5" t="s">
        <v>31</v>
      </c>
      <c r="H56" s="6">
        <v>45423</v>
      </c>
      <c r="I56" s="6">
        <v>45423</v>
      </c>
      <c r="J56" s="5">
        <f t="shared" si="0"/>
        <v>0</v>
      </c>
      <c r="K56" s="5" t="str">
        <f t="shared" si="1"/>
        <v>Met</v>
      </c>
      <c r="L56" s="7" t="str">
        <f t="shared" si="2"/>
        <v>May</v>
      </c>
    </row>
    <row r="57" spans="1:12" x14ac:dyDescent="0.3">
      <c r="A57" s="8" t="s">
        <v>159</v>
      </c>
      <c r="B57" s="9" t="s">
        <v>33</v>
      </c>
      <c r="C57" s="9" t="s">
        <v>69</v>
      </c>
      <c r="D57" s="9" t="s">
        <v>79</v>
      </c>
      <c r="E57" s="9" t="s">
        <v>160</v>
      </c>
      <c r="F57" s="9" t="s">
        <v>17</v>
      </c>
      <c r="G57" s="9" t="s">
        <v>53</v>
      </c>
      <c r="H57" s="10">
        <v>45304</v>
      </c>
      <c r="I57" s="10">
        <v>45305</v>
      </c>
      <c r="J57" s="5">
        <f t="shared" si="0"/>
        <v>1</v>
      </c>
      <c r="K57" s="5" t="str">
        <f t="shared" si="1"/>
        <v>Not Met</v>
      </c>
      <c r="L57" s="7" t="str">
        <f t="shared" si="2"/>
        <v>Jan</v>
      </c>
    </row>
    <row r="58" spans="1:12" x14ac:dyDescent="0.3">
      <c r="A58" s="4" t="s">
        <v>161</v>
      </c>
      <c r="B58" s="5" t="s">
        <v>33</v>
      </c>
      <c r="C58" s="5" t="s">
        <v>69</v>
      </c>
      <c r="D58" s="5" t="s">
        <v>66</v>
      </c>
      <c r="E58" s="5" t="s">
        <v>162</v>
      </c>
      <c r="F58" s="5" t="s">
        <v>24</v>
      </c>
      <c r="G58" s="5" t="s">
        <v>45</v>
      </c>
      <c r="H58" s="6">
        <v>45431</v>
      </c>
      <c r="I58" s="6">
        <v>45431</v>
      </c>
      <c r="J58" s="5">
        <f t="shared" si="0"/>
        <v>0</v>
      </c>
      <c r="K58" s="5" t="str">
        <f t="shared" si="1"/>
        <v>Met</v>
      </c>
      <c r="L58" s="7" t="str">
        <f t="shared" si="2"/>
        <v>May</v>
      </c>
    </row>
    <row r="59" spans="1:12" x14ac:dyDescent="0.3">
      <c r="A59" s="8" t="s">
        <v>163</v>
      </c>
      <c r="B59" s="9" t="s">
        <v>13</v>
      </c>
      <c r="C59" s="9" t="s">
        <v>58</v>
      </c>
      <c r="D59" s="9" t="s">
        <v>86</v>
      </c>
      <c r="E59" s="9" t="s">
        <v>164</v>
      </c>
      <c r="F59" s="9" t="s">
        <v>17</v>
      </c>
      <c r="G59" s="9" t="s">
        <v>45</v>
      </c>
      <c r="H59" s="10">
        <v>45396</v>
      </c>
      <c r="I59" s="10">
        <v>45396</v>
      </c>
      <c r="J59" s="5">
        <f t="shared" si="0"/>
        <v>0</v>
      </c>
      <c r="K59" s="5" t="str">
        <f t="shared" si="1"/>
        <v>Met</v>
      </c>
      <c r="L59" s="7" t="str">
        <f t="shared" si="2"/>
        <v>Apr</v>
      </c>
    </row>
    <row r="60" spans="1:12" x14ac:dyDescent="0.3">
      <c r="A60" s="4" t="s">
        <v>165</v>
      </c>
      <c r="B60" s="5" t="s">
        <v>33</v>
      </c>
      <c r="C60" s="5" t="s">
        <v>55</v>
      </c>
      <c r="D60" s="5" t="s">
        <v>35</v>
      </c>
      <c r="E60" s="5" t="s">
        <v>166</v>
      </c>
      <c r="F60" s="5" t="s">
        <v>24</v>
      </c>
      <c r="G60" s="5" t="s">
        <v>53</v>
      </c>
      <c r="H60" s="6">
        <v>45389</v>
      </c>
      <c r="I60" s="6">
        <v>45390</v>
      </c>
      <c r="J60" s="5">
        <f t="shared" si="0"/>
        <v>1</v>
      </c>
      <c r="K60" s="5" t="str">
        <f t="shared" si="1"/>
        <v>Not Met</v>
      </c>
      <c r="L60" s="7" t="str">
        <f t="shared" si="2"/>
        <v>Apr</v>
      </c>
    </row>
    <row r="61" spans="1:12" x14ac:dyDescent="0.3">
      <c r="A61" s="8" t="s">
        <v>167</v>
      </c>
      <c r="B61" s="9" t="s">
        <v>20</v>
      </c>
      <c r="C61" s="9" t="s">
        <v>76</v>
      </c>
      <c r="D61" s="9" t="s">
        <v>22</v>
      </c>
      <c r="E61" s="9" t="s">
        <v>168</v>
      </c>
      <c r="F61" s="9" t="s">
        <v>37</v>
      </c>
      <c r="G61" s="9" t="s">
        <v>45</v>
      </c>
      <c r="H61" s="10">
        <v>45416</v>
      </c>
      <c r="I61" s="10">
        <v>45416</v>
      </c>
      <c r="J61" s="5">
        <f t="shared" si="0"/>
        <v>0</v>
      </c>
      <c r="K61" s="5" t="str">
        <f t="shared" si="1"/>
        <v>Met</v>
      </c>
      <c r="L61" s="7" t="str">
        <f t="shared" si="2"/>
        <v>May</v>
      </c>
    </row>
    <row r="62" spans="1:12" x14ac:dyDescent="0.3">
      <c r="A62" s="4" t="s">
        <v>169</v>
      </c>
      <c r="B62" s="5" t="s">
        <v>13</v>
      </c>
      <c r="C62" s="5" t="s">
        <v>14</v>
      </c>
      <c r="D62" s="5" t="s">
        <v>35</v>
      </c>
      <c r="E62" s="5" t="s">
        <v>170</v>
      </c>
      <c r="F62" s="5" t="s">
        <v>17</v>
      </c>
      <c r="G62" s="5" t="s">
        <v>45</v>
      </c>
      <c r="H62" s="6">
        <v>45342</v>
      </c>
      <c r="I62" s="6">
        <v>45343</v>
      </c>
      <c r="J62" s="5">
        <f t="shared" si="0"/>
        <v>1</v>
      </c>
      <c r="K62" s="5" t="str">
        <f t="shared" si="1"/>
        <v>Not Met</v>
      </c>
      <c r="L62" s="7" t="str">
        <f t="shared" si="2"/>
        <v>Feb</v>
      </c>
    </row>
    <row r="63" spans="1:12" x14ac:dyDescent="0.3">
      <c r="A63" s="8" t="s">
        <v>171</v>
      </c>
      <c r="B63" s="9" t="s">
        <v>27</v>
      </c>
      <c r="C63" s="9" t="s">
        <v>47</v>
      </c>
      <c r="D63" s="9" t="s">
        <v>35</v>
      </c>
      <c r="E63" s="9" t="s">
        <v>172</v>
      </c>
      <c r="F63" s="9" t="s">
        <v>37</v>
      </c>
      <c r="G63" s="9" t="s">
        <v>31</v>
      </c>
      <c r="H63" s="10">
        <v>45430</v>
      </c>
      <c r="I63" s="10">
        <v>45430</v>
      </c>
      <c r="J63" s="5">
        <f t="shared" si="0"/>
        <v>0</v>
      </c>
      <c r="K63" s="5" t="str">
        <f t="shared" si="1"/>
        <v>Met</v>
      </c>
      <c r="L63" s="7" t="str">
        <f t="shared" si="2"/>
        <v>May</v>
      </c>
    </row>
    <row r="64" spans="1:12" x14ac:dyDescent="0.3">
      <c r="A64" s="4" t="s">
        <v>173</v>
      </c>
      <c r="B64" s="5" t="s">
        <v>13</v>
      </c>
      <c r="C64" s="5" t="s">
        <v>58</v>
      </c>
      <c r="D64" s="5" t="s">
        <v>79</v>
      </c>
      <c r="E64" s="5" t="s">
        <v>174</v>
      </c>
      <c r="F64" s="5" t="s">
        <v>24</v>
      </c>
      <c r="G64" s="5" t="s">
        <v>53</v>
      </c>
      <c r="H64" s="6">
        <v>45390</v>
      </c>
      <c r="I64" s="6">
        <v>45390</v>
      </c>
      <c r="J64" s="5">
        <f t="shared" si="0"/>
        <v>0</v>
      </c>
      <c r="K64" s="5" t="str">
        <f t="shared" si="1"/>
        <v>Met</v>
      </c>
      <c r="L64" s="7" t="str">
        <f t="shared" si="2"/>
        <v>Apr</v>
      </c>
    </row>
    <row r="65" spans="1:12" x14ac:dyDescent="0.3">
      <c r="A65" s="8" t="s">
        <v>175</v>
      </c>
      <c r="B65" s="9" t="s">
        <v>13</v>
      </c>
      <c r="C65" s="9" t="s">
        <v>61</v>
      </c>
      <c r="D65" s="9" t="s">
        <v>22</v>
      </c>
      <c r="E65" s="9" t="s">
        <v>176</v>
      </c>
      <c r="F65" s="9" t="s">
        <v>24</v>
      </c>
      <c r="G65" s="9" t="s">
        <v>45</v>
      </c>
      <c r="H65" s="10">
        <v>45352</v>
      </c>
      <c r="I65" s="10">
        <v>45352</v>
      </c>
      <c r="J65" s="5">
        <f t="shared" si="0"/>
        <v>0</v>
      </c>
      <c r="K65" s="5" t="str">
        <f t="shared" si="1"/>
        <v>Met</v>
      </c>
      <c r="L65" s="7" t="str">
        <f t="shared" si="2"/>
        <v>Mar</v>
      </c>
    </row>
    <row r="66" spans="1:12" x14ac:dyDescent="0.3">
      <c r="A66" s="4" t="s">
        <v>177</v>
      </c>
      <c r="B66" s="5" t="s">
        <v>27</v>
      </c>
      <c r="C66" s="5" t="s">
        <v>47</v>
      </c>
      <c r="D66" s="5" t="s">
        <v>35</v>
      </c>
      <c r="E66" s="5" t="s">
        <v>178</v>
      </c>
      <c r="F66" s="5" t="s">
        <v>37</v>
      </c>
      <c r="G66" s="5" t="s">
        <v>18</v>
      </c>
      <c r="H66" s="6">
        <v>45421</v>
      </c>
      <c r="I66" s="6">
        <v>45421</v>
      </c>
      <c r="J66" s="5">
        <f t="shared" si="0"/>
        <v>0</v>
      </c>
      <c r="K66" s="5" t="str">
        <f t="shared" si="1"/>
        <v>Met</v>
      </c>
      <c r="L66" s="7" t="str">
        <f t="shared" si="2"/>
        <v>May</v>
      </c>
    </row>
    <row r="67" spans="1:12" x14ac:dyDescent="0.3">
      <c r="A67" s="8" t="s">
        <v>179</v>
      </c>
      <c r="B67" s="9" t="s">
        <v>27</v>
      </c>
      <c r="C67" s="9" t="s">
        <v>153</v>
      </c>
      <c r="D67" s="9" t="s">
        <v>29</v>
      </c>
      <c r="E67" s="9" t="s">
        <v>180</v>
      </c>
      <c r="F67" s="9" t="s">
        <v>37</v>
      </c>
      <c r="G67" s="9" t="s">
        <v>18</v>
      </c>
      <c r="H67" s="10">
        <v>45309</v>
      </c>
      <c r="I67" s="10">
        <v>45309</v>
      </c>
      <c r="J67" s="5">
        <f t="shared" ref="J67:J130" si="3">I67-H67</f>
        <v>0</v>
      </c>
      <c r="K67" s="5" t="str">
        <f t="shared" ref="K67:K130" si="4">IF(J67&gt;= 1, "Not Met","Met")</f>
        <v>Met</v>
      </c>
      <c r="L67" s="7" t="str">
        <f t="shared" ref="L67:L130" si="5">TEXT(H67,"MMM")</f>
        <v>Jan</v>
      </c>
    </row>
    <row r="68" spans="1:12" x14ac:dyDescent="0.3">
      <c r="A68" s="4" t="s">
        <v>181</v>
      </c>
      <c r="B68" s="5" t="s">
        <v>13</v>
      </c>
      <c r="C68" s="5" t="s">
        <v>58</v>
      </c>
      <c r="D68" s="5" t="s">
        <v>66</v>
      </c>
      <c r="E68" s="5" t="s">
        <v>182</v>
      </c>
      <c r="F68" s="5" t="s">
        <v>17</v>
      </c>
      <c r="G68" s="5" t="s">
        <v>18</v>
      </c>
      <c r="H68" s="6">
        <v>45439</v>
      </c>
      <c r="I68" s="6">
        <v>45439</v>
      </c>
      <c r="J68" s="5">
        <f t="shared" si="3"/>
        <v>0</v>
      </c>
      <c r="K68" s="5" t="str">
        <f t="shared" si="4"/>
        <v>Met</v>
      </c>
      <c r="L68" s="7" t="str">
        <f t="shared" si="5"/>
        <v>May</v>
      </c>
    </row>
    <row r="69" spans="1:12" x14ac:dyDescent="0.3">
      <c r="A69" s="8" t="s">
        <v>183</v>
      </c>
      <c r="B69" s="9" t="s">
        <v>27</v>
      </c>
      <c r="C69" s="9" t="s">
        <v>28</v>
      </c>
      <c r="D69" s="9" t="s">
        <v>22</v>
      </c>
      <c r="E69" s="9" t="s">
        <v>184</v>
      </c>
      <c r="F69" s="9" t="s">
        <v>24</v>
      </c>
      <c r="G69" s="9" t="s">
        <v>25</v>
      </c>
      <c r="H69" s="10">
        <v>45406</v>
      </c>
      <c r="I69" s="10">
        <v>45406</v>
      </c>
      <c r="J69" s="5">
        <f t="shared" si="3"/>
        <v>0</v>
      </c>
      <c r="K69" s="5" t="str">
        <f t="shared" si="4"/>
        <v>Met</v>
      </c>
      <c r="L69" s="7" t="str">
        <f t="shared" si="5"/>
        <v>Apr</v>
      </c>
    </row>
    <row r="70" spans="1:12" x14ac:dyDescent="0.3">
      <c r="A70" s="4" t="s">
        <v>185</v>
      </c>
      <c r="B70" s="5" t="s">
        <v>13</v>
      </c>
      <c r="C70" s="5" t="s">
        <v>14</v>
      </c>
      <c r="D70" s="5" t="s">
        <v>66</v>
      </c>
      <c r="E70" s="5" t="s">
        <v>186</v>
      </c>
      <c r="F70" s="5" t="s">
        <v>24</v>
      </c>
      <c r="G70" s="5" t="s">
        <v>31</v>
      </c>
      <c r="H70" s="6">
        <v>45294</v>
      </c>
      <c r="I70" s="6">
        <v>45294</v>
      </c>
      <c r="J70" s="5">
        <f t="shared" si="3"/>
        <v>0</v>
      </c>
      <c r="K70" s="5" t="str">
        <f t="shared" si="4"/>
        <v>Met</v>
      </c>
      <c r="L70" s="7" t="str">
        <f t="shared" si="5"/>
        <v>Jan</v>
      </c>
    </row>
    <row r="71" spans="1:12" x14ac:dyDescent="0.3">
      <c r="A71" s="8" t="s">
        <v>187</v>
      </c>
      <c r="B71" s="9" t="s">
        <v>27</v>
      </c>
      <c r="C71" s="9" t="s">
        <v>153</v>
      </c>
      <c r="D71" s="9" t="s">
        <v>15</v>
      </c>
      <c r="E71" s="9" t="s">
        <v>188</v>
      </c>
      <c r="F71" s="9" t="s">
        <v>17</v>
      </c>
      <c r="G71" s="9" t="s">
        <v>42</v>
      </c>
      <c r="H71" s="10">
        <v>45408</v>
      </c>
      <c r="I71" s="10">
        <v>45408</v>
      </c>
      <c r="J71" s="5">
        <f t="shared" si="3"/>
        <v>0</v>
      </c>
      <c r="K71" s="5" t="str">
        <f t="shared" si="4"/>
        <v>Met</v>
      </c>
      <c r="L71" s="7" t="str">
        <f t="shared" si="5"/>
        <v>Apr</v>
      </c>
    </row>
    <row r="72" spans="1:12" x14ac:dyDescent="0.3">
      <c r="A72" s="4" t="s">
        <v>189</v>
      </c>
      <c r="B72" s="5" t="s">
        <v>20</v>
      </c>
      <c r="C72" s="5" t="s">
        <v>93</v>
      </c>
      <c r="D72" s="5" t="s">
        <v>22</v>
      </c>
      <c r="E72" s="5" t="s">
        <v>190</v>
      </c>
      <c r="F72" s="5" t="s">
        <v>37</v>
      </c>
      <c r="G72" s="5" t="s">
        <v>25</v>
      </c>
      <c r="H72" s="6">
        <v>45345</v>
      </c>
      <c r="I72" s="6">
        <v>45345</v>
      </c>
      <c r="J72" s="5">
        <f t="shared" si="3"/>
        <v>0</v>
      </c>
      <c r="K72" s="5" t="str">
        <f t="shared" si="4"/>
        <v>Met</v>
      </c>
      <c r="L72" s="7" t="str">
        <f t="shared" si="5"/>
        <v>Feb</v>
      </c>
    </row>
    <row r="73" spans="1:12" x14ac:dyDescent="0.3">
      <c r="A73" s="8" t="s">
        <v>191</v>
      </c>
      <c r="B73" s="9" t="s">
        <v>27</v>
      </c>
      <c r="C73" s="9" t="s">
        <v>153</v>
      </c>
      <c r="D73" s="9" t="s">
        <v>22</v>
      </c>
      <c r="E73" s="9" t="s">
        <v>192</v>
      </c>
      <c r="F73" s="9" t="s">
        <v>17</v>
      </c>
      <c r="G73" s="9" t="s">
        <v>31</v>
      </c>
      <c r="H73" s="10">
        <v>45397</v>
      </c>
      <c r="I73" s="10">
        <v>45397</v>
      </c>
      <c r="J73" s="5">
        <f t="shared" si="3"/>
        <v>0</v>
      </c>
      <c r="K73" s="5" t="str">
        <f t="shared" si="4"/>
        <v>Met</v>
      </c>
      <c r="L73" s="7" t="str">
        <f t="shared" si="5"/>
        <v>Apr</v>
      </c>
    </row>
    <row r="74" spans="1:12" x14ac:dyDescent="0.3">
      <c r="A74" s="4" t="s">
        <v>193</v>
      </c>
      <c r="B74" s="5" t="s">
        <v>20</v>
      </c>
      <c r="C74" s="5" t="s">
        <v>76</v>
      </c>
      <c r="D74" s="5" t="s">
        <v>86</v>
      </c>
      <c r="E74" s="5" t="s">
        <v>194</v>
      </c>
      <c r="F74" s="5" t="s">
        <v>17</v>
      </c>
      <c r="G74" s="5" t="s">
        <v>42</v>
      </c>
      <c r="H74" s="6">
        <v>45386</v>
      </c>
      <c r="I74" s="6">
        <v>45386</v>
      </c>
      <c r="J74" s="5">
        <f t="shared" si="3"/>
        <v>0</v>
      </c>
      <c r="K74" s="5" t="str">
        <f t="shared" si="4"/>
        <v>Met</v>
      </c>
      <c r="L74" s="7" t="str">
        <f t="shared" si="5"/>
        <v>Apr</v>
      </c>
    </row>
    <row r="75" spans="1:12" x14ac:dyDescent="0.3">
      <c r="A75" s="8" t="s">
        <v>195</v>
      </c>
      <c r="B75" s="9" t="s">
        <v>20</v>
      </c>
      <c r="C75" s="9" t="s">
        <v>93</v>
      </c>
      <c r="D75" s="9" t="s">
        <v>15</v>
      </c>
      <c r="E75" s="9" t="s">
        <v>196</v>
      </c>
      <c r="F75" s="9" t="s">
        <v>24</v>
      </c>
      <c r="G75" s="9" t="s">
        <v>42</v>
      </c>
      <c r="H75" s="10">
        <v>45437</v>
      </c>
      <c r="I75" s="10">
        <v>45437</v>
      </c>
      <c r="J75" s="5">
        <f t="shared" si="3"/>
        <v>0</v>
      </c>
      <c r="K75" s="5" t="str">
        <f t="shared" si="4"/>
        <v>Met</v>
      </c>
      <c r="L75" s="7" t="str">
        <f t="shared" si="5"/>
        <v>May</v>
      </c>
    </row>
    <row r="76" spans="1:12" x14ac:dyDescent="0.3">
      <c r="A76" s="4" t="s">
        <v>197</v>
      </c>
      <c r="B76" s="5" t="s">
        <v>20</v>
      </c>
      <c r="C76" s="5" t="s">
        <v>93</v>
      </c>
      <c r="D76" s="5" t="s">
        <v>22</v>
      </c>
      <c r="E76" s="5" t="s">
        <v>198</v>
      </c>
      <c r="F76" s="5" t="s">
        <v>24</v>
      </c>
      <c r="G76" s="5" t="s">
        <v>42</v>
      </c>
      <c r="H76" s="6">
        <v>45388</v>
      </c>
      <c r="I76" s="6">
        <v>45388</v>
      </c>
      <c r="J76" s="5">
        <f t="shared" si="3"/>
        <v>0</v>
      </c>
      <c r="K76" s="5" t="str">
        <f t="shared" si="4"/>
        <v>Met</v>
      </c>
      <c r="L76" s="7" t="str">
        <f t="shared" si="5"/>
        <v>Apr</v>
      </c>
    </row>
    <row r="77" spans="1:12" x14ac:dyDescent="0.3">
      <c r="A77" s="8" t="s">
        <v>199</v>
      </c>
      <c r="B77" s="9" t="s">
        <v>13</v>
      </c>
      <c r="C77" s="9" t="s">
        <v>58</v>
      </c>
      <c r="D77" s="9" t="s">
        <v>86</v>
      </c>
      <c r="E77" s="9" t="s">
        <v>200</v>
      </c>
      <c r="F77" s="9" t="s">
        <v>24</v>
      </c>
      <c r="G77" s="9" t="s">
        <v>25</v>
      </c>
      <c r="H77" s="10">
        <v>45371</v>
      </c>
      <c r="I77" s="10">
        <v>45371</v>
      </c>
      <c r="J77" s="5">
        <f t="shared" si="3"/>
        <v>0</v>
      </c>
      <c r="K77" s="5" t="str">
        <f t="shared" si="4"/>
        <v>Met</v>
      </c>
      <c r="L77" s="7" t="str">
        <f t="shared" si="5"/>
        <v>Mar</v>
      </c>
    </row>
    <row r="78" spans="1:12" x14ac:dyDescent="0.3">
      <c r="A78" s="4" t="s">
        <v>201</v>
      </c>
      <c r="B78" s="5" t="s">
        <v>20</v>
      </c>
      <c r="C78" s="5" t="s">
        <v>76</v>
      </c>
      <c r="D78" s="5" t="s">
        <v>22</v>
      </c>
      <c r="E78" s="5" t="s">
        <v>202</v>
      </c>
      <c r="F78" s="5" t="s">
        <v>24</v>
      </c>
      <c r="G78" s="5" t="s">
        <v>31</v>
      </c>
      <c r="H78" s="6">
        <v>45360</v>
      </c>
      <c r="I78" s="6">
        <v>45360</v>
      </c>
      <c r="J78" s="5">
        <f t="shared" si="3"/>
        <v>0</v>
      </c>
      <c r="K78" s="5" t="str">
        <f t="shared" si="4"/>
        <v>Met</v>
      </c>
      <c r="L78" s="7" t="str">
        <f t="shared" si="5"/>
        <v>Mar</v>
      </c>
    </row>
    <row r="79" spans="1:12" x14ac:dyDescent="0.3">
      <c r="A79" s="8" t="s">
        <v>203</v>
      </c>
      <c r="B79" s="9" t="s">
        <v>13</v>
      </c>
      <c r="C79" s="9" t="s">
        <v>61</v>
      </c>
      <c r="D79" s="9" t="s">
        <v>29</v>
      </c>
      <c r="E79" s="9" t="s">
        <v>204</v>
      </c>
      <c r="F79" s="9" t="s">
        <v>17</v>
      </c>
      <c r="G79" s="9" t="s">
        <v>42</v>
      </c>
      <c r="H79" s="10">
        <v>45434</v>
      </c>
      <c r="I79" s="10">
        <v>45434</v>
      </c>
      <c r="J79" s="5">
        <f t="shared" si="3"/>
        <v>0</v>
      </c>
      <c r="K79" s="5" t="str">
        <f t="shared" si="4"/>
        <v>Met</v>
      </c>
      <c r="L79" s="7" t="str">
        <f t="shared" si="5"/>
        <v>May</v>
      </c>
    </row>
    <row r="80" spans="1:12" x14ac:dyDescent="0.3">
      <c r="A80" s="4" t="s">
        <v>205</v>
      </c>
      <c r="B80" s="5" t="s">
        <v>27</v>
      </c>
      <c r="C80" s="5" t="s">
        <v>28</v>
      </c>
      <c r="D80" s="5" t="s">
        <v>86</v>
      </c>
      <c r="E80" s="5" t="s">
        <v>206</v>
      </c>
      <c r="F80" s="5" t="s">
        <v>17</v>
      </c>
      <c r="G80" s="5" t="s">
        <v>31</v>
      </c>
      <c r="H80" s="6">
        <v>45416</v>
      </c>
      <c r="I80" s="6">
        <v>45416</v>
      </c>
      <c r="J80" s="5">
        <f t="shared" si="3"/>
        <v>0</v>
      </c>
      <c r="K80" s="5" t="str">
        <f t="shared" si="4"/>
        <v>Met</v>
      </c>
      <c r="L80" s="7" t="str">
        <f t="shared" si="5"/>
        <v>May</v>
      </c>
    </row>
    <row r="81" spans="1:12" x14ac:dyDescent="0.3">
      <c r="A81" s="8" t="s">
        <v>207</v>
      </c>
      <c r="B81" s="9" t="s">
        <v>39</v>
      </c>
      <c r="C81" s="9" t="s">
        <v>96</v>
      </c>
      <c r="D81" s="9" t="s">
        <v>86</v>
      </c>
      <c r="E81" s="9" t="s">
        <v>208</v>
      </c>
      <c r="F81" s="9" t="s">
        <v>37</v>
      </c>
      <c r="G81" s="9" t="s">
        <v>45</v>
      </c>
      <c r="H81" s="10">
        <v>45336</v>
      </c>
      <c r="I81" s="10">
        <v>45336</v>
      </c>
      <c r="J81" s="5">
        <f t="shared" si="3"/>
        <v>0</v>
      </c>
      <c r="K81" s="5" t="str">
        <f t="shared" si="4"/>
        <v>Met</v>
      </c>
      <c r="L81" s="7" t="str">
        <f t="shared" si="5"/>
        <v>Feb</v>
      </c>
    </row>
    <row r="82" spans="1:12" x14ac:dyDescent="0.3">
      <c r="A82" s="4" t="s">
        <v>209</v>
      </c>
      <c r="B82" s="5" t="s">
        <v>27</v>
      </c>
      <c r="C82" s="5" t="s">
        <v>153</v>
      </c>
      <c r="D82" s="5" t="s">
        <v>66</v>
      </c>
      <c r="E82" s="5" t="s">
        <v>210</v>
      </c>
      <c r="F82" s="5" t="s">
        <v>17</v>
      </c>
      <c r="G82" s="5" t="s">
        <v>42</v>
      </c>
      <c r="H82" s="6">
        <v>45356</v>
      </c>
      <c r="I82" s="6">
        <v>45356</v>
      </c>
      <c r="J82" s="5">
        <f t="shared" si="3"/>
        <v>0</v>
      </c>
      <c r="K82" s="5" t="str">
        <f t="shared" si="4"/>
        <v>Met</v>
      </c>
      <c r="L82" s="7" t="str">
        <f t="shared" si="5"/>
        <v>Mar</v>
      </c>
    </row>
    <row r="83" spans="1:12" x14ac:dyDescent="0.3">
      <c r="A83" s="8" t="s">
        <v>211</v>
      </c>
      <c r="B83" s="9" t="s">
        <v>13</v>
      </c>
      <c r="C83" s="9" t="s">
        <v>14</v>
      </c>
      <c r="D83" s="9" t="s">
        <v>35</v>
      </c>
      <c r="E83" s="9" t="s">
        <v>212</v>
      </c>
      <c r="F83" s="9" t="s">
        <v>17</v>
      </c>
      <c r="G83" s="9" t="s">
        <v>31</v>
      </c>
      <c r="H83" s="10">
        <v>45409</v>
      </c>
      <c r="I83" s="10">
        <v>45409</v>
      </c>
      <c r="J83" s="5">
        <f t="shared" si="3"/>
        <v>0</v>
      </c>
      <c r="K83" s="5" t="str">
        <f t="shared" si="4"/>
        <v>Met</v>
      </c>
      <c r="L83" s="7" t="str">
        <f t="shared" si="5"/>
        <v>Apr</v>
      </c>
    </row>
    <row r="84" spans="1:12" x14ac:dyDescent="0.3">
      <c r="A84" s="4" t="s">
        <v>213</v>
      </c>
      <c r="B84" s="5" t="s">
        <v>33</v>
      </c>
      <c r="C84" s="5" t="s">
        <v>34</v>
      </c>
      <c r="D84" s="5" t="s">
        <v>148</v>
      </c>
      <c r="E84" s="5" t="s">
        <v>214</v>
      </c>
      <c r="F84" s="5" t="s">
        <v>37</v>
      </c>
      <c r="G84" s="5" t="s">
        <v>18</v>
      </c>
      <c r="H84" s="6">
        <v>45396</v>
      </c>
      <c r="I84" s="6">
        <v>45396</v>
      </c>
      <c r="J84" s="5">
        <f t="shared" si="3"/>
        <v>0</v>
      </c>
      <c r="K84" s="5" t="str">
        <f t="shared" si="4"/>
        <v>Met</v>
      </c>
      <c r="L84" s="7" t="str">
        <f t="shared" si="5"/>
        <v>Apr</v>
      </c>
    </row>
    <row r="85" spans="1:12" x14ac:dyDescent="0.3">
      <c r="A85" s="8" t="s">
        <v>215</v>
      </c>
      <c r="B85" s="9" t="s">
        <v>33</v>
      </c>
      <c r="C85" s="9" t="s">
        <v>34</v>
      </c>
      <c r="D85" s="9" t="s">
        <v>79</v>
      </c>
      <c r="E85" s="9" t="s">
        <v>216</v>
      </c>
      <c r="F85" s="9" t="s">
        <v>17</v>
      </c>
      <c r="G85" s="9" t="s">
        <v>45</v>
      </c>
      <c r="H85" s="10">
        <v>45339</v>
      </c>
      <c r="I85" s="10">
        <v>45339</v>
      </c>
      <c r="J85" s="5">
        <f t="shared" si="3"/>
        <v>0</v>
      </c>
      <c r="K85" s="5" t="str">
        <f t="shared" si="4"/>
        <v>Met</v>
      </c>
      <c r="L85" s="7" t="str">
        <f t="shared" si="5"/>
        <v>Feb</v>
      </c>
    </row>
    <row r="86" spans="1:12" x14ac:dyDescent="0.3">
      <c r="A86" s="4" t="s">
        <v>217</v>
      </c>
      <c r="B86" s="5" t="s">
        <v>27</v>
      </c>
      <c r="C86" s="5" t="s">
        <v>47</v>
      </c>
      <c r="D86" s="5" t="s">
        <v>66</v>
      </c>
      <c r="E86" s="5" t="s">
        <v>218</v>
      </c>
      <c r="F86" s="5" t="s">
        <v>17</v>
      </c>
      <c r="G86" s="5" t="s">
        <v>31</v>
      </c>
      <c r="H86" s="6">
        <v>45377</v>
      </c>
      <c r="I86" s="6">
        <v>45377</v>
      </c>
      <c r="J86" s="5">
        <f t="shared" si="3"/>
        <v>0</v>
      </c>
      <c r="K86" s="5" t="str">
        <f t="shared" si="4"/>
        <v>Met</v>
      </c>
      <c r="L86" s="7" t="str">
        <f t="shared" si="5"/>
        <v>Mar</v>
      </c>
    </row>
    <row r="87" spans="1:12" x14ac:dyDescent="0.3">
      <c r="A87" s="8" t="s">
        <v>219</v>
      </c>
      <c r="B87" s="9" t="s">
        <v>13</v>
      </c>
      <c r="C87" s="9" t="s">
        <v>61</v>
      </c>
      <c r="D87" s="9" t="s">
        <v>35</v>
      </c>
      <c r="E87" s="9" t="s">
        <v>220</v>
      </c>
      <c r="F87" s="9" t="s">
        <v>24</v>
      </c>
      <c r="G87" s="9" t="s">
        <v>18</v>
      </c>
      <c r="H87" s="10">
        <v>45438</v>
      </c>
      <c r="I87" s="10">
        <v>45438</v>
      </c>
      <c r="J87" s="5">
        <f t="shared" si="3"/>
        <v>0</v>
      </c>
      <c r="K87" s="5" t="str">
        <f t="shared" si="4"/>
        <v>Met</v>
      </c>
      <c r="L87" s="7" t="str">
        <f t="shared" si="5"/>
        <v>May</v>
      </c>
    </row>
    <row r="88" spans="1:12" x14ac:dyDescent="0.3">
      <c r="A88" s="4" t="s">
        <v>221</v>
      </c>
      <c r="B88" s="5" t="s">
        <v>27</v>
      </c>
      <c r="C88" s="5" t="s">
        <v>153</v>
      </c>
      <c r="D88" s="5" t="s">
        <v>35</v>
      </c>
      <c r="E88" s="5" t="s">
        <v>222</v>
      </c>
      <c r="F88" s="5" t="s">
        <v>24</v>
      </c>
      <c r="G88" s="5" t="s">
        <v>25</v>
      </c>
      <c r="H88" s="6">
        <v>45409</v>
      </c>
      <c r="I88" s="6">
        <v>45409</v>
      </c>
      <c r="J88" s="5">
        <f t="shared" si="3"/>
        <v>0</v>
      </c>
      <c r="K88" s="5" t="str">
        <f t="shared" si="4"/>
        <v>Met</v>
      </c>
      <c r="L88" s="7" t="str">
        <f t="shared" si="5"/>
        <v>Apr</v>
      </c>
    </row>
    <row r="89" spans="1:12" x14ac:dyDescent="0.3">
      <c r="A89" s="8" t="s">
        <v>223</v>
      </c>
      <c r="B89" s="9" t="s">
        <v>33</v>
      </c>
      <c r="C89" s="9" t="s">
        <v>69</v>
      </c>
      <c r="D89" s="9" t="s">
        <v>148</v>
      </c>
      <c r="E89" s="9" t="s">
        <v>224</v>
      </c>
      <c r="F89" s="9" t="s">
        <v>37</v>
      </c>
      <c r="G89" s="9" t="s">
        <v>45</v>
      </c>
      <c r="H89" s="10">
        <v>45421</v>
      </c>
      <c r="I89" s="10">
        <v>45421</v>
      </c>
      <c r="J89" s="5">
        <f t="shared" si="3"/>
        <v>0</v>
      </c>
      <c r="K89" s="5" t="str">
        <f t="shared" si="4"/>
        <v>Met</v>
      </c>
      <c r="L89" s="7" t="str">
        <f t="shared" si="5"/>
        <v>May</v>
      </c>
    </row>
    <row r="90" spans="1:12" x14ac:dyDescent="0.3">
      <c r="A90" s="4" t="s">
        <v>225</v>
      </c>
      <c r="B90" s="5" t="s">
        <v>13</v>
      </c>
      <c r="C90" s="5" t="s">
        <v>14</v>
      </c>
      <c r="D90" s="5" t="s">
        <v>22</v>
      </c>
      <c r="E90" s="5" t="s">
        <v>226</v>
      </c>
      <c r="F90" s="5" t="s">
        <v>24</v>
      </c>
      <c r="G90" s="5" t="s">
        <v>42</v>
      </c>
      <c r="H90" s="6">
        <v>45358</v>
      </c>
      <c r="I90" s="6">
        <v>45359</v>
      </c>
      <c r="J90" s="5">
        <f t="shared" si="3"/>
        <v>1</v>
      </c>
      <c r="K90" s="5" t="str">
        <f t="shared" si="4"/>
        <v>Not Met</v>
      </c>
      <c r="L90" s="7" t="str">
        <f t="shared" si="5"/>
        <v>Mar</v>
      </c>
    </row>
    <row r="91" spans="1:12" x14ac:dyDescent="0.3">
      <c r="A91" s="8" t="s">
        <v>227</v>
      </c>
      <c r="B91" s="9" t="s">
        <v>13</v>
      </c>
      <c r="C91" s="9" t="s">
        <v>61</v>
      </c>
      <c r="D91" s="9" t="s">
        <v>86</v>
      </c>
      <c r="E91" s="9" t="s">
        <v>228</v>
      </c>
      <c r="F91" s="9" t="s">
        <v>17</v>
      </c>
      <c r="G91" s="9" t="s">
        <v>42</v>
      </c>
      <c r="H91" s="10">
        <v>45401</v>
      </c>
      <c r="I91" s="10">
        <v>45401</v>
      </c>
      <c r="J91" s="5">
        <f t="shared" si="3"/>
        <v>0</v>
      </c>
      <c r="K91" s="5" t="str">
        <f t="shared" si="4"/>
        <v>Met</v>
      </c>
      <c r="L91" s="7" t="str">
        <f t="shared" si="5"/>
        <v>Apr</v>
      </c>
    </row>
    <row r="92" spans="1:12" x14ac:dyDescent="0.3">
      <c r="A92" s="4" t="s">
        <v>229</v>
      </c>
      <c r="B92" s="5" t="s">
        <v>39</v>
      </c>
      <c r="C92" s="5" t="s">
        <v>40</v>
      </c>
      <c r="D92" s="5" t="s">
        <v>148</v>
      </c>
      <c r="E92" s="5" t="s">
        <v>230</v>
      </c>
      <c r="F92" s="5" t="s">
        <v>24</v>
      </c>
      <c r="G92" s="5" t="s">
        <v>53</v>
      </c>
      <c r="H92" s="6">
        <v>45320</v>
      </c>
      <c r="I92" s="6">
        <v>45320</v>
      </c>
      <c r="J92" s="5">
        <f t="shared" si="3"/>
        <v>0</v>
      </c>
      <c r="K92" s="5" t="str">
        <f t="shared" si="4"/>
        <v>Met</v>
      </c>
      <c r="L92" s="7" t="str">
        <f t="shared" si="5"/>
        <v>Jan</v>
      </c>
    </row>
    <row r="93" spans="1:12" x14ac:dyDescent="0.3">
      <c r="A93" s="8" t="s">
        <v>231</v>
      </c>
      <c r="B93" s="9" t="s">
        <v>13</v>
      </c>
      <c r="C93" s="9" t="s">
        <v>14</v>
      </c>
      <c r="D93" s="9" t="s">
        <v>66</v>
      </c>
      <c r="E93" s="9" t="s">
        <v>232</v>
      </c>
      <c r="F93" s="9" t="s">
        <v>24</v>
      </c>
      <c r="G93" s="9" t="s">
        <v>45</v>
      </c>
      <c r="H93" s="10">
        <v>45366</v>
      </c>
      <c r="I93" s="10">
        <v>45366</v>
      </c>
      <c r="J93" s="5">
        <f t="shared" si="3"/>
        <v>0</v>
      </c>
      <c r="K93" s="5" t="str">
        <f t="shared" si="4"/>
        <v>Met</v>
      </c>
      <c r="L93" s="7" t="str">
        <f t="shared" si="5"/>
        <v>Mar</v>
      </c>
    </row>
    <row r="94" spans="1:12" x14ac:dyDescent="0.3">
      <c r="A94" s="4" t="s">
        <v>233</v>
      </c>
      <c r="B94" s="5" t="s">
        <v>27</v>
      </c>
      <c r="C94" s="5" t="s">
        <v>153</v>
      </c>
      <c r="D94" s="5" t="s">
        <v>35</v>
      </c>
      <c r="E94" s="5" t="s">
        <v>234</v>
      </c>
      <c r="F94" s="5" t="s">
        <v>37</v>
      </c>
      <c r="G94" s="5" t="s">
        <v>53</v>
      </c>
      <c r="H94" s="6">
        <v>45372</v>
      </c>
      <c r="I94" s="6">
        <v>45372</v>
      </c>
      <c r="J94" s="5">
        <f t="shared" si="3"/>
        <v>0</v>
      </c>
      <c r="K94" s="5" t="str">
        <f t="shared" si="4"/>
        <v>Met</v>
      </c>
      <c r="L94" s="7" t="str">
        <f t="shared" si="5"/>
        <v>Mar</v>
      </c>
    </row>
    <row r="95" spans="1:12" x14ac:dyDescent="0.3">
      <c r="A95" s="8" t="s">
        <v>235</v>
      </c>
      <c r="B95" s="9" t="s">
        <v>20</v>
      </c>
      <c r="C95" s="9" t="s">
        <v>21</v>
      </c>
      <c r="D95" s="9" t="s">
        <v>86</v>
      </c>
      <c r="E95" s="9" t="s">
        <v>236</v>
      </c>
      <c r="F95" s="9" t="s">
        <v>37</v>
      </c>
      <c r="G95" s="9" t="s">
        <v>25</v>
      </c>
      <c r="H95" s="10">
        <v>45414</v>
      </c>
      <c r="I95" s="10">
        <v>45414</v>
      </c>
      <c r="J95" s="5">
        <f t="shared" si="3"/>
        <v>0</v>
      </c>
      <c r="K95" s="5" t="str">
        <f t="shared" si="4"/>
        <v>Met</v>
      </c>
      <c r="L95" s="7" t="str">
        <f t="shared" si="5"/>
        <v>May</v>
      </c>
    </row>
    <row r="96" spans="1:12" x14ac:dyDescent="0.3">
      <c r="A96" s="4" t="s">
        <v>237</v>
      </c>
      <c r="B96" s="5" t="s">
        <v>33</v>
      </c>
      <c r="C96" s="5" t="s">
        <v>55</v>
      </c>
      <c r="D96" s="5" t="s">
        <v>79</v>
      </c>
      <c r="E96" s="5" t="s">
        <v>238</v>
      </c>
      <c r="F96" s="5" t="s">
        <v>24</v>
      </c>
      <c r="G96" s="5" t="s">
        <v>31</v>
      </c>
      <c r="H96" s="6">
        <v>45301</v>
      </c>
      <c r="I96" s="6">
        <v>45301</v>
      </c>
      <c r="J96" s="5">
        <f t="shared" si="3"/>
        <v>0</v>
      </c>
      <c r="K96" s="5" t="str">
        <f t="shared" si="4"/>
        <v>Met</v>
      </c>
      <c r="L96" s="7" t="str">
        <f t="shared" si="5"/>
        <v>Jan</v>
      </c>
    </row>
    <row r="97" spans="1:12" x14ac:dyDescent="0.3">
      <c r="A97" s="8" t="s">
        <v>239</v>
      </c>
      <c r="B97" s="9" t="s">
        <v>13</v>
      </c>
      <c r="C97" s="9" t="s">
        <v>14</v>
      </c>
      <c r="D97" s="9" t="s">
        <v>22</v>
      </c>
      <c r="E97" s="9" t="s">
        <v>240</v>
      </c>
      <c r="F97" s="9" t="s">
        <v>17</v>
      </c>
      <c r="G97" s="9" t="s">
        <v>18</v>
      </c>
      <c r="H97" s="10">
        <v>45399</v>
      </c>
      <c r="I97" s="10">
        <v>45399</v>
      </c>
      <c r="J97" s="5">
        <f t="shared" si="3"/>
        <v>0</v>
      </c>
      <c r="K97" s="5" t="str">
        <f t="shared" si="4"/>
        <v>Met</v>
      </c>
      <c r="L97" s="7" t="str">
        <f t="shared" si="5"/>
        <v>Apr</v>
      </c>
    </row>
    <row r="98" spans="1:12" x14ac:dyDescent="0.3">
      <c r="A98" s="4" t="s">
        <v>241</v>
      </c>
      <c r="B98" s="5" t="s">
        <v>20</v>
      </c>
      <c r="C98" s="5" t="s">
        <v>21</v>
      </c>
      <c r="D98" s="5" t="s">
        <v>66</v>
      </c>
      <c r="E98" s="5" t="s">
        <v>242</v>
      </c>
      <c r="F98" s="5" t="s">
        <v>24</v>
      </c>
      <c r="G98" s="5" t="s">
        <v>45</v>
      </c>
      <c r="H98" s="6">
        <v>45373</v>
      </c>
      <c r="I98" s="6">
        <v>45373</v>
      </c>
      <c r="J98" s="5">
        <f t="shared" si="3"/>
        <v>0</v>
      </c>
      <c r="K98" s="5" t="str">
        <f t="shared" si="4"/>
        <v>Met</v>
      </c>
      <c r="L98" s="7" t="str">
        <f t="shared" si="5"/>
        <v>Mar</v>
      </c>
    </row>
    <row r="99" spans="1:12" x14ac:dyDescent="0.3">
      <c r="A99" s="8" t="s">
        <v>243</v>
      </c>
      <c r="B99" s="9" t="s">
        <v>27</v>
      </c>
      <c r="C99" s="9" t="s">
        <v>28</v>
      </c>
      <c r="D99" s="9" t="s">
        <v>86</v>
      </c>
      <c r="E99" s="9" t="s">
        <v>244</v>
      </c>
      <c r="F99" s="9" t="s">
        <v>37</v>
      </c>
      <c r="G99" s="9" t="s">
        <v>18</v>
      </c>
      <c r="H99" s="10">
        <v>45356</v>
      </c>
      <c r="I99" s="10">
        <v>45356</v>
      </c>
      <c r="J99" s="5">
        <f t="shared" si="3"/>
        <v>0</v>
      </c>
      <c r="K99" s="5" t="str">
        <f t="shared" si="4"/>
        <v>Met</v>
      </c>
      <c r="L99" s="7" t="str">
        <f t="shared" si="5"/>
        <v>Mar</v>
      </c>
    </row>
    <row r="100" spans="1:12" x14ac:dyDescent="0.3">
      <c r="A100" s="4" t="s">
        <v>245</v>
      </c>
      <c r="B100" s="5" t="s">
        <v>20</v>
      </c>
      <c r="C100" s="5" t="s">
        <v>93</v>
      </c>
      <c r="D100" s="5" t="s">
        <v>66</v>
      </c>
      <c r="E100" s="5" t="s">
        <v>246</v>
      </c>
      <c r="F100" s="5" t="s">
        <v>24</v>
      </c>
      <c r="G100" s="5" t="s">
        <v>31</v>
      </c>
      <c r="H100" s="6">
        <v>45321</v>
      </c>
      <c r="I100" s="6">
        <v>45321</v>
      </c>
      <c r="J100" s="5">
        <f t="shared" si="3"/>
        <v>0</v>
      </c>
      <c r="K100" s="5" t="str">
        <f t="shared" si="4"/>
        <v>Met</v>
      </c>
      <c r="L100" s="7" t="str">
        <f t="shared" si="5"/>
        <v>Jan</v>
      </c>
    </row>
    <row r="101" spans="1:12" x14ac:dyDescent="0.3">
      <c r="A101" s="8" t="s">
        <v>247</v>
      </c>
      <c r="B101" s="9" t="s">
        <v>39</v>
      </c>
      <c r="C101" s="9" t="s">
        <v>96</v>
      </c>
      <c r="D101" s="9" t="s">
        <v>35</v>
      </c>
      <c r="E101" s="9" t="s">
        <v>248</v>
      </c>
      <c r="F101" s="9" t="s">
        <v>37</v>
      </c>
      <c r="G101" s="9" t="s">
        <v>53</v>
      </c>
      <c r="H101" s="10">
        <v>45303</v>
      </c>
      <c r="I101" s="10">
        <v>45303</v>
      </c>
      <c r="J101" s="5">
        <f t="shared" si="3"/>
        <v>0</v>
      </c>
      <c r="K101" s="5" t="str">
        <f t="shared" si="4"/>
        <v>Met</v>
      </c>
      <c r="L101" s="7" t="str">
        <f t="shared" si="5"/>
        <v>Jan</v>
      </c>
    </row>
    <row r="102" spans="1:12" x14ac:dyDescent="0.3">
      <c r="A102" s="4" t="s">
        <v>249</v>
      </c>
      <c r="B102" s="5" t="s">
        <v>39</v>
      </c>
      <c r="C102" s="5" t="s">
        <v>99</v>
      </c>
      <c r="D102" s="5" t="s">
        <v>86</v>
      </c>
      <c r="E102" s="5" t="s">
        <v>250</v>
      </c>
      <c r="F102" s="5" t="s">
        <v>24</v>
      </c>
      <c r="G102" s="5" t="s">
        <v>45</v>
      </c>
      <c r="H102" s="6">
        <v>45433</v>
      </c>
      <c r="I102" s="6">
        <v>45433</v>
      </c>
      <c r="J102" s="5">
        <f t="shared" si="3"/>
        <v>0</v>
      </c>
      <c r="K102" s="5" t="str">
        <f t="shared" si="4"/>
        <v>Met</v>
      </c>
      <c r="L102" s="7" t="str">
        <f t="shared" si="5"/>
        <v>May</v>
      </c>
    </row>
    <row r="103" spans="1:12" x14ac:dyDescent="0.3">
      <c r="A103" s="8" t="s">
        <v>251</v>
      </c>
      <c r="B103" s="9" t="s">
        <v>27</v>
      </c>
      <c r="C103" s="9" t="s">
        <v>47</v>
      </c>
      <c r="D103" s="9" t="s">
        <v>86</v>
      </c>
      <c r="E103" s="9" t="s">
        <v>252</v>
      </c>
      <c r="F103" s="9" t="s">
        <v>37</v>
      </c>
      <c r="G103" s="9" t="s">
        <v>25</v>
      </c>
      <c r="H103" s="10">
        <v>45415</v>
      </c>
      <c r="I103" s="10">
        <v>45415</v>
      </c>
      <c r="J103" s="5">
        <f t="shared" si="3"/>
        <v>0</v>
      </c>
      <c r="K103" s="5" t="str">
        <f t="shared" si="4"/>
        <v>Met</v>
      </c>
      <c r="L103" s="7" t="str">
        <f t="shared" si="5"/>
        <v>May</v>
      </c>
    </row>
    <row r="104" spans="1:12" x14ac:dyDescent="0.3">
      <c r="A104" s="4" t="s">
        <v>253</v>
      </c>
      <c r="B104" s="5" t="s">
        <v>39</v>
      </c>
      <c r="C104" s="5" t="s">
        <v>99</v>
      </c>
      <c r="D104" s="5" t="s">
        <v>29</v>
      </c>
      <c r="E104" s="5" t="s">
        <v>254</v>
      </c>
      <c r="F104" s="5" t="s">
        <v>37</v>
      </c>
      <c r="G104" s="5" t="s">
        <v>53</v>
      </c>
      <c r="H104" s="6">
        <v>45421</v>
      </c>
      <c r="I104" s="6">
        <v>45421</v>
      </c>
      <c r="J104" s="5">
        <f t="shared" si="3"/>
        <v>0</v>
      </c>
      <c r="K104" s="5" t="str">
        <f t="shared" si="4"/>
        <v>Met</v>
      </c>
      <c r="L104" s="7" t="str">
        <f t="shared" si="5"/>
        <v>May</v>
      </c>
    </row>
    <row r="105" spans="1:12" x14ac:dyDescent="0.3">
      <c r="A105" s="8" t="s">
        <v>255</v>
      </c>
      <c r="B105" s="9" t="s">
        <v>39</v>
      </c>
      <c r="C105" s="9" t="s">
        <v>40</v>
      </c>
      <c r="D105" s="9" t="s">
        <v>148</v>
      </c>
      <c r="E105" s="9" t="s">
        <v>256</v>
      </c>
      <c r="F105" s="9" t="s">
        <v>24</v>
      </c>
      <c r="G105" s="9" t="s">
        <v>53</v>
      </c>
      <c r="H105" s="10">
        <v>45430</v>
      </c>
      <c r="I105" s="10">
        <v>45430</v>
      </c>
      <c r="J105" s="5">
        <f t="shared" si="3"/>
        <v>0</v>
      </c>
      <c r="K105" s="5" t="str">
        <f t="shared" si="4"/>
        <v>Met</v>
      </c>
      <c r="L105" s="7" t="str">
        <f t="shared" si="5"/>
        <v>May</v>
      </c>
    </row>
    <row r="106" spans="1:12" x14ac:dyDescent="0.3">
      <c r="A106" s="4" t="s">
        <v>257</v>
      </c>
      <c r="B106" s="5" t="s">
        <v>27</v>
      </c>
      <c r="C106" s="5" t="s">
        <v>47</v>
      </c>
      <c r="D106" s="5" t="s">
        <v>148</v>
      </c>
      <c r="E106" s="5" t="s">
        <v>258</v>
      </c>
      <c r="F106" s="5" t="s">
        <v>17</v>
      </c>
      <c r="G106" s="5" t="s">
        <v>42</v>
      </c>
      <c r="H106" s="6">
        <v>45412</v>
      </c>
      <c r="I106" s="6">
        <v>45412</v>
      </c>
      <c r="J106" s="5">
        <f t="shared" si="3"/>
        <v>0</v>
      </c>
      <c r="K106" s="5" t="str">
        <f t="shared" si="4"/>
        <v>Met</v>
      </c>
      <c r="L106" s="7" t="str">
        <f t="shared" si="5"/>
        <v>Apr</v>
      </c>
    </row>
    <row r="107" spans="1:12" x14ac:dyDescent="0.3">
      <c r="A107" s="8" t="s">
        <v>259</v>
      </c>
      <c r="B107" s="9" t="s">
        <v>39</v>
      </c>
      <c r="C107" s="9" t="s">
        <v>99</v>
      </c>
      <c r="D107" s="9" t="s">
        <v>35</v>
      </c>
      <c r="E107" s="9" t="s">
        <v>260</v>
      </c>
      <c r="F107" s="9" t="s">
        <v>24</v>
      </c>
      <c r="G107" s="9" t="s">
        <v>31</v>
      </c>
      <c r="H107" s="10">
        <v>45391</v>
      </c>
      <c r="I107" s="10">
        <v>45391</v>
      </c>
      <c r="J107" s="5">
        <f t="shared" si="3"/>
        <v>0</v>
      </c>
      <c r="K107" s="5" t="str">
        <f t="shared" si="4"/>
        <v>Met</v>
      </c>
      <c r="L107" s="7" t="str">
        <f t="shared" si="5"/>
        <v>Apr</v>
      </c>
    </row>
    <row r="108" spans="1:12" x14ac:dyDescent="0.3">
      <c r="A108" s="4" t="s">
        <v>261</v>
      </c>
      <c r="B108" s="5" t="s">
        <v>33</v>
      </c>
      <c r="C108" s="5" t="s">
        <v>69</v>
      </c>
      <c r="D108" s="5" t="s">
        <v>22</v>
      </c>
      <c r="E108" s="5" t="s">
        <v>262</v>
      </c>
      <c r="F108" s="5" t="s">
        <v>37</v>
      </c>
      <c r="G108" s="5" t="s">
        <v>42</v>
      </c>
      <c r="H108" s="6">
        <v>45408</v>
      </c>
      <c r="I108" s="6">
        <v>45408</v>
      </c>
      <c r="J108" s="5">
        <f t="shared" si="3"/>
        <v>0</v>
      </c>
      <c r="K108" s="5" t="str">
        <f t="shared" si="4"/>
        <v>Met</v>
      </c>
      <c r="L108" s="7" t="str">
        <f t="shared" si="5"/>
        <v>Apr</v>
      </c>
    </row>
    <row r="109" spans="1:12" x14ac:dyDescent="0.3">
      <c r="A109" s="8" t="s">
        <v>263</v>
      </c>
      <c r="B109" s="9" t="s">
        <v>27</v>
      </c>
      <c r="C109" s="9" t="s">
        <v>47</v>
      </c>
      <c r="D109" s="9" t="s">
        <v>29</v>
      </c>
      <c r="E109" s="9" t="s">
        <v>264</v>
      </c>
      <c r="F109" s="9" t="s">
        <v>37</v>
      </c>
      <c r="G109" s="9" t="s">
        <v>25</v>
      </c>
      <c r="H109" s="10">
        <v>45356</v>
      </c>
      <c r="I109" s="10">
        <v>45357</v>
      </c>
      <c r="J109" s="5">
        <f t="shared" si="3"/>
        <v>1</v>
      </c>
      <c r="K109" s="5" t="str">
        <f t="shared" si="4"/>
        <v>Not Met</v>
      </c>
      <c r="L109" s="7" t="str">
        <f t="shared" si="5"/>
        <v>Mar</v>
      </c>
    </row>
    <row r="110" spans="1:12" x14ac:dyDescent="0.3">
      <c r="A110" s="4" t="s">
        <v>265</v>
      </c>
      <c r="B110" s="5" t="s">
        <v>27</v>
      </c>
      <c r="C110" s="5" t="s">
        <v>28</v>
      </c>
      <c r="D110" s="5" t="s">
        <v>35</v>
      </c>
      <c r="E110" s="5" t="s">
        <v>266</v>
      </c>
      <c r="F110" s="5" t="s">
        <v>37</v>
      </c>
      <c r="G110" s="5" t="s">
        <v>31</v>
      </c>
      <c r="H110" s="6">
        <v>45430</v>
      </c>
      <c r="I110" s="6">
        <v>45430</v>
      </c>
      <c r="J110" s="5">
        <f t="shared" si="3"/>
        <v>0</v>
      </c>
      <c r="K110" s="5" t="str">
        <f t="shared" si="4"/>
        <v>Met</v>
      </c>
      <c r="L110" s="7" t="str">
        <f t="shared" si="5"/>
        <v>May</v>
      </c>
    </row>
    <row r="111" spans="1:12" x14ac:dyDescent="0.3">
      <c r="A111" s="8" t="s">
        <v>267</v>
      </c>
      <c r="B111" s="9" t="s">
        <v>13</v>
      </c>
      <c r="C111" s="9" t="s">
        <v>14</v>
      </c>
      <c r="D111" s="9" t="s">
        <v>79</v>
      </c>
      <c r="E111" s="9" t="s">
        <v>268</v>
      </c>
      <c r="F111" s="9" t="s">
        <v>17</v>
      </c>
      <c r="G111" s="9" t="s">
        <v>53</v>
      </c>
      <c r="H111" s="10">
        <v>45360</v>
      </c>
      <c r="I111" s="10">
        <v>45360</v>
      </c>
      <c r="J111" s="5">
        <f t="shared" si="3"/>
        <v>0</v>
      </c>
      <c r="K111" s="5" t="str">
        <f t="shared" si="4"/>
        <v>Met</v>
      </c>
      <c r="L111" s="7" t="str">
        <f t="shared" si="5"/>
        <v>Mar</v>
      </c>
    </row>
    <row r="112" spans="1:12" x14ac:dyDescent="0.3">
      <c r="A112" s="4" t="s">
        <v>269</v>
      </c>
      <c r="B112" s="5" t="s">
        <v>39</v>
      </c>
      <c r="C112" s="5" t="s">
        <v>96</v>
      </c>
      <c r="D112" s="5" t="s">
        <v>15</v>
      </c>
      <c r="E112" s="5" t="s">
        <v>270</v>
      </c>
      <c r="F112" s="5" t="s">
        <v>37</v>
      </c>
      <c r="G112" s="5" t="s">
        <v>42</v>
      </c>
      <c r="H112" s="6">
        <v>45318</v>
      </c>
      <c r="I112" s="6">
        <v>45318</v>
      </c>
      <c r="J112" s="5">
        <f t="shared" si="3"/>
        <v>0</v>
      </c>
      <c r="K112" s="5" t="str">
        <f t="shared" si="4"/>
        <v>Met</v>
      </c>
      <c r="L112" s="7" t="str">
        <f t="shared" si="5"/>
        <v>Jan</v>
      </c>
    </row>
    <row r="113" spans="1:12" x14ac:dyDescent="0.3">
      <c r="A113" s="8" t="s">
        <v>271</v>
      </c>
      <c r="B113" s="9" t="s">
        <v>27</v>
      </c>
      <c r="C113" s="9" t="s">
        <v>153</v>
      </c>
      <c r="D113" s="9" t="s">
        <v>35</v>
      </c>
      <c r="E113" s="9" t="s">
        <v>272</v>
      </c>
      <c r="F113" s="9" t="s">
        <v>24</v>
      </c>
      <c r="G113" s="9" t="s">
        <v>45</v>
      </c>
      <c r="H113" s="10">
        <v>45313</v>
      </c>
      <c r="I113" s="10">
        <v>45313</v>
      </c>
      <c r="J113" s="5">
        <f t="shared" si="3"/>
        <v>0</v>
      </c>
      <c r="K113" s="5" t="str">
        <f t="shared" si="4"/>
        <v>Met</v>
      </c>
      <c r="L113" s="7" t="str">
        <f t="shared" si="5"/>
        <v>Jan</v>
      </c>
    </row>
    <row r="114" spans="1:12" x14ac:dyDescent="0.3">
      <c r="A114" s="4" t="s">
        <v>273</v>
      </c>
      <c r="B114" s="5" t="s">
        <v>20</v>
      </c>
      <c r="C114" s="5" t="s">
        <v>93</v>
      </c>
      <c r="D114" s="5" t="s">
        <v>29</v>
      </c>
      <c r="E114" s="5" t="s">
        <v>274</v>
      </c>
      <c r="F114" s="5" t="s">
        <v>24</v>
      </c>
      <c r="G114" s="5" t="s">
        <v>45</v>
      </c>
      <c r="H114" s="6">
        <v>45378</v>
      </c>
      <c r="I114" s="6">
        <v>45378</v>
      </c>
      <c r="J114" s="5">
        <f t="shared" si="3"/>
        <v>0</v>
      </c>
      <c r="K114" s="5" t="str">
        <f t="shared" si="4"/>
        <v>Met</v>
      </c>
      <c r="L114" s="7" t="str">
        <f t="shared" si="5"/>
        <v>Mar</v>
      </c>
    </row>
    <row r="115" spans="1:12" x14ac:dyDescent="0.3">
      <c r="A115" s="8" t="s">
        <v>275</v>
      </c>
      <c r="B115" s="9" t="s">
        <v>33</v>
      </c>
      <c r="C115" s="9" t="s">
        <v>34</v>
      </c>
      <c r="D115" s="9" t="s">
        <v>35</v>
      </c>
      <c r="E115" s="9" t="s">
        <v>276</v>
      </c>
      <c r="F115" s="9" t="s">
        <v>17</v>
      </c>
      <c r="G115" s="9" t="s">
        <v>25</v>
      </c>
      <c r="H115" s="10">
        <v>45365</v>
      </c>
      <c r="I115" s="10">
        <v>45365</v>
      </c>
      <c r="J115" s="5">
        <f t="shared" si="3"/>
        <v>0</v>
      </c>
      <c r="K115" s="5" t="str">
        <f t="shared" si="4"/>
        <v>Met</v>
      </c>
      <c r="L115" s="7" t="str">
        <f t="shared" si="5"/>
        <v>Mar</v>
      </c>
    </row>
    <row r="116" spans="1:12" x14ac:dyDescent="0.3">
      <c r="A116" s="4" t="s">
        <v>277</v>
      </c>
      <c r="B116" s="5" t="s">
        <v>13</v>
      </c>
      <c r="C116" s="5" t="s">
        <v>58</v>
      </c>
      <c r="D116" s="5" t="s">
        <v>66</v>
      </c>
      <c r="E116" s="5" t="s">
        <v>278</v>
      </c>
      <c r="F116" s="5" t="s">
        <v>17</v>
      </c>
      <c r="G116" s="5" t="s">
        <v>45</v>
      </c>
      <c r="H116" s="6">
        <v>45393</v>
      </c>
      <c r="I116" s="6">
        <v>45393</v>
      </c>
      <c r="J116" s="5">
        <f t="shared" si="3"/>
        <v>0</v>
      </c>
      <c r="K116" s="5" t="str">
        <f t="shared" si="4"/>
        <v>Met</v>
      </c>
      <c r="L116" s="7" t="str">
        <f t="shared" si="5"/>
        <v>Apr</v>
      </c>
    </row>
    <row r="117" spans="1:12" x14ac:dyDescent="0.3">
      <c r="A117" s="8" t="s">
        <v>279</v>
      </c>
      <c r="B117" s="9" t="s">
        <v>27</v>
      </c>
      <c r="C117" s="9" t="s">
        <v>28</v>
      </c>
      <c r="D117" s="9" t="s">
        <v>66</v>
      </c>
      <c r="E117" s="9" t="s">
        <v>280</v>
      </c>
      <c r="F117" s="9" t="s">
        <v>24</v>
      </c>
      <c r="G117" s="9" t="s">
        <v>25</v>
      </c>
      <c r="H117" s="10">
        <v>45432</v>
      </c>
      <c r="I117" s="10">
        <v>45432</v>
      </c>
      <c r="J117" s="5">
        <f t="shared" si="3"/>
        <v>0</v>
      </c>
      <c r="K117" s="5" t="str">
        <f t="shared" si="4"/>
        <v>Met</v>
      </c>
      <c r="L117" s="7" t="str">
        <f t="shared" si="5"/>
        <v>May</v>
      </c>
    </row>
    <row r="118" spans="1:12" x14ac:dyDescent="0.3">
      <c r="A118" s="4" t="s">
        <v>281</v>
      </c>
      <c r="B118" s="5" t="s">
        <v>27</v>
      </c>
      <c r="C118" s="5" t="s">
        <v>153</v>
      </c>
      <c r="D118" s="5" t="s">
        <v>79</v>
      </c>
      <c r="E118" s="5" t="s">
        <v>282</v>
      </c>
      <c r="F118" s="5" t="s">
        <v>37</v>
      </c>
      <c r="G118" s="5" t="s">
        <v>53</v>
      </c>
      <c r="H118" s="6">
        <v>45296</v>
      </c>
      <c r="I118" s="6">
        <v>45296</v>
      </c>
      <c r="J118" s="5">
        <f t="shared" si="3"/>
        <v>0</v>
      </c>
      <c r="K118" s="5" t="str">
        <f t="shared" si="4"/>
        <v>Met</v>
      </c>
      <c r="L118" s="7" t="str">
        <f t="shared" si="5"/>
        <v>Jan</v>
      </c>
    </row>
    <row r="119" spans="1:12" x14ac:dyDescent="0.3">
      <c r="A119" s="8" t="s">
        <v>283</v>
      </c>
      <c r="B119" s="9" t="s">
        <v>20</v>
      </c>
      <c r="C119" s="9" t="s">
        <v>76</v>
      </c>
      <c r="D119" s="9" t="s">
        <v>148</v>
      </c>
      <c r="E119" s="9" t="s">
        <v>284</v>
      </c>
      <c r="F119" s="9" t="s">
        <v>37</v>
      </c>
      <c r="G119" s="9" t="s">
        <v>53</v>
      </c>
      <c r="H119" s="10">
        <v>45386</v>
      </c>
      <c r="I119" s="10">
        <v>45386</v>
      </c>
      <c r="J119" s="5">
        <f t="shared" si="3"/>
        <v>0</v>
      </c>
      <c r="K119" s="5" t="str">
        <f t="shared" si="4"/>
        <v>Met</v>
      </c>
      <c r="L119" s="7" t="str">
        <f t="shared" si="5"/>
        <v>Apr</v>
      </c>
    </row>
    <row r="120" spans="1:12" x14ac:dyDescent="0.3">
      <c r="A120" s="4" t="s">
        <v>285</v>
      </c>
      <c r="B120" s="5" t="s">
        <v>39</v>
      </c>
      <c r="C120" s="5" t="s">
        <v>99</v>
      </c>
      <c r="D120" s="5" t="s">
        <v>79</v>
      </c>
      <c r="E120" s="5" t="s">
        <v>286</v>
      </c>
      <c r="F120" s="5" t="s">
        <v>24</v>
      </c>
      <c r="G120" s="5" t="s">
        <v>18</v>
      </c>
      <c r="H120" s="6">
        <v>45406</v>
      </c>
      <c r="I120" s="6">
        <v>45406</v>
      </c>
      <c r="J120" s="5">
        <f t="shared" si="3"/>
        <v>0</v>
      </c>
      <c r="K120" s="5" t="str">
        <f t="shared" si="4"/>
        <v>Met</v>
      </c>
      <c r="L120" s="7" t="str">
        <f t="shared" si="5"/>
        <v>Apr</v>
      </c>
    </row>
    <row r="121" spans="1:12" x14ac:dyDescent="0.3">
      <c r="A121" s="8" t="s">
        <v>287</v>
      </c>
      <c r="B121" s="9" t="s">
        <v>20</v>
      </c>
      <c r="C121" s="9" t="s">
        <v>21</v>
      </c>
      <c r="D121" s="9" t="s">
        <v>66</v>
      </c>
      <c r="E121" s="9" t="s">
        <v>288</v>
      </c>
      <c r="F121" s="9" t="s">
        <v>17</v>
      </c>
      <c r="G121" s="9" t="s">
        <v>53</v>
      </c>
      <c r="H121" s="10">
        <v>45338</v>
      </c>
      <c r="I121" s="10">
        <v>45338</v>
      </c>
      <c r="J121" s="5">
        <f t="shared" si="3"/>
        <v>0</v>
      </c>
      <c r="K121" s="5" t="str">
        <f t="shared" si="4"/>
        <v>Met</v>
      </c>
      <c r="L121" s="7" t="str">
        <f t="shared" si="5"/>
        <v>Feb</v>
      </c>
    </row>
    <row r="122" spans="1:12" x14ac:dyDescent="0.3">
      <c r="A122" s="4" t="s">
        <v>289</v>
      </c>
      <c r="B122" s="5" t="s">
        <v>13</v>
      </c>
      <c r="C122" s="5" t="s">
        <v>14</v>
      </c>
      <c r="D122" s="5" t="s">
        <v>22</v>
      </c>
      <c r="E122" s="5" t="s">
        <v>290</v>
      </c>
      <c r="F122" s="5" t="s">
        <v>24</v>
      </c>
      <c r="G122" s="5" t="s">
        <v>25</v>
      </c>
      <c r="H122" s="6">
        <v>45403</v>
      </c>
      <c r="I122" s="6">
        <v>45403</v>
      </c>
      <c r="J122" s="5">
        <f t="shared" si="3"/>
        <v>0</v>
      </c>
      <c r="K122" s="5" t="str">
        <f t="shared" si="4"/>
        <v>Met</v>
      </c>
      <c r="L122" s="7" t="str">
        <f t="shared" si="5"/>
        <v>Apr</v>
      </c>
    </row>
    <row r="123" spans="1:12" x14ac:dyDescent="0.3">
      <c r="A123" s="8" t="s">
        <v>291</v>
      </c>
      <c r="B123" s="9" t="s">
        <v>20</v>
      </c>
      <c r="C123" s="9" t="s">
        <v>76</v>
      </c>
      <c r="D123" s="9" t="s">
        <v>22</v>
      </c>
      <c r="E123" s="9" t="s">
        <v>292</v>
      </c>
      <c r="F123" s="9" t="s">
        <v>24</v>
      </c>
      <c r="G123" s="9" t="s">
        <v>42</v>
      </c>
      <c r="H123" s="10">
        <v>45450</v>
      </c>
      <c r="I123" s="10">
        <v>45450</v>
      </c>
      <c r="J123" s="5">
        <f t="shared" si="3"/>
        <v>0</v>
      </c>
      <c r="K123" s="5" t="str">
        <f t="shared" si="4"/>
        <v>Met</v>
      </c>
      <c r="L123" s="7" t="str">
        <f t="shared" si="5"/>
        <v>Jun</v>
      </c>
    </row>
    <row r="124" spans="1:12" x14ac:dyDescent="0.3">
      <c r="A124" s="4" t="s">
        <v>293</v>
      </c>
      <c r="B124" s="5" t="s">
        <v>33</v>
      </c>
      <c r="C124" s="5" t="s">
        <v>34</v>
      </c>
      <c r="D124" s="5" t="s">
        <v>79</v>
      </c>
      <c r="E124" s="5" t="s">
        <v>294</v>
      </c>
      <c r="F124" s="5" t="s">
        <v>37</v>
      </c>
      <c r="G124" s="5" t="s">
        <v>53</v>
      </c>
      <c r="H124" s="6">
        <v>45299</v>
      </c>
      <c r="I124" s="6">
        <v>45299</v>
      </c>
      <c r="J124" s="5">
        <f t="shared" si="3"/>
        <v>0</v>
      </c>
      <c r="K124" s="5" t="str">
        <f t="shared" si="4"/>
        <v>Met</v>
      </c>
      <c r="L124" s="7" t="str">
        <f t="shared" si="5"/>
        <v>Jan</v>
      </c>
    </row>
    <row r="125" spans="1:12" x14ac:dyDescent="0.3">
      <c r="A125" s="8" t="s">
        <v>295</v>
      </c>
      <c r="B125" s="9" t="s">
        <v>33</v>
      </c>
      <c r="C125" s="9" t="s">
        <v>55</v>
      </c>
      <c r="D125" s="9" t="s">
        <v>148</v>
      </c>
      <c r="E125" s="9" t="s">
        <v>296</v>
      </c>
      <c r="F125" s="9" t="s">
        <v>17</v>
      </c>
      <c r="G125" s="9" t="s">
        <v>53</v>
      </c>
      <c r="H125" s="10">
        <v>45432</v>
      </c>
      <c r="I125" s="10">
        <v>45432</v>
      </c>
      <c r="J125" s="5">
        <f t="shared" si="3"/>
        <v>0</v>
      </c>
      <c r="K125" s="5" t="str">
        <f t="shared" si="4"/>
        <v>Met</v>
      </c>
      <c r="L125" s="7" t="str">
        <f t="shared" si="5"/>
        <v>May</v>
      </c>
    </row>
    <row r="126" spans="1:12" x14ac:dyDescent="0.3">
      <c r="A126" s="4" t="s">
        <v>297</v>
      </c>
      <c r="B126" s="5" t="s">
        <v>27</v>
      </c>
      <c r="C126" s="5" t="s">
        <v>28</v>
      </c>
      <c r="D126" s="5" t="s">
        <v>86</v>
      </c>
      <c r="E126" s="5" t="s">
        <v>298</v>
      </c>
      <c r="F126" s="5" t="s">
        <v>24</v>
      </c>
      <c r="G126" s="5" t="s">
        <v>18</v>
      </c>
      <c r="H126" s="6">
        <v>45405</v>
      </c>
      <c r="I126" s="6">
        <v>45405</v>
      </c>
      <c r="J126" s="5">
        <f t="shared" si="3"/>
        <v>0</v>
      </c>
      <c r="K126" s="5" t="str">
        <f t="shared" si="4"/>
        <v>Met</v>
      </c>
      <c r="L126" s="7" t="str">
        <f t="shared" si="5"/>
        <v>Apr</v>
      </c>
    </row>
    <row r="127" spans="1:12" x14ac:dyDescent="0.3">
      <c r="A127" s="8" t="s">
        <v>299</v>
      </c>
      <c r="B127" s="9" t="s">
        <v>39</v>
      </c>
      <c r="C127" s="9" t="s">
        <v>40</v>
      </c>
      <c r="D127" s="9" t="s">
        <v>15</v>
      </c>
      <c r="E127" s="9" t="s">
        <v>300</v>
      </c>
      <c r="F127" s="9" t="s">
        <v>24</v>
      </c>
      <c r="G127" s="9" t="s">
        <v>42</v>
      </c>
      <c r="H127" s="10">
        <v>45330</v>
      </c>
      <c r="I127" s="10">
        <v>45330</v>
      </c>
      <c r="J127" s="5">
        <f t="shared" si="3"/>
        <v>0</v>
      </c>
      <c r="K127" s="5" t="str">
        <f t="shared" si="4"/>
        <v>Met</v>
      </c>
      <c r="L127" s="7" t="str">
        <f t="shared" si="5"/>
        <v>Feb</v>
      </c>
    </row>
    <row r="128" spans="1:12" x14ac:dyDescent="0.3">
      <c r="A128" s="4" t="s">
        <v>301</v>
      </c>
      <c r="B128" s="5" t="s">
        <v>27</v>
      </c>
      <c r="C128" s="5" t="s">
        <v>28</v>
      </c>
      <c r="D128" s="5" t="s">
        <v>35</v>
      </c>
      <c r="E128" s="5" t="s">
        <v>302</v>
      </c>
      <c r="F128" s="5" t="s">
        <v>24</v>
      </c>
      <c r="G128" s="5" t="s">
        <v>45</v>
      </c>
      <c r="H128" s="6">
        <v>45414</v>
      </c>
      <c r="I128" s="6">
        <v>45414</v>
      </c>
      <c r="J128" s="5">
        <f t="shared" si="3"/>
        <v>0</v>
      </c>
      <c r="K128" s="5" t="str">
        <f t="shared" si="4"/>
        <v>Met</v>
      </c>
      <c r="L128" s="7" t="str">
        <f t="shared" si="5"/>
        <v>May</v>
      </c>
    </row>
    <row r="129" spans="1:12" x14ac:dyDescent="0.3">
      <c r="A129" s="8" t="s">
        <v>303</v>
      </c>
      <c r="B129" s="9" t="s">
        <v>13</v>
      </c>
      <c r="C129" s="9" t="s">
        <v>58</v>
      </c>
      <c r="D129" s="9" t="s">
        <v>86</v>
      </c>
      <c r="E129" s="9" t="s">
        <v>304</v>
      </c>
      <c r="F129" s="9" t="s">
        <v>37</v>
      </c>
      <c r="G129" s="9" t="s">
        <v>42</v>
      </c>
      <c r="H129" s="10">
        <v>45399</v>
      </c>
      <c r="I129" s="10">
        <v>45399</v>
      </c>
      <c r="J129" s="5">
        <f t="shared" si="3"/>
        <v>0</v>
      </c>
      <c r="K129" s="5" t="str">
        <f t="shared" si="4"/>
        <v>Met</v>
      </c>
      <c r="L129" s="7" t="str">
        <f t="shared" si="5"/>
        <v>Apr</v>
      </c>
    </row>
    <row r="130" spans="1:12" x14ac:dyDescent="0.3">
      <c r="A130" s="4" t="s">
        <v>305</v>
      </c>
      <c r="B130" s="5" t="s">
        <v>27</v>
      </c>
      <c r="C130" s="5" t="s">
        <v>47</v>
      </c>
      <c r="D130" s="5" t="s">
        <v>66</v>
      </c>
      <c r="E130" s="5" t="s">
        <v>306</v>
      </c>
      <c r="F130" s="5" t="s">
        <v>17</v>
      </c>
      <c r="G130" s="5" t="s">
        <v>18</v>
      </c>
      <c r="H130" s="6">
        <v>45304</v>
      </c>
      <c r="I130" s="6">
        <v>45304</v>
      </c>
      <c r="J130" s="5">
        <f t="shared" si="3"/>
        <v>0</v>
      </c>
      <c r="K130" s="5" t="str">
        <f t="shared" si="4"/>
        <v>Met</v>
      </c>
      <c r="L130" s="7" t="str">
        <f t="shared" si="5"/>
        <v>Jan</v>
      </c>
    </row>
    <row r="131" spans="1:12" x14ac:dyDescent="0.3">
      <c r="A131" s="8" t="s">
        <v>307</v>
      </c>
      <c r="B131" s="9" t="s">
        <v>20</v>
      </c>
      <c r="C131" s="9" t="s">
        <v>21</v>
      </c>
      <c r="D131" s="9" t="s">
        <v>35</v>
      </c>
      <c r="E131" s="9" t="s">
        <v>308</v>
      </c>
      <c r="F131" s="9" t="s">
        <v>17</v>
      </c>
      <c r="G131" s="9" t="s">
        <v>31</v>
      </c>
      <c r="H131" s="10">
        <v>45305</v>
      </c>
      <c r="I131" s="10">
        <v>45306</v>
      </c>
      <c r="J131" s="5">
        <f t="shared" ref="J131:J194" si="6">I131-H131</f>
        <v>1</v>
      </c>
      <c r="K131" s="5" t="str">
        <f t="shared" ref="K131:K194" si="7">IF(J131&gt;= 1, "Not Met","Met")</f>
        <v>Not Met</v>
      </c>
      <c r="L131" s="7" t="str">
        <f t="shared" ref="L131:L194" si="8">TEXT(H131,"MMM")</f>
        <v>Jan</v>
      </c>
    </row>
    <row r="132" spans="1:12" x14ac:dyDescent="0.3">
      <c r="A132" s="4" t="s">
        <v>309</v>
      </c>
      <c r="B132" s="5" t="s">
        <v>13</v>
      </c>
      <c r="C132" s="5" t="s">
        <v>58</v>
      </c>
      <c r="D132" s="5" t="s">
        <v>35</v>
      </c>
      <c r="E132" s="5" t="s">
        <v>310</v>
      </c>
      <c r="F132" s="5" t="s">
        <v>17</v>
      </c>
      <c r="G132" s="5" t="s">
        <v>53</v>
      </c>
      <c r="H132" s="6">
        <v>45337</v>
      </c>
      <c r="I132" s="6">
        <v>45337</v>
      </c>
      <c r="J132" s="5">
        <f t="shared" si="6"/>
        <v>0</v>
      </c>
      <c r="K132" s="5" t="str">
        <f t="shared" si="7"/>
        <v>Met</v>
      </c>
      <c r="L132" s="7" t="str">
        <f t="shared" si="8"/>
        <v>Feb</v>
      </c>
    </row>
    <row r="133" spans="1:12" x14ac:dyDescent="0.3">
      <c r="A133" s="8" t="s">
        <v>311</v>
      </c>
      <c r="B133" s="9" t="s">
        <v>27</v>
      </c>
      <c r="C133" s="9" t="s">
        <v>153</v>
      </c>
      <c r="D133" s="9" t="s">
        <v>15</v>
      </c>
      <c r="E133" s="9" t="s">
        <v>312</v>
      </c>
      <c r="F133" s="9" t="s">
        <v>24</v>
      </c>
      <c r="G133" s="9" t="s">
        <v>31</v>
      </c>
      <c r="H133" s="10">
        <v>45302</v>
      </c>
      <c r="I133" s="10">
        <v>45302</v>
      </c>
      <c r="J133" s="5">
        <f t="shared" si="6"/>
        <v>0</v>
      </c>
      <c r="K133" s="5" t="str">
        <f t="shared" si="7"/>
        <v>Met</v>
      </c>
      <c r="L133" s="7" t="str">
        <f t="shared" si="8"/>
        <v>Jan</v>
      </c>
    </row>
    <row r="134" spans="1:12" x14ac:dyDescent="0.3">
      <c r="A134" s="4" t="s">
        <v>313</v>
      </c>
      <c r="B134" s="5" t="s">
        <v>33</v>
      </c>
      <c r="C134" s="5" t="s">
        <v>69</v>
      </c>
      <c r="D134" s="5" t="s">
        <v>35</v>
      </c>
      <c r="E134" s="5" t="s">
        <v>314</v>
      </c>
      <c r="F134" s="5" t="s">
        <v>37</v>
      </c>
      <c r="G134" s="5" t="s">
        <v>53</v>
      </c>
      <c r="H134" s="6">
        <v>45381</v>
      </c>
      <c r="I134" s="6">
        <v>45381</v>
      </c>
      <c r="J134" s="5">
        <f t="shared" si="6"/>
        <v>0</v>
      </c>
      <c r="K134" s="5" t="str">
        <f t="shared" si="7"/>
        <v>Met</v>
      </c>
      <c r="L134" s="7" t="str">
        <f t="shared" si="8"/>
        <v>Mar</v>
      </c>
    </row>
    <row r="135" spans="1:12" x14ac:dyDescent="0.3">
      <c r="A135" s="8" t="s">
        <v>315</v>
      </c>
      <c r="B135" s="9" t="s">
        <v>13</v>
      </c>
      <c r="C135" s="9" t="s">
        <v>14</v>
      </c>
      <c r="D135" s="9" t="s">
        <v>148</v>
      </c>
      <c r="E135" s="9" t="s">
        <v>316</v>
      </c>
      <c r="F135" s="9" t="s">
        <v>17</v>
      </c>
      <c r="G135" s="9" t="s">
        <v>45</v>
      </c>
      <c r="H135" s="10">
        <v>45306</v>
      </c>
      <c r="I135" s="10">
        <v>45307</v>
      </c>
      <c r="J135" s="5">
        <f t="shared" si="6"/>
        <v>1</v>
      </c>
      <c r="K135" s="5" t="str">
        <f t="shared" si="7"/>
        <v>Not Met</v>
      </c>
      <c r="L135" s="7" t="str">
        <f t="shared" si="8"/>
        <v>Jan</v>
      </c>
    </row>
    <row r="136" spans="1:12" x14ac:dyDescent="0.3">
      <c r="A136" s="4" t="s">
        <v>317</v>
      </c>
      <c r="B136" s="5" t="s">
        <v>13</v>
      </c>
      <c r="C136" s="5" t="s">
        <v>14</v>
      </c>
      <c r="D136" s="5" t="s">
        <v>35</v>
      </c>
      <c r="E136" s="5" t="s">
        <v>318</v>
      </c>
      <c r="F136" s="5" t="s">
        <v>17</v>
      </c>
      <c r="G136" s="5" t="s">
        <v>42</v>
      </c>
      <c r="H136" s="6">
        <v>45386</v>
      </c>
      <c r="I136" s="6">
        <v>45386</v>
      </c>
      <c r="J136" s="5">
        <f t="shared" si="6"/>
        <v>0</v>
      </c>
      <c r="K136" s="5" t="str">
        <f t="shared" si="7"/>
        <v>Met</v>
      </c>
      <c r="L136" s="7" t="str">
        <f t="shared" si="8"/>
        <v>Apr</v>
      </c>
    </row>
    <row r="137" spans="1:12" x14ac:dyDescent="0.3">
      <c r="A137" s="8" t="s">
        <v>319</v>
      </c>
      <c r="B137" s="9" t="s">
        <v>13</v>
      </c>
      <c r="C137" s="9" t="s">
        <v>14</v>
      </c>
      <c r="D137" s="9" t="s">
        <v>29</v>
      </c>
      <c r="E137" s="9" t="s">
        <v>320</v>
      </c>
      <c r="F137" s="9" t="s">
        <v>24</v>
      </c>
      <c r="G137" s="9" t="s">
        <v>18</v>
      </c>
      <c r="H137" s="10">
        <v>45333</v>
      </c>
      <c r="I137" s="10">
        <v>45333</v>
      </c>
      <c r="J137" s="5">
        <f t="shared" si="6"/>
        <v>0</v>
      </c>
      <c r="K137" s="5" t="str">
        <f t="shared" si="7"/>
        <v>Met</v>
      </c>
      <c r="L137" s="7" t="str">
        <f t="shared" si="8"/>
        <v>Feb</v>
      </c>
    </row>
    <row r="138" spans="1:12" x14ac:dyDescent="0.3">
      <c r="A138" s="4" t="s">
        <v>321</v>
      </c>
      <c r="B138" s="5" t="s">
        <v>20</v>
      </c>
      <c r="C138" s="5" t="s">
        <v>93</v>
      </c>
      <c r="D138" s="5" t="s">
        <v>35</v>
      </c>
      <c r="E138" s="5" t="s">
        <v>322</v>
      </c>
      <c r="F138" s="5" t="s">
        <v>24</v>
      </c>
      <c r="G138" s="5" t="s">
        <v>53</v>
      </c>
      <c r="H138" s="6">
        <v>45353</v>
      </c>
      <c r="I138" s="6">
        <v>45353</v>
      </c>
      <c r="J138" s="5">
        <f t="shared" si="6"/>
        <v>0</v>
      </c>
      <c r="K138" s="5" t="str">
        <f t="shared" si="7"/>
        <v>Met</v>
      </c>
      <c r="L138" s="7" t="str">
        <f t="shared" si="8"/>
        <v>Mar</v>
      </c>
    </row>
    <row r="139" spans="1:12" x14ac:dyDescent="0.3">
      <c r="A139" s="8" t="s">
        <v>323</v>
      </c>
      <c r="B139" s="9" t="s">
        <v>39</v>
      </c>
      <c r="C139" s="9" t="s">
        <v>99</v>
      </c>
      <c r="D139" s="9" t="s">
        <v>35</v>
      </c>
      <c r="E139" s="9" t="s">
        <v>324</v>
      </c>
      <c r="F139" s="9" t="s">
        <v>24</v>
      </c>
      <c r="G139" s="9" t="s">
        <v>53</v>
      </c>
      <c r="H139" s="10">
        <v>45436</v>
      </c>
      <c r="I139" s="10">
        <v>45436</v>
      </c>
      <c r="J139" s="5">
        <f t="shared" si="6"/>
        <v>0</v>
      </c>
      <c r="K139" s="5" t="str">
        <f t="shared" si="7"/>
        <v>Met</v>
      </c>
      <c r="L139" s="7" t="str">
        <f t="shared" si="8"/>
        <v>May</v>
      </c>
    </row>
    <row r="140" spans="1:12" x14ac:dyDescent="0.3">
      <c r="A140" s="4" t="s">
        <v>325</v>
      </c>
      <c r="B140" s="5" t="s">
        <v>13</v>
      </c>
      <c r="C140" s="5" t="s">
        <v>61</v>
      </c>
      <c r="D140" s="5" t="s">
        <v>35</v>
      </c>
      <c r="E140" s="5" t="s">
        <v>326</v>
      </c>
      <c r="F140" s="5" t="s">
        <v>37</v>
      </c>
      <c r="G140" s="5" t="s">
        <v>42</v>
      </c>
      <c r="H140" s="6">
        <v>45352</v>
      </c>
      <c r="I140" s="6">
        <v>45352</v>
      </c>
      <c r="J140" s="5">
        <f t="shared" si="6"/>
        <v>0</v>
      </c>
      <c r="K140" s="5" t="str">
        <f t="shared" si="7"/>
        <v>Met</v>
      </c>
      <c r="L140" s="7" t="str">
        <f t="shared" si="8"/>
        <v>Mar</v>
      </c>
    </row>
    <row r="141" spans="1:12" x14ac:dyDescent="0.3">
      <c r="A141" s="8" t="s">
        <v>327</v>
      </c>
      <c r="B141" s="9" t="s">
        <v>20</v>
      </c>
      <c r="C141" s="9" t="s">
        <v>76</v>
      </c>
      <c r="D141" s="9" t="s">
        <v>148</v>
      </c>
      <c r="E141" s="9" t="s">
        <v>328</v>
      </c>
      <c r="F141" s="9" t="s">
        <v>17</v>
      </c>
      <c r="G141" s="9" t="s">
        <v>53</v>
      </c>
      <c r="H141" s="10">
        <v>45339</v>
      </c>
      <c r="I141" s="10">
        <v>45339</v>
      </c>
      <c r="J141" s="5">
        <f t="shared" si="6"/>
        <v>0</v>
      </c>
      <c r="K141" s="5" t="str">
        <f t="shared" si="7"/>
        <v>Met</v>
      </c>
      <c r="L141" s="7" t="str">
        <f t="shared" si="8"/>
        <v>Feb</v>
      </c>
    </row>
    <row r="142" spans="1:12" x14ac:dyDescent="0.3">
      <c r="A142" s="4" t="s">
        <v>329</v>
      </c>
      <c r="B142" s="5" t="s">
        <v>13</v>
      </c>
      <c r="C142" s="5" t="s">
        <v>14</v>
      </c>
      <c r="D142" s="5" t="s">
        <v>66</v>
      </c>
      <c r="E142" s="5" t="s">
        <v>330</v>
      </c>
      <c r="F142" s="5" t="s">
        <v>37</v>
      </c>
      <c r="G142" s="5" t="s">
        <v>45</v>
      </c>
      <c r="H142" s="6">
        <v>45304</v>
      </c>
      <c r="I142" s="6">
        <v>45305</v>
      </c>
      <c r="J142" s="5">
        <f t="shared" si="6"/>
        <v>1</v>
      </c>
      <c r="K142" s="5" t="str">
        <f t="shared" si="7"/>
        <v>Not Met</v>
      </c>
      <c r="L142" s="7" t="str">
        <f t="shared" si="8"/>
        <v>Jan</v>
      </c>
    </row>
    <row r="143" spans="1:12" x14ac:dyDescent="0.3">
      <c r="A143" s="8" t="s">
        <v>331</v>
      </c>
      <c r="B143" s="9" t="s">
        <v>20</v>
      </c>
      <c r="C143" s="9" t="s">
        <v>21</v>
      </c>
      <c r="D143" s="9" t="s">
        <v>15</v>
      </c>
      <c r="E143" s="9" t="s">
        <v>332</v>
      </c>
      <c r="F143" s="9" t="s">
        <v>24</v>
      </c>
      <c r="G143" s="9" t="s">
        <v>31</v>
      </c>
      <c r="H143" s="10">
        <v>45378</v>
      </c>
      <c r="I143" s="10">
        <v>45378</v>
      </c>
      <c r="J143" s="5">
        <f t="shared" si="6"/>
        <v>0</v>
      </c>
      <c r="K143" s="5" t="str">
        <f t="shared" si="7"/>
        <v>Met</v>
      </c>
      <c r="L143" s="7" t="str">
        <f t="shared" si="8"/>
        <v>Mar</v>
      </c>
    </row>
    <row r="144" spans="1:12" x14ac:dyDescent="0.3">
      <c r="A144" s="4" t="s">
        <v>333</v>
      </c>
      <c r="B144" s="5" t="s">
        <v>33</v>
      </c>
      <c r="C144" s="5" t="s">
        <v>34</v>
      </c>
      <c r="D144" s="5" t="s">
        <v>148</v>
      </c>
      <c r="E144" s="5" t="s">
        <v>334</v>
      </c>
      <c r="F144" s="5" t="s">
        <v>24</v>
      </c>
      <c r="G144" s="5" t="s">
        <v>53</v>
      </c>
      <c r="H144" s="6">
        <v>45360</v>
      </c>
      <c r="I144" s="6">
        <v>45360</v>
      </c>
      <c r="J144" s="5">
        <f t="shared" si="6"/>
        <v>0</v>
      </c>
      <c r="K144" s="5" t="str">
        <f t="shared" si="7"/>
        <v>Met</v>
      </c>
      <c r="L144" s="7" t="str">
        <f t="shared" si="8"/>
        <v>Mar</v>
      </c>
    </row>
    <row r="145" spans="1:12" x14ac:dyDescent="0.3">
      <c r="A145" s="8" t="s">
        <v>335</v>
      </c>
      <c r="B145" s="9" t="s">
        <v>20</v>
      </c>
      <c r="C145" s="9" t="s">
        <v>76</v>
      </c>
      <c r="D145" s="9" t="s">
        <v>15</v>
      </c>
      <c r="E145" s="9" t="s">
        <v>336</v>
      </c>
      <c r="F145" s="9" t="s">
        <v>37</v>
      </c>
      <c r="G145" s="9" t="s">
        <v>25</v>
      </c>
      <c r="H145" s="10">
        <v>45405</v>
      </c>
      <c r="I145" s="10">
        <v>45405</v>
      </c>
      <c r="J145" s="5">
        <f t="shared" si="6"/>
        <v>0</v>
      </c>
      <c r="K145" s="5" t="str">
        <f t="shared" si="7"/>
        <v>Met</v>
      </c>
      <c r="L145" s="7" t="str">
        <f t="shared" si="8"/>
        <v>Apr</v>
      </c>
    </row>
    <row r="146" spans="1:12" x14ac:dyDescent="0.3">
      <c r="A146" s="4" t="s">
        <v>337</v>
      </c>
      <c r="B146" s="5" t="s">
        <v>27</v>
      </c>
      <c r="C146" s="5" t="s">
        <v>153</v>
      </c>
      <c r="D146" s="5" t="s">
        <v>79</v>
      </c>
      <c r="E146" s="5" t="s">
        <v>338</v>
      </c>
      <c r="F146" s="5" t="s">
        <v>17</v>
      </c>
      <c r="G146" s="5" t="s">
        <v>18</v>
      </c>
      <c r="H146" s="6">
        <v>45393</v>
      </c>
      <c r="I146" s="6">
        <v>45393</v>
      </c>
      <c r="J146" s="5">
        <f t="shared" si="6"/>
        <v>0</v>
      </c>
      <c r="K146" s="5" t="str">
        <f t="shared" si="7"/>
        <v>Met</v>
      </c>
      <c r="L146" s="7" t="str">
        <f t="shared" si="8"/>
        <v>Apr</v>
      </c>
    </row>
    <row r="147" spans="1:12" x14ac:dyDescent="0.3">
      <c r="A147" s="8" t="s">
        <v>339</v>
      </c>
      <c r="B147" s="9" t="s">
        <v>20</v>
      </c>
      <c r="C147" s="9" t="s">
        <v>76</v>
      </c>
      <c r="D147" s="9" t="s">
        <v>86</v>
      </c>
      <c r="E147" s="9" t="s">
        <v>340</v>
      </c>
      <c r="F147" s="9" t="s">
        <v>37</v>
      </c>
      <c r="G147" s="9" t="s">
        <v>31</v>
      </c>
      <c r="H147" s="10">
        <v>45375</v>
      </c>
      <c r="I147" s="10">
        <v>45375</v>
      </c>
      <c r="J147" s="5">
        <f t="shared" si="6"/>
        <v>0</v>
      </c>
      <c r="K147" s="5" t="str">
        <f t="shared" si="7"/>
        <v>Met</v>
      </c>
      <c r="L147" s="7" t="str">
        <f t="shared" si="8"/>
        <v>Mar</v>
      </c>
    </row>
    <row r="148" spans="1:12" x14ac:dyDescent="0.3">
      <c r="A148" s="4" t="s">
        <v>341</v>
      </c>
      <c r="B148" s="5" t="s">
        <v>13</v>
      </c>
      <c r="C148" s="5" t="s">
        <v>61</v>
      </c>
      <c r="D148" s="5" t="s">
        <v>148</v>
      </c>
      <c r="E148" s="5" t="s">
        <v>342</v>
      </c>
      <c r="F148" s="5" t="s">
        <v>17</v>
      </c>
      <c r="G148" s="5" t="s">
        <v>53</v>
      </c>
      <c r="H148" s="6">
        <v>45315</v>
      </c>
      <c r="I148" s="6">
        <v>45315</v>
      </c>
      <c r="J148" s="5">
        <f t="shared" si="6"/>
        <v>0</v>
      </c>
      <c r="K148" s="5" t="str">
        <f t="shared" si="7"/>
        <v>Met</v>
      </c>
      <c r="L148" s="7" t="str">
        <f t="shared" si="8"/>
        <v>Jan</v>
      </c>
    </row>
    <row r="149" spans="1:12" x14ac:dyDescent="0.3">
      <c r="A149" s="8" t="s">
        <v>343</v>
      </c>
      <c r="B149" s="9" t="s">
        <v>33</v>
      </c>
      <c r="C149" s="9" t="s">
        <v>69</v>
      </c>
      <c r="D149" s="9" t="s">
        <v>29</v>
      </c>
      <c r="E149" s="9" t="s">
        <v>344</v>
      </c>
      <c r="F149" s="9" t="s">
        <v>37</v>
      </c>
      <c r="G149" s="9" t="s">
        <v>25</v>
      </c>
      <c r="H149" s="10">
        <v>45399</v>
      </c>
      <c r="I149" s="10">
        <v>45399</v>
      </c>
      <c r="J149" s="5">
        <f t="shared" si="6"/>
        <v>0</v>
      </c>
      <c r="K149" s="5" t="str">
        <f t="shared" si="7"/>
        <v>Met</v>
      </c>
      <c r="L149" s="7" t="str">
        <f t="shared" si="8"/>
        <v>Apr</v>
      </c>
    </row>
    <row r="150" spans="1:12" x14ac:dyDescent="0.3">
      <c r="A150" s="4" t="s">
        <v>345</v>
      </c>
      <c r="B150" s="5" t="s">
        <v>33</v>
      </c>
      <c r="C150" s="5" t="s">
        <v>69</v>
      </c>
      <c r="D150" s="5" t="s">
        <v>35</v>
      </c>
      <c r="E150" s="5" t="s">
        <v>346</v>
      </c>
      <c r="F150" s="5" t="s">
        <v>37</v>
      </c>
      <c r="G150" s="5" t="s">
        <v>53</v>
      </c>
      <c r="H150" s="6">
        <v>45425</v>
      </c>
      <c r="I150" s="6">
        <v>45425</v>
      </c>
      <c r="J150" s="5">
        <f t="shared" si="6"/>
        <v>0</v>
      </c>
      <c r="K150" s="5" t="str">
        <f t="shared" si="7"/>
        <v>Met</v>
      </c>
      <c r="L150" s="7" t="str">
        <f t="shared" si="8"/>
        <v>May</v>
      </c>
    </row>
    <row r="151" spans="1:12" x14ac:dyDescent="0.3">
      <c r="A151" s="8" t="s">
        <v>347</v>
      </c>
      <c r="B151" s="9" t="s">
        <v>39</v>
      </c>
      <c r="C151" s="9" t="s">
        <v>40</v>
      </c>
      <c r="D151" s="9" t="s">
        <v>79</v>
      </c>
      <c r="E151" s="9" t="s">
        <v>348</v>
      </c>
      <c r="F151" s="9" t="s">
        <v>24</v>
      </c>
      <c r="G151" s="9" t="s">
        <v>45</v>
      </c>
      <c r="H151" s="10">
        <v>45405</v>
      </c>
      <c r="I151" s="10">
        <v>45405</v>
      </c>
      <c r="J151" s="5">
        <f t="shared" si="6"/>
        <v>0</v>
      </c>
      <c r="K151" s="5" t="str">
        <f t="shared" si="7"/>
        <v>Met</v>
      </c>
      <c r="L151" s="7" t="str">
        <f t="shared" si="8"/>
        <v>Apr</v>
      </c>
    </row>
    <row r="152" spans="1:12" x14ac:dyDescent="0.3">
      <c r="A152" s="4" t="s">
        <v>349</v>
      </c>
      <c r="B152" s="5" t="s">
        <v>13</v>
      </c>
      <c r="C152" s="5" t="s">
        <v>14</v>
      </c>
      <c r="D152" s="5" t="s">
        <v>15</v>
      </c>
      <c r="E152" s="5" t="s">
        <v>350</v>
      </c>
      <c r="F152" s="5" t="s">
        <v>37</v>
      </c>
      <c r="G152" s="5" t="s">
        <v>53</v>
      </c>
      <c r="H152" s="6">
        <v>45333</v>
      </c>
      <c r="I152" s="6">
        <v>45333</v>
      </c>
      <c r="J152" s="5">
        <f t="shared" si="6"/>
        <v>0</v>
      </c>
      <c r="K152" s="5" t="str">
        <f t="shared" si="7"/>
        <v>Met</v>
      </c>
      <c r="L152" s="7" t="str">
        <f t="shared" si="8"/>
        <v>Feb</v>
      </c>
    </row>
    <row r="153" spans="1:12" x14ac:dyDescent="0.3">
      <c r="A153" s="8" t="s">
        <v>351</v>
      </c>
      <c r="B153" s="9" t="s">
        <v>33</v>
      </c>
      <c r="C153" s="9" t="s">
        <v>34</v>
      </c>
      <c r="D153" s="9" t="s">
        <v>148</v>
      </c>
      <c r="E153" s="9" t="s">
        <v>352</v>
      </c>
      <c r="F153" s="9" t="s">
        <v>17</v>
      </c>
      <c r="G153" s="9" t="s">
        <v>18</v>
      </c>
      <c r="H153" s="10">
        <v>45379</v>
      </c>
      <c r="I153" s="10">
        <v>45379</v>
      </c>
      <c r="J153" s="5">
        <f t="shared" si="6"/>
        <v>0</v>
      </c>
      <c r="K153" s="5" t="str">
        <f t="shared" si="7"/>
        <v>Met</v>
      </c>
      <c r="L153" s="7" t="str">
        <f t="shared" si="8"/>
        <v>Mar</v>
      </c>
    </row>
    <row r="154" spans="1:12" x14ac:dyDescent="0.3">
      <c r="A154" s="4" t="s">
        <v>353</v>
      </c>
      <c r="B154" s="5" t="s">
        <v>20</v>
      </c>
      <c r="C154" s="5" t="s">
        <v>76</v>
      </c>
      <c r="D154" s="5" t="s">
        <v>79</v>
      </c>
      <c r="E154" s="5" t="s">
        <v>354</v>
      </c>
      <c r="F154" s="5" t="s">
        <v>17</v>
      </c>
      <c r="G154" s="5" t="s">
        <v>42</v>
      </c>
      <c r="H154" s="6">
        <v>45447</v>
      </c>
      <c r="I154" s="6">
        <v>45447</v>
      </c>
      <c r="J154" s="5">
        <f t="shared" si="6"/>
        <v>0</v>
      </c>
      <c r="K154" s="5" t="str">
        <f t="shared" si="7"/>
        <v>Met</v>
      </c>
      <c r="L154" s="7" t="str">
        <f t="shared" si="8"/>
        <v>Jun</v>
      </c>
    </row>
    <row r="155" spans="1:12" x14ac:dyDescent="0.3">
      <c r="A155" s="8" t="s">
        <v>355</v>
      </c>
      <c r="B155" s="9" t="s">
        <v>39</v>
      </c>
      <c r="C155" s="9" t="s">
        <v>99</v>
      </c>
      <c r="D155" s="9" t="s">
        <v>35</v>
      </c>
      <c r="E155" s="9" t="s">
        <v>356</v>
      </c>
      <c r="F155" s="9" t="s">
        <v>24</v>
      </c>
      <c r="G155" s="9" t="s">
        <v>53</v>
      </c>
      <c r="H155" s="10">
        <v>45367</v>
      </c>
      <c r="I155" s="10">
        <v>45367</v>
      </c>
      <c r="J155" s="5">
        <f t="shared" si="6"/>
        <v>0</v>
      </c>
      <c r="K155" s="5" t="str">
        <f t="shared" si="7"/>
        <v>Met</v>
      </c>
      <c r="L155" s="7" t="str">
        <f t="shared" si="8"/>
        <v>Mar</v>
      </c>
    </row>
    <row r="156" spans="1:12" x14ac:dyDescent="0.3">
      <c r="A156" s="4" t="s">
        <v>357</v>
      </c>
      <c r="B156" s="5" t="s">
        <v>33</v>
      </c>
      <c r="C156" s="5" t="s">
        <v>55</v>
      </c>
      <c r="D156" s="5" t="s">
        <v>35</v>
      </c>
      <c r="E156" s="5" t="s">
        <v>358</v>
      </c>
      <c r="F156" s="5" t="s">
        <v>24</v>
      </c>
      <c r="G156" s="5" t="s">
        <v>31</v>
      </c>
      <c r="H156" s="6">
        <v>45417</v>
      </c>
      <c r="I156" s="6">
        <v>45417</v>
      </c>
      <c r="J156" s="5">
        <f t="shared" si="6"/>
        <v>0</v>
      </c>
      <c r="K156" s="5" t="str">
        <f t="shared" si="7"/>
        <v>Met</v>
      </c>
      <c r="L156" s="7" t="str">
        <f t="shared" si="8"/>
        <v>May</v>
      </c>
    </row>
    <row r="157" spans="1:12" x14ac:dyDescent="0.3">
      <c r="A157" s="8" t="s">
        <v>359</v>
      </c>
      <c r="B157" s="9" t="s">
        <v>39</v>
      </c>
      <c r="C157" s="9" t="s">
        <v>99</v>
      </c>
      <c r="D157" s="9" t="s">
        <v>15</v>
      </c>
      <c r="E157" s="9" t="s">
        <v>360</v>
      </c>
      <c r="F157" s="9" t="s">
        <v>37</v>
      </c>
      <c r="G157" s="9" t="s">
        <v>25</v>
      </c>
      <c r="H157" s="10">
        <v>45384</v>
      </c>
      <c r="I157" s="10">
        <v>45384</v>
      </c>
      <c r="J157" s="5">
        <f t="shared" si="6"/>
        <v>0</v>
      </c>
      <c r="K157" s="5" t="str">
        <f t="shared" si="7"/>
        <v>Met</v>
      </c>
      <c r="L157" s="7" t="str">
        <f t="shared" si="8"/>
        <v>Apr</v>
      </c>
    </row>
    <row r="158" spans="1:12" x14ac:dyDescent="0.3">
      <c r="A158" s="4" t="s">
        <v>361</v>
      </c>
      <c r="B158" s="5" t="s">
        <v>33</v>
      </c>
      <c r="C158" s="5" t="s">
        <v>34</v>
      </c>
      <c r="D158" s="5" t="s">
        <v>22</v>
      </c>
      <c r="E158" s="5" t="s">
        <v>362</v>
      </c>
      <c r="F158" s="5" t="s">
        <v>37</v>
      </c>
      <c r="G158" s="5" t="s">
        <v>42</v>
      </c>
      <c r="H158" s="6">
        <v>45311</v>
      </c>
      <c r="I158" s="6">
        <v>45311</v>
      </c>
      <c r="J158" s="5">
        <f t="shared" si="6"/>
        <v>0</v>
      </c>
      <c r="K158" s="5" t="str">
        <f t="shared" si="7"/>
        <v>Met</v>
      </c>
      <c r="L158" s="7" t="str">
        <f t="shared" si="8"/>
        <v>Jan</v>
      </c>
    </row>
    <row r="159" spans="1:12" x14ac:dyDescent="0.3">
      <c r="A159" s="8" t="s">
        <v>363</v>
      </c>
      <c r="B159" s="9" t="s">
        <v>13</v>
      </c>
      <c r="C159" s="9" t="s">
        <v>61</v>
      </c>
      <c r="D159" s="9" t="s">
        <v>15</v>
      </c>
      <c r="E159" s="9" t="s">
        <v>364</v>
      </c>
      <c r="F159" s="9" t="s">
        <v>24</v>
      </c>
      <c r="G159" s="9" t="s">
        <v>25</v>
      </c>
      <c r="H159" s="10">
        <v>45446</v>
      </c>
      <c r="I159" s="10">
        <v>45446</v>
      </c>
      <c r="J159" s="5">
        <f t="shared" si="6"/>
        <v>0</v>
      </c>
      <c r="K159" s="5" t="str">
        <f t="shared" si="7"/>
        <v>Met</v>
      </c>
      <c r="L159" s="7" t="str">
        <f t="shared" si="8"/>
        <v>Jun</v>
      </c>
    </row>
    <row r="160" spans="1:12" x14ac:dyDescent="0.3">
      <c r="A160" s="4" t="s">
        <v>365</v>
      </c>
      <c r="B160" s="5" t="s">
        <v>13</v>
      </c>
      <c r="C160" s="5" t="s">
        <v>14</v>
      </c>
      <c r="D160" s="5" t="s">
        <v>79</v>
      </c>
      <c r="E160" s="5" t="s">
        <v>366</v>
      </c>
      <c r="F160" s="5" t="s">
        <v>17</v>
      </c>
      <c r="G160" s="5" t="s">
        <v>18</v>
      </c>
      <c r="H160" s="6">
        <v>45370</v>
      </c>
      <c r="I160" s="6">
        <v>45370</v>
      </c>
      <c r="J160" s="5">
        <f t="shared" si="6"/>
        <v>0</v>
      </c>
      <c r="K160" s="5" t="str">
        <f t="shared" si="7"/>
        <v>Met</v>
      </c>
      <c r="L160" s="7" t="str">
        <f t="shared" si="8"/>
        <v>Mar</v>
      </c>
    </row>
    <row r="161" spans="1:12" x14ac:dyDescent="0.3">
      <c r="A161" s="8" t="s">
        <v>367</v>
      </c>
      <c r="B161" s="9" t="s">
        <v>13</v>
      </c>
      <c r="C161" s="9" t="s">
        <v>58</v>
      </c>
      <c r="D161" s="9" t="s">
        <v>35</v>
      </c>
      <c r="E161" s="9" t="s">
        <v>368</v>
      </c>
      <c r="F161" s="9" t="s">
        <v>17</v>
      </c>
      <c r="G161" s="9" t="s">
        <v>53</v>
      </c>
      <c r="H161" s="10">
        <v>45377</v>
      </c>
      <c r="I161" s="10">
        <v>45377</v>
      </c>
      <c r="J161" s="5">
        <f t="shared" si="6"/>
        <v>0</v>
      </c>
      <c r="K161" s="5" t="str">
        <f t="shared" si="7"/>
        <v>Met</v>
      </c>
      <c r="L161" s="7" t="str">
        <f t="shared" si="8"/>
        <v>Mar</v>
      </c>
    </row>
    <row r="162" spans="1:12" x14ac:dyDescent="0.3">
      <c r="A162" s="4" t="s">
        <v>369</v>
      </c>
      <c r="B162" s="5" t="s">
        <v>27</v>
      </c>
      <c r="C162" s="5" t="s">
        <v>47</v>
      </c>
      <c r="D162" s="5" t="s">
        <v>29</v>
      </c>
      <c r="E162" s="5" t="s">
        <v>370</v>
      </c>
      <c r="F162" s="5" t="s">
        <v>17</v>
      </c>
      <c r="G162" s="5" t="s">
        <v>18</v>
      </c>
      <c r="H162" s="6">
        <v>45362</v>
      </c>
      <c r="I162" s="6">
        <v>45362</v>
      </c>
      <c r="J162" s="5">
        <f t="shared" si="6"/>
        <v>0</v>
      </c>
      <c r="K162" s="5" t="str">
        <f t="shared" si="7"/>
        <v>Met</v>
      </c>
      <c r="L162" s="7" t="str">
        <f t="shared" si="8"/>
        <v>Mar</v>
      </c>
    </row>
    <row r="163" spans="1:12" x14ac:dyDescent="0.3">
      <c r="A163" s="8" t="s">
        <v>371</v>
      </c>
      <c r="B163" s="9" t="s">
        <v>20</v>
      </c>
      <c r="C163" s="9" t="s">
        <v>21</v>
      </c>
      <c r="D163" s="9" t="s">
        <v>15</v>
      </c>
      <c r="E163" s="9" t="s">
        <v>372</v>
      </c>
      <c r="F163" s="9" t="s">
        <v>37</v>
      </c>
      <c r="G163" s="9" t="s">
        <v>42</v>
      </c>
      <c r="H163" s="10">
        <v>45437</v>
      </c>
      <c r="I163" s="10">
        <v>45437</v>
      </c>
      <c r="J163" s="5">
        <f t="shared" si="6"/>
        <v>0</v>
      </c>
      <c r="K163" s="5" t="str">
        <f t="shared" si="7"/>
        <v>Met</v>
      </c>
      <c r="L163" s="7" t="str">
        <f t="shared" si="8"/>
        <v>May</v>
      </c>
    </row>
    <row r="164" spans="1:12" x14ac:dyDescent="0.3">
      <c r="A164" s="4" t="s">
        <v>373</v>
      </c>
      <c r="B164" s="5" t="s">
        <v>27</v>
      </c>
      <c r="C164" s="5" t="s">
        <v>47</v>
      </c>
      <c r="D164" s="5" t="s">
        <v>15</v>
      </c>
      <c r="E164" s="5" t="s">
        <v>374</v>
      </c>
      <c r="F164" s="5" t="s">
        <v>37</v>
      </c>
      <c r="G164" s="5" t="s">
        <v>18</v>
      </c>
      <c r="H164" s="6">
        <v>45296</v>
      </c>
      <c r="I164" s="6">
        <v>45296</v>
      </c>
      <c r="J164" s="5">
        <f t="shared" si="6"/>
        <v>0</v>
      </c>
      <c r="K164" s="5" t="str">
        <f t="shared" si="7"/>
        <v>Met</v>
      </c>
      <c r="L164" s="7" t="str">
        <f t="shared" si="8"/>
        <v>Jan</v>
      </c>
    </row>
    <row r="165" spans="1:12" x14ac:dyDescent="0.3">
      <c r="A165" s="8" t="s">
        <v>375</v>
      </c>
      <c r="B165" s="9" t="s">
        <v>39</v>
      </c>
      <c r="C165" s="9" t="s">
        <v>99</v>
      </c>
      <c r="D165" s="9" t="s">
        <v>35</v>
      </c>
      <c r="E165" s="9" t="s">
        <v>376</v>
      </c>
      <c r="F165" s="9" t="s">
        <v>37</v>
      </c>
      <c r="G165" s="9" t="s">
        <v>31</v>
      </c>
      <c r="H165" s="10">
        <v>45304</v>
      </c>
      <c r="I165" s="10">
        <v>45304</v>
      </c>
      <c r="J165" s="5">
        <f t="shared" si="6"/>
        <v>0</v>
      </c>
      <c r="K165" s="5" t="str">
        <f t="shared" si="7"/>
        <v>Met</v>
      </c>
      <c r="L165" s="7" t="str">
        <f t="shared" si="8"/>
        <v>Jan</v>
      </c>
    </row>
    <row r="166" spans="1:12" x14ac:dyDescent="0.3">
      <c r="A166" s="4" t="s">
        <v>377</v>
      </c>
      <c r="B166" s="5" t="s">
        <v>20</v>
      </c>
      <c r="C166" s="5" t="s">
        <v>93</v>
      </c>
      <c r="D166" s="5" t="s">
        <v>66</v>
      </c>
      <c r="E166" s="5" t="s">
        <v>378</v>
      </c>
      <c r="F166" s="5" t="s">
        <v>37</v>
      </c>
      <c r="G166" s="5" t="s">
        <v>53</v>
      </c>
      <c r="H166" s="6">
        <v>45403</v>
      </c>
      <c r="I166" s="6">
        <v>45403</v>
      </c>
      <c r="J166" s="5">
        <f t="shared" si="6"/>
        <v>0</v>
      </c>
      <c r="K166" s="5" t="str">
        <f t="shared" si="7"/>
        <v>Met</v>
      </c>
      <c r="L166" s="7" t="str">
        <f t="shared" si="8"/>
        <v>Apr</v>
      </c>
    </row>
    <row r="167" spans="1:12" x14ac:dyDescent="0.3">
      <c r="A167" s="8" t="s">
        <v>379</v>
      </c>
      <c r="B167" s="9" t="s">
        <v>33</v>
      </c>
      <c r="C167" s="9" t="s">
        <v>34</v>
      </c>
      <c r="D167" s="9" t="s">
        <v>35</v>
      </c>
      <c r="E167" s="9" t="s">
        <v>380</v>
      </c>
      <c r="F167" s="9" t="s">
        <v>24</v>
      </c>
      <c r="G167" s="9" t="s">
        <v>31</v>
      </c>
      <c r="H167" s="10">
        <v>45399</v>
      </c>
      <c r="I167" s="10">
        <v>45399</v>
      </c>
      <c r="J167" s="5">
        <f t="shared" si="6"/>
        <v>0</v>
      </c>
      <c r="K167" s="5" t="str">
        <f t="shared" si="7"/>
        <v>Met</v>
      </c>
      <c r="L167" s="7" t="str">
        <f t="shared" si="8"/>
        <v>Apr</v>
      </c>
    </row>
    <row r="168" spans="1:12" x14ac:dyDescent="0.3">
      <c r="A168" s="4" t="s">
        <v>381</v>
      </c>
      <c r="B168" s="5" t="s">
        <v>27</v>
      </c>
      <c r="C168" s="5" t="s">
        <v>47</v>
      </c>
      <c r="D168" s="5" t="s">
        <v>35</v>
      </c>
      <c r="E168" s="5" t="s">
        <v>382</v>
      </c>
      <c r="F168" s="5" t="s">
        <v>17</v>
      </c>
      <c r="G168" s="5" t="s">
        <v>53</v>
      </c>
      <c r="H168" s="6">
        <v>45381</v>
      </c>
      <c r="I168" s="6">
        <v>45381</v>
      </c>
      <c r="J168" s="5">
        <f t="shared" si="6"/>
        <v>0</v>
      </c>
      <c r="K168" s="5" t="str">
        <f t="shared" si="7"/>
        <v>Met</v>
      </c>
      <c r="L168" s="7" t="str">
        <f t="shared" si="8"/>
        <v>Mar</v>
      </c>
    </row>
    <row r="169" spans="1:12" x14ac:dyDescent="0.3">
      <c r="A169" s="8" t="s">
        <v>383</v>
      </c>
      <c r="B169" s="9" t="s">
        <v>20</v>
      </c>
      <c r="C169" s="9" t="s">
        <v>21</v>
      </c>
      <c r="D169" s="9" t="s">
        <v>29</v>
      </c>
      <c r="E169" s="9" t="s">
        <v>384</v>
      </c>
      <c r="F169" s="9" t="s">
        <v>17</v>
      </c>
      <c r="G169" s="9" t="s">
        <v>25</v>
      </c>
      <c r="H169" s="10">
        <v>45343</v>
      </c>
      <c r="I169" s="10">
        <v>45343</v>
      </c>
      <c r="J169" s="5">
        <f t="shared" si="6"/>
        <v>0</v>
      </c>
      <c r="K169" s="5" t="str">
        <f t="shared" si="7"/>
        <v>Met</v>
      </c>
      <c r="L169" s="7" t="str">
        <f t="shared" si="8"/>
        <v>Feb</v>
      </c>
    </row>
    <row r="170" spans="1:12" x14ac:dyDescent="0.3">
      <c r="A170" s="4" t="s">
        <v>385</v>
      </c>
      <c r="B170" s="5" t="s">
        <v>20</v>
      </c>
      <c r="C170" s="5" t="s">
        <v>21</v>
      </c>
      <c r="D170" s="5" t="s">
        <v>15</v>
      </c>
      <c r="E170" s="5" t="s">
        <v>386</v>
      </c>
      <c r="F170" s="5" t="s">
        <v>24</v>
      </c>
      <c r="G170" s="5" t="s">
        <v>25</v>
      </c>
      <c r="H170" s="6">
        <v>45346</v>
      </c>
      <c r="I170" s="6">
        <v>45346</v>
      </c>
      <c r="J170" s="5">
        <f t="shared" si="6"/>
        <v>0</v>
      </c>
      <c r="K170" s="5" t="str">
        <f t="shared" si="7"/>
        <v>Met</v>
      </c>
      <c r="L170" s="7" t="str">
        <f t="shared" si="8"/>
        <v>Feb</v>
      </c>
    </row>
    <row r="171" spans="1:12" x14ac:dyDescent="0.3">
      <c r="A171" s="8" t="s">
        <v>387</v>
      </c>
      <c r="B171" s="9" t="s">
        <v>33</v>
      </c>
      <c r="C171" s="9" t="s">
        <v>34</v>
      </c>
      <c r="D171" s="9" t="s">
        <v>29</v>
      </c>
      <c r="E171" s="9" t="s">
        <v>388</v>
      </c>
      <c r="F171" s="9" t="s">
        <v>17</v>
      </c>
      <c r="G171" s="9" t="s">
        <v>31</v>
      </c>
      <c r="H171" s="10">
        <v>45307</v>
      </c>
      <c r="I171" s="10">
        <v>45308</v>
      </c>
      <c r="J171" s="5">
        <f t="shared" si="6"/>
        <v>1</v>
      </c>
      <c r="K171" s="5" t="str">
        <f t="shared" si="7"/>
        <v>Not Met</v>
      </c>
      <c r="L171" s="7" t="str">
        <f t="shared" si="8"/>
        <v>Jan</v>
      </c>
    </row>
    <row r="172" spans="1:12" x14ac:dyDescent="0.3">
      <c r="A172" s="4" t="s">
        <v>389</v>
      </c>
      <c r="B172" s="5" t="s">
        <v>13</v>
      </c>
      <c r="C172" s="5" t="s">
        <v>58</v>
      </c>
      <c r="D172" s="5" t="s">
        <v>35</v>
      </c>
      <c r="E172" s="5" t="s">
        <v>390</v>
      </c>
      <c r="F172" s="5" t="s">
        <v>37</v>
      </c>
      <c r="G172" s="5" t="s">
        <v>25</v>
      </c>
      <c r="H172" s="6">
        <v>45305</v>
      </c>
      <c r="I172" s="6">
        <v>45305</v>
      </c>
      <c r="J172" s="5">
        <f t="shared" si="6"/>
        <v>0</v>
      </c>
      <c r="K172" s="5" t="str">
        <f t="shared" si="7"/>
        <v>Met</v>
      </c>
      <c r="L172" s="7" t="str">
        <f t="shared" si="8"/>
        <v>Jan</v>
      </c>
    </row>
    <row r="173" spans="1:12" x14ac:dyDescent="0.3">
      <c r="A173" s="8" t="s">
        <v>391</v>
      </c>
      <c r="B173" s="9" t="s">
        <v>39</v>
      </c>
      <c r="C173" s="9" t="s">
        <v>96</v>
      </c>
      <c r="D173" s="9" t="s">
        <v>148</v>
      </c>
      <c r="E173" s="9" t="s">
        <v>392</v>
      </c>
      <c r="F173" s="9" t="s">
        <v>24</v>
      </c>
      <c r="G173" s="9" t="s">
        <v>31</v>
      </c>
      <c r="H173" s="10">
        <v>45440</v>
      </c>
      <c r="I173" s="10">
        <v>45440</v>
      </c>
      <c r="J173" s="5">
        <f t="shared" si="6"/>
        <v>0</v>
      </c>
      <c r="K173" s="5" t="str">
        <f t="shared" si="7"/>
        <v>Met</v>
      </c>
      <c r="L173" s="7" t="str">
        <f t="shared" si="8"/>
        <v>May</v>
      </c>
    </row>
    <row r="174" spans="1:12" x14ac:dyDescent="0.3">
      <c r="A174" s="4" t="s">
        <v>393</v>
      </c>
      <c r="B174" s="5" t="s">
        <v>39</v>
      </c>
      <c r="C174" s="5" t="s">
        <v>40</v>
      </c>
      <c r="D174" s="5" t="s">
        <v>66</v>
      </c>
      <c r="E174" s="5" t="s">
        <v>394</v>
      </c>
      <c r="F174" s="5" t="s">
        <v>24</v>
      </c>
      <c r="G174" s="5" t="s">
        <v>25</v>
      </c>
      <c r="H174" s="6">
        <v>45420</v>
      </c>
      <c r="I174" s="6">
        <v>45420</v>
      </c>
      <c r="J174" s="5">
        <f t="shared" si="6"/>
        <v>0</v>
      </c>
      <c r="K174" s="5" t="str">
        <f t="shared" si="7"/>
        <v>Met</v>
      </c>
      <c r="L174" s="7" t="str">
        <f t="shared" si="8"/>
        <v>May</v>
      </c>
    </row>
    <row r="175" spans="1:12" x14ac:dyDescent="0.3">
      <c r="A175" s="8" t="s">
        <v>395</v>
      </c>
      <c r="B175" s="9" t="s">
        <v>13</v>
      </c>
      <c r="C175" s="9" t="s">
        <v>14</v>
      </c>
      <c r="D175" s="9" t="s">
        <v>22</v>
      </c>
      <c r="E175" s="9" t="s">
        <v>396</v>
      </c>
      <c r="F175" s="9" t="s">
        <v>17</v>
      </c>
      <c r="G175" s="9" t="s">
        <v>31</v>
      </c>
      <c r="H175" s="10">
        <v>45442</v>
      </c>
      <c r="I175" s="10">
        <v>45442</v>
      </c>
      <c r="J175" s="5">
        <f t="shared" si="6"/>
        <v>0</v>
      </c>
      <c r="K175" s="5" t="str">
        <f t="shared" si="7"/>
        <v>Met</v>
      </c>
      <c r="L175" s="7" t="str">
        <f t="shared" si="8"/>
        <v>May</v>
      </c>
    </row>
    <row r="176" spans="1:12" x14ac:dyDescent="0.3">
      <c r="A176" s="4" t="s">
        <v>397</v>
      </c>
      <c r="B176" s="5" t="s">
        <v>20</v>
      </c>
      <c r="C176" s="5" t="s">
        <v>76</v>
      </c>
      <c r="D176" s="5" t="s">
        <v>66</v>
      </c>
      <c r="E176" s="5" t="s">
        <v>398</v>
      </c>
      <c r="F176" s="5" t="s">
        <v>37</v>
      </c>
      <c r="G176" s="5" t="s">
        <v>45</v>
      </c>
      <c r="H176" s="6">
        <v>45382</v>
      </c>
      <c r="I176" s="6">
        <v>45382</v>
      </c>
      <c r="J176" s="5">
        <f t="shared" si="6"/>
        <v>0</v>
      </c>
      <c r="K176" s="5" t="str">
        <f t="shared" si="7"/>
        <v>Met</v>
      </c>
      <c r="L176" s="7" t="str">
        <f t="shared" si="8"/>
        <v>Mar</v>
      </c>
    </row>
    <row r="177" spans="1:12" x14ac:dyDescent="0.3">
      <c r="A177" s="8" t="s">
        <v>399</v>
      </c>
      <c r="B177" s="9" t="s">
        <v>13</v>
      </c>
      <c r="C177" s="9" t="s">
        <v>61</v>
      </c>
      <c r="D177" s="9" t="s">
        <v>35</v>
      </c>
      <c r="E177" s="9" t="s">
        <v>400</v>
      </c>
      <c r="F177" s="9" t="s">
        <v>24</v>
      </c>
      <c r="G177" s="9" t="s">
        <v>45</v>
      </c>
      <c r="H177" s="10">
        <v>45434</v>
      </c>
      <c r="I177" s="10">
        <v>45434</v>
      </c>
      <c r="J177" s="5">
        <f t="shared" si="6"/>
        <v>0</v>
      </c>
      <c r="K177" s="5" t="str">
        <f t="shared" si="7"/>
        <v>Met</v>
      </c>
      <c r="L177" s="7" t="str">
        <f t="shared" si="8"/>
        <v>May</v>
      </c>
    </row>
    <row r="178" spans="1:12" x14ac:dyDescent="0.3">
      <c r="A178" s="4" t="s">
        <v>401</v>
      </c>
      <c r="B178" s="5" t="s">
        <v>39</v>
      </c>
      <c r="C178" s="5" t="s">
        <v>99</v>
      </c>
      <c r="D178" s="5" t="s">
        <v>148</v>
      </c>
      <c r="E178" s="5" t="s">
        <v>402</v>
      </c>
      <c r="F178" s="5" t="s">
        <v>37</v>
      </c>
      <c r="G178" s="5" t="s">
        <v>18</v>
      </c>
      <c r="H178" s="6">
        <v>45328</v>
      </c>
      <c r="I178" s="6">
        <v>45328</v>
      </c>
      <c r="J178" s="5">
        <f t="shared" si="6"/>
        <v>0</v>
      </c>
      <c r="K178" s="5" t="str">
        <f t="shared" si="7"/>
        <v>Met</v>
      </c>
      <c r="L178" s="7" t="str">
        <f t="shared" si="8"/>
        <v>Feb</v>
      </c>
    </row>
    <row r="179" spans="1:12" x14ac:dyDescent="0.3">
      <c r="A179" s="8" t="s">
        <v>403</v>
      </c>
      <c r="B179" s="9" t="s">
        <v>20</v>
      </c>
      <c r="C179" s="9" t="s">
        <v>93</v>
      </c>
      <c r="D179" s="9" t="s">
        <v>35</v>
      </c>
      <c r="E179" s="9" t="s">
        <v>404</v>
      </c>
      <c r="F179" s="9" t="s">
        <v>24</v>
      </c>
      <c r="G179" s="9" t="s">
        <v>45</v>
      </c>
      <c r="H179" s="10">
        <v>45325</v>
      </c>
      <c r="I179" s="10">
        <v>45326</v>
      </c>
      <c r="J179" s="5">
        <f t="shared" si="6"/>
        <v>1</v>
      </c>
      <c r="K179" s="5" t="str">
        <f t="shared" si="7"/>
        <v>Not Met</v>
      </c>
      <c r="L179" s="7" t="str">
        <f t="shared" si="8"/>
        <v>Feb</v>
      </c>
    </row>
    <row r="180" spans="1:12" x14ac:dyDescent="0.3">
      <c r="A180" s="4" t="s">
        <v>405</v>
      </c>
      <c r="B180" s="5" t="s">
        <v>27</v>
      </c>
      <c r="C180" s="5" t="s">
        <v>28</v>
      </c>
      <c r="D180" s="5" t="s">
        <v>35</v>
      </c>
      <c r="E180" s="5" t="s">
        <v>406</v>
      </c>
      <c r="F180" s="5" t="s">
        <v>37</v>
      </c>
      <c r="G180" s="5" t="s">
        <v>18</v>
      </c>
      <c r="H180" s="6">
        <v>45402</v>
      </c>
      <c r="I180" s="6">
        <v>45402</v>
      </c>
      <c r="J180" s="5">
        <f t="shared" si="6"/>
        <v>0</v>
      </c>
      <c r="K180" s="5" t="str">
        <f t="shared" si="7"/>
        <v>Met</v>
      </c>
      <c r="L180" s="7" t="str">
        <f t="shared" si="8"/>
        <v>Apr</v>
      </c>
    </row>
    <row r="181" spans="1:12" x14ac:dyDescent="0.3">
      <c r="A181" s="8" t="s">
        <v>407</v>
      </c>
      <c r="B181" s="9" t="s">
        <v>27</v>
      </c>
      <c r="C181" s="9" t="s">
        <v>28</v>
      </c>
      <c r="D181" s="9" t="s">
        <v>22</v>
      </c>
      <c r="E181" s="9" t="s">
        <v>408</v>
      </c>
      <c r="F181" s="9" t="s">
        <v>37</v>
      </c>
      <c r="G181" s="9" t="s">
        <v>25</v>
      </c>
      <c r="H181" s="10">
        <v>45431</v>
      </c>
      <c r="I181" s="10">
        <v>45431</v>
      </c>
      <c r="J181" s="5">
        <f t="shared" si="6"/>
        <v>0</v>
      </c>
      <c r="K181" s="5" t="str">
        <f t="shared" si="7"/>
        <v>Met</v>
      </c>
      <c r="L181" s="7" t="str">
        <f t="shared" si="8"/>
        <v>May</v>
      </c>
    </row>
    <row r="182" spans="1:12" x14ac:dyDescent="0.3">
      <c r="A182" s="4" t="s">
        <v>409</v>
      </c>
      <c r="B182" s="5" t="s">
        <v>27</v>
      </c>
      <c r="C182" s="5" t="s">
        <v>47</v>
      </c>
      <c r="D182" s="5" t="s">
        <v>79</v>
      </c>
      <c r="E182" s="5" t="s">
        <v>410</v>
      </c>
      <c r="F182" s="5" t="s">
        <v>24</v>
      </c>
      <c r="G182" s="5" t="s">
        <v>45</v>
      </c>
      <c r="H182" s="6">
        <v>45336</v>
      </c>
      <c r="I182" s="6">
        <v>45336</v>
      </c>
      <c r="J182" s="5">
        <f t="shared" si="6"/>
        <v>0</v>
      </c>
      <c r="K182" s="5" t="str">
        <f t="shared" si="7"/>
        <v>Met</v>
      </c>
      <c r="L182" s="7" t="str">
        <f t="shared" si="8"/>
        <v>Feb</v>
      </c>
    </row>
    <row r="183" spans="1:12" x14ac:dyDescent="0.3">
      <c r="A183" s="8" t="s">
        <v>411</v>
      </c>
      <c r="B183" s="9" t="s">
        <v>39</v>
      </c>
      <c r="C183" s="9" t="s">
        <v>40</v>
      </c>
      <c r="D183" s="9" t="s">
        <v>35</v>
      </c>
      <c r="E183" s="9" t="s">
        <v>412</v>
      </c>
      <c r="F183" s="9" t="s">
        <v>37</v>
      </c>
      <c r="G183" s="9" t="s">
        <v>18</v>
      </c>
      <c r="H183" s="10">
        <v>45292</v>
      </c>
      <c r="I183" s="10">
        <v>45292</v>
      </c>
      <c r="J183" s="5">
        <f t="shared" si="6"/>
        <v>0</v>
      </c>
      <c r="K183" s="5" t="str">
        <f t="shared" si="7"/>
        <v>Met</v>
      </c>
      <c r="L183" s="7" t="str">
        <f t="shared" si="8"/>
        <v>Jan</v>
      </c>
    </row>
    <row r="184" spans="1:12" x14ac:dyDescent="0.3">
      <c r="A184" s="4" t="s">
        <v>413</v>
      </c>
      <c r="B184" s="5" t="s">
        <v>27</v>
      </c>
      <c r="C184" s="5" t="s">
        <v>153</v>
      </c>
      <c r="D184" s="5" t="s">
        <v>86</v>
      </c>
      <c r="E184" s="5" t="s">
        <v>414</v>
      </c>
      <c r="F184" s="5" t="s">
        <v>17</v>
      </c>
      <c r="G184" s="5" t="s">
        <v>31</v>
      </c>
      <c r="H184" s="6">
        <v>45445</v>
      </c>
      <c r="I184" s="6">
        <v>45446</v>
      </c>
      <c r="J184" s="5">
        <f t="shared" si="6"/>
        <v>1</v>
      </c>
      <c r="K184" s="5" t="str">
        <f t="shared" si="7"/>
        <v>Not Met</v>
      </c>
      <c r="L184" s="7" t="str">
        <f t="shared" si="8"/>
        <v>Jun</v>
      </c>
    </row>
    <row r="185" spans="1:12" x14ac:dyDescent="0.3">
      <c r="A185" s="8" t="s">
        <v>415</v>
      </c>
      <c r="B185" s="9" t="s">
        <v>33</v>
      </c>
      <c r="C185" s="9" t="s">
        <v>55</v>
      </c>
      <c r="D185" s="9" t="s">
        <v>66</v>
      </c>
      <c r="E185" s="9" t="s">
        <v>416</v>
      </c>
      <c r="F185" s="9" t="s">
        <v>37</v>
      </c>
      <c r="G185" s="9" t="s">
        <v>31</v>
      </c>
      <c r="H185" s="10">
        <v>45340</v>
      </c>
      <c r="I185" s="10">
        <v>45340</v>
      </c>
      <c r="J185" s="5">
        <f t="shared" si="6"/>
        <v>0</v>
      </c>
      <c r="K185" s="5" t="str">
        <f t="shared" si="7"/>
        <v>Met</v>
      </c>
      <c r="L185" s="7" t="str">
        <f t="shared" si="8"/>
        <v>Feb</v>
      </c>
    </row>
    <row r="186" spans="1:12" x14ac:dyDescent="0.3">
      <c r="A186" s="4" t="s">
        <v>417</v>
      </c>
      <c r="B186" s="5" t="s">
        <v>33</v>
      </c>
      <c r="C186" s="5" t="s">
        <v>34</v>
      </c>
      <c r="D186" s="5" t="s">
        <v>35</v>
      </c>
      <c r="E186" s="5" t="s">
        <v>418</v>
      </c>
      <c r="F186" s="5" t="s">
        <v>37</v>
      </c>
      <c r="G186" s="5" t="s">
        <v>42</v>
      </c>
      <c r="H186" s="6">
        <v>45343</v>
      </c>
      <c r="I186" s="6">
        <v>45343</v>
      </c>
      <c r="J186" s="5">
        <f t="shared" si="6"/>
        <v>0</v>
      </c>
      <c r="K186" s="5" t="str">
        <f t="shared" si="7"/>
        <v>Met</v>
      </c>
      <c r="L186" s="7" t="str">
        <f t="shared" si="8"/>
        <v>Feb</v>
      </c>
    </row>
    <row r="187" spans="1:12" x14ac:dyDescent="0.3">
      <c r="A187" s="8" t="s">
        <v>419</v>
      </c>
      <c r="B187" s="9" t="s">
        <v>13</v>
      </c>
      <c r="C187" s="9" t="s">
        <v>58</v>
      </c>
      <c r="D187" s="9" t="s">
        <v>15</v>
      </c>
      <c r="E187" s="9" t="s">
        <v>420</v>
      </c>
      <c r="F187" s="9" t="s">
        <v>17</v>
      </c>
      <c r="G187" s="9" t="s">
        <v>31</v>
      </c>
      <c r="H187" s="10">
        <v>45380</v>
      </c>
      <c r="I187" s="10">
        <v>45380</v>
      </c>
      <c r="J187" s="5">
        <f t="shared" si="6"/>
        <v>0</v>
      </c>
      <c r="K187" s="5" t="str">
        <f t="shared" si="7"/>
        <v>Met</v>
      </c>
      <c r="L187" s="7" t="str">
        <f t="shared" si="8"/>
        <v>Mar</v>
      </c>
    </row>
    <row r="188" spans="1:12" x14ac:dyDescent="0.3">
      <c r="A188" s="4" t="s">
        <v>421</v>
      </c>
      <c r="B188" s="5" t="s">
        <v>20</v>
      </c>
      <c r="C188" s="5" t="s">
        <v>21</v>
      </c>
      <c r="D188" s="5" t="s">
        <v>22</v>
      </c>
      <c r="E188" s="5" t="s">
        <v>422</v>
      </c>
      <c r="F188" s="5" t="s">
        <v>24</v>
      </c>
      <c r="G188" s="5" t="s">
        <v>18</v>
      </c>
      <c r="H188" s="6">
        <v>45382</v>
      </c>
      <c r="I188" s="6">
        <v>45382</v>
      </c>
      <c r="J188" s="5">
        <f t="shared" si="6"/>
        <v>0</v>
      </c>
      <c r="K188" s="5" t="str">
        <f t="shared" si="7"/>
        <v>Met</v>
      </c>
      <c r="L188" s="7" t="str">
        <f t="shared" si="8"/>
        <v>Mar</v>
      </c>
    </row>
    <row r="189" spans="1:12" x14ac:dyDescent="0.3">
      <c r="A189" s="8" t="s">
        <v>423</v>
      </c>
      <c r="B189" s="9" t="s">
        <v>33</v>
      </c>
      <c r="C189" s="9" t="s">
        <v>55</v>
      </c>
      <c r="D189" s="9" t="s">
        <v>22</v>
      </c>
      <c r="E189" s="9" t="s">
        <v>424</v>
      </c>
      <c r="F189" s="9" t="s">
        <v>37</v>
      </c>
      <c r="G189" s="9" t="s">
        <v>53</v>
      </c>
      <c r="H189" s="10">
        <v>45450</v>
      </c>
      <c r="I189" s="10">
        <v>45450</v>
      </c>
      <c r="J189" s="5">
        <f t="shared" si="6"/>
        <v>0</v>
      </c>
      <c r="K189" s="5" t="str">
        <f t="shared" si="7"/>
        <v>Met</v>
      </c>
      <c r="L189" s="7" t="str">
        <f t="shared" si="8"/>
        <v>Jun</v>
      </c>
    </row>
    <row r="190" spans="1:12" x14ac:dyDescent="0.3">
      <c r="A190" s="4" t="s">
        <v>425</v>
      </c>
      <c r="B190" s="5" t="s">
        <v>13</v>
      </c>
      <c r="C190" s="5" t="s">
        <v>14</v>
      </c>
      <c r="D190" s="5" t="s">
        <v>35</v>
      </c>
      <c r="E190" s="5" t="s">
        <v>426</v>
      </c>
      <c r="F190" s="5" t="s">
        <v>24</v>
      </c>
      <c r="G190" s="5" t="s">
        <v>25</v>
      </c>
      <c r="H190" s="6">
        <v>45328</v>
      </c>
      <c r="I190" s="6">
        <v>45328</v>
      </c>
      <c r="J190" s="5">
        <f t="shared" si="6"/>
        <v>0</v>
      </c>
      <c r="K190" s="5" t="str">
        <f t="shared" si="7"/>
        <v>Met</v>
      </c>
      <c r="L190" s="7" t="str">
        <f t="shared" si="8"/>
        <v>Feb</v>
      </c>
    </row>
    <row r="191" spans="1:12" x14ac:dyDescent="0.3">
      <c r="A191" s="8" t="s">
        <v>427</v>
      </c>
      <c r="B191" s="9" t="s">
        <v>27</v>
      </c>
      <c r="C191" s="9" t="s">
        <v>47</v>
      </c>
      <c r="D191" s="9" t="s">
        <v>66</v>
      </c>
      <c r="E191" s="9" t="s">
        <v>428</v>
      </c>
      <c r="F191" s="9" t="s">
        <v>37</v>
      </c>
      <c r="G191" s="9" t="s">
        <v>31</v>
      </c>
      <c r="H191" s="10">
        <v>45450</v>
      </c>
      <c r="I191" s="10">
        <v>45450</v>
      </c>
      <c r="J191" s="5">
        <f t="shared" si="6"/>
        <v>0</v>
      </c>
      <c r="K191" s="5" t="str">
        <f t="shared" si="7"/>
        <v>Met</v>
      </c>
      <c r="L191" s="7" t="str">
        <f t="shared" si="8"/>
        <v>Jun</v>
      </c>
    </row>
    <row r="192" spans="1:12" x14ac:dyDescent="0.3">
      <c r="A192" s="4" t="s">
        <v>429</v>
      </c>
      <c r="B192" s="5" t="s">
        <v>27</v>
      </c>
      <c r="C192" s="5" t="s">
        <v>28</v>
      </c>
      <c r="D192" s="5" t="s">
        <v>35</v>
      </c>
      <c r="E192" s="5" t="s">
        <v>430</v>
      </c>
      <c r="F192" s="5" t="s">
        <v>24</v>
      </c>
      <c r="G192" s="5" t="s">
        <v>45</v>
      </c>
      <c r="H192" s="6">
        <v>45292</v>
      </c>
      <c r="I192" s="6">
        <v>45292</v>
      </c>
      <c r="J192" s="5">
        <f t="shared" si="6"/>
        <v>0</v>
      </c>
      <c r="K192" s="5" t="str">
        <f t="shared" si="7"/>
        <v>Met</v>
      </c>
      <c r="L192" s="7" t="str">
        <f t="shared" si="8"/>
        <v>Jan</v>
      </c>
    </row>
    <row r="193" spans="1:12" x14ac:dyDescent="0.3">
      <c r="A193" s="8" t="s">
        <v>431</v>
      </c>
      <c r="B193" s="9" t="s">
        <v>33</v>
      </c>
      <c r="C193" s="9" t="s">
        <v>69</v>
      </c>
      <c r="D193" s="9" t="s">
        <v>15</v>
      </c>
      <c r="E193" s="9" t="s">
        <v>432</v>
      </c>
      <c r="F193" s="9" t="s">
        <v>24</v>
      </c>
      <c r="G193" s="9" t="s">
        <v>45</v>
      </c>
      <c r="H193" s="10">
        <v>45354</v>
      </c>
      <c r="I193" s="10">
        <v>45354</v>
      </c>
      <c r="J193" s="5">
        <f t="shared" si="6"/>
        <v>0</v>
      </c>
      <c r="K193" s="5" t="str">
        <f t="shared" si="7"/>
        <v>Met</v>
      </c>
      <c r="L193" s="7" t="str">
        <f t="shared" si="8"/>
        <v>Mar</v>
      </c>
    </row>
    <row r="194" spans="1:12" x14ac:dyDescent="0.3">
      <c r="A194" s="4" t="s">
        <v>433</v>
      </c>
      <c r="B194" s="5" t="s">
        <v>27</v>
      </c>
      <c r="C194" s="5" t="s">
        <v>28</v>
      </c>
      <c r="D194" s="5" t="s">
        <v>35</v>
      </c>
      <c r="E194" s="5" t="s">
        <v>434</v>
      </c>
      <c r="F194" s="5" t="s">
        <v>17</v>
      </c>
      <c r="G194" s="5" t="s">
        <v>42</v>
      </c>
      <c r="H194" s="6">
        <v>45310</v>
      </c>
      <c r="I194" s="6">
        <v>45310</v>
      </c>
      <c r="J194" s="5">
        <f t="shared" si="6"/>
        <v>0</v>
      </c>
      <c r="K194" s="5" t="str">
        <f t="shared" si="7"/>
        <v>Met</v>
      </c>
      <c r="L194" s="7" t="str">
        <f t="shared" si="8"/>
        <v>Jan</v>
      </c>
    </row>
    <row r="195" spans="1:12" x14ac:dyDescent="0.3">
      <c r="A195" s="8" t="s">
        <v>435</v>
      </c>
      <c r="B195" s="9" t="s">
        <v>20</v>
      </c>
      <c r="C195" s="9" t="s">
        <v>76</v>
      </c>
      <c r="D195" s="9" t="s">
        <v>86</v>
      </c>
      <c r="E195" s="9" t="s">
        <v>436</v>
      </c>
      <c r="F195" s="9" t="s">
        <v>24</v>
      </c>
      <c r="G195" s="9" t="s">
        <v>25</v>
      </c>
      <c r="H195" s="10">
        <v>45407</v>
      </c>
      <c r="I195" s="10">
        <v>45407</v>
      </c>
      <c r="J195" s="5">
        <f t="shared" ref="J195:J258" si="9">I195-H195</f>
        <v>0</v>
      </c>
      <c r="K195" s="5" t="str">
        <f t="shared" ref="K195:K258" si="10">IF(J195&gt;= 1, "Not Met","Met")</f>
        <v>Met</v>
      </c>
      <c r="L195" s="7" t="str">
        <f t="shared" ref="L195:L258" si="11">TEXT(H195,"MMM")</f>
        <v>Apr</v>
      </c>
    </row>
    <row r="196" spans="1:12" x14ac:dyDescent="0.3">
      <c r="A196" s="4" t="s">
        <v>437</v>
      </c>
      <c r="B196" s="5" t="s">
        <v>20</v>
      </c>
      <c r="C196" s="5" t="s">
        <v>21</v>
      </c>
      <c r="D196" s="5" t="s">
        <v>66</v>
      </c>
      <c r="E196" s="5" t="s">
        <v>438</v>
      </c>
      <c r="F196" s="5" t="s">
        <v>24</v>
      </c>
      <c r="G196" s="5" t="s">
        <v>42</v>
      </c>
      <c r="H196" s="6">
        <v>45445</v>
      </c>
      <c r="I196" s="6">
        <v>45445</v>
      </c>
      <c r="J196" s="5">
        <f t="shared" si="9"/>
        <v>0</v>
      </c>
      <c r="K196" s="5" t="str">
        <f t="shared" si="10"/>
        <v>Met</v>
      </c>
      <c r="L196" s="7" t="str">
        <f t="shared" si="11"/>
        <v>Jun</v>
      </c>
    </row>
    <row r="197" spans="1:12" x14ac:dyDescent="0.3">
      <c r="A197" s="8" t="s">
        <v>439</v>
      </c>
      <c r="B197" s="9" t="s">
        <v>20</v>
      </c>
      <c r="C197" s="9" t="s">
        <v>76</v>
      </c>
      <c r="D197" s="9" t="s">
        <v>22</v>
      </c>
      <c r="E197" s="9" t="s">
        <v>440</v>
      </c>
      <c r="F197" s="9" t="s">
        <v>24</v>
      </c>
      <c r="G197" s="9" t="s">
        <v>18</v>
      </c>
      <c r="H197" s="10">
        <v>45415</v>
      </c>
      <c r="I197" s="10">
        <v>45415</v>
      </c>
      <c r="J197" s="5">
        <f t="shared" si="9"/>
        <v>0</v>
      </c>
      <c r="K197" s="5" t="str">
        <f t="shared" si="10"/>
        <v>Met</v>
      </c>
      <c r="L197" s="7" t="str">
        <f t="shared" si="11"/>
        <v>May</v>
      </c>
    </row>
    <row r="198" spans="1:12" x14ac:dyDescent="0.3">
      <c r="A198" s="4" t="s">
        <v>441</v>
      </c>
      <c r="B198" s="5" t="s">
        <v>39</v>
      </c>
      <c r="C198" s="5" t="s">
        <v>40</v>
      </c>
      <c r="D198" s="5" t="s">
        <v>35</v>
      </c>
      <c r="E198" s="5" t="s">
        <v>442</v>
      </c>
      <c r="F198" s="5" t="s">
        <v>24</v>
      </c>
      <c r="G198" s="5" t="s">
        <v>18</v>
      </c>
      <c r="H198" s="6">
        <v>45428</v>
      </c>
      <c r="I198" s="6">
        <v>45428</v>
      </c>
      <c r="J198" s="5">
        <f t="shared" si="9"/>
        <v>0</v>
      </c>
      <c r="K198" s="5" t="str">
        <f t="shared" si="10"/>
        <v>Met</v>
      </c>
      <c r="L198" s="7" t="str">
        <f t="shared" si="11"/>
        <v>May</v>
      </c>
    </row>
    <row r="199" spans="1:12" x14ac:dyDescent="0.3">
      <c r="A199" s="8" t="s">
        <v>443</v>
      </c>
      <c r="B199" s="9" t="s">
        <v>13</v>
      </c>
      <c r="C199" s="12" t="s">
        <v>14</v>
      </c>
      <c r="D199" s="12" t="s">
        <v>15</v>
      </c>
      <c r="E199" s="12" t="s">
        <v>16</v>
      </c>
      <c r="F199" s="12" t="s">
        <v>17</v>
      </c>
      <c r="G199" s="12" t="s">
        <v>18</v>
      </c>
      <c r="H199" s="11">
        <v>45342</v>
      </c>
      <c r="I199" s="11">
        <v>45342</v>
      </c>
      <c r="J199" s="5">
        <f t="shared" si="9"/>
        <v>0</v>
      </c>
      <c r="K199" s="5" t="str">
        <f t="shared" si="10"/>
        <v>Met</v>
      </c>
      <c r="L199" s="7" t="str">
        <f t="shared" si="11"/>
        <v>Feb</v>
      </c>
    </row>
    <row r="200" spans="1:12" x14ac:dyDescent="0.3">
      <c r="A200" s="4" t="s">
        <v>444</v>
      </c>
      <c r="B200" s="13" t="s">
        <v>20</v>
      </c>
      <c r="C200" s="13" t="s">
        <v>21</v>
      </c>
      <c r="D200" s="13" t="s">
        <v>22</v>
      </c>
      <c r="E200" s="13" t="s">
        <v>23</v>
      </c>
      <c r="F200" s="13" t="s">
        <v>24</v>
      </c>
      <c r="G200" s="13" t="s">
        <v>25</v>
      </c>
      <c r="H200" s="7">
        <v>45445</v>
      </c>
      <c r="I200" s="6">
        <v>45445</v>
      </c>
      <c r="J200" s="5">
        <f t="shared" si="9"/>
        <v>0</v>
      </c>
      <c r="K200" s="5" t="str">
        <f t="shared" si="10"/>
        <v>Met</v>
      </c>
      <c r="L200" s="7" t="str">
        <f t="shared" si="11"/>
        <v>Jun</v>
      </c>
    </row>
    <row r="201" spans="1:12" x14ac:dyDescent="0.3">
      <c r="A201" s="8" t="s">
        <v>445</v>
      </c>
      <c r="B201" s="12" t="s">
        <v>27</v>
      </c>
      <c r="C201" s="12" t="s">
        <v>28</v>
      </c>
      <c r="D201" s="12" t="s">
        <v>29</v>
      </c>
      <c r="E201" s="12" t="s">
        <v>30</v>
      </c>
      <c r="F201" s="12" t="s">
        <v>24</v>
      </c>
      <c r="G201" s="12" t="s">
        <v>31</v>
      </c>
      <c r="H201" s="11">
        <v>45331</v>
      </c>
      <c r="I201" s="11">
        <v>45331</v>
      </c>
      <c r="J201" s="5">
        <f t="shared" si="9"/>
        <v>0</v>
      </c>
      <c r="K201" s="5" t="str">
        <f t="shared" si="10"/>
        <v>Met</v>
      </c>
      <c r="L201" s="7" t="str">
        <f t="shared" si="11"/>
        <v>Feb</v>
      </c>
    </row>
    <row r="202" spans="1:12" x14ac:dyDescent="0.3">
      <c r="A202" s="4" t="s">
        <v>446</v>
      </c>
      <c r="B202" s="13" t="s">
        <v>33</v>
      </c>
      <c r="C202" s="13" t="s">
        <v>34</v>
      </c>
      <c r="D202" s="13" t="s">
        <v>35</v>
      </c>
      <c r="E202" s="13" t="s">
        <v>36</v>
      </c>
      <c r="F202" s="13" t="s">
        <v>37</v>
      </c>
      <c r="G202" s="13" t="s">
        <v>18</v>
      </c>
      <c r="H202" s="7">
        <v>45444</v>
      </c>
      <c r="I202" s="6">
        <v>45444</v>
      </c>
      <c r="J202" s="5">
        <f t="shared" si="9"/>
        <v>0</v>
      </c>
      <c r="K202" s="5" t="str">
        <f t="shared" si="10"/>
        <v>Met</v>
      </c>
      <c r="L202" s="7" t="str">
        <f t="shared" si="11"/>
        <v>Jun</v>
      </c>
    </row>
    <row r="203" spans="1:12" x14ac:dyDescent="0.3">
      <c r="A203" s="8" t="s">
        <v>447</v>
      </c>
      <c r="B203" s="12" t="s">
        <v>39</v>
      </c>
      <c r="C203" s="12" t="s">
        <v>40</v>
      </c>
      <c r="D203" s="12" t="s">
        <v>148</v>
      </c>
      <c r="E203" s="12" t="s">
        <v>41</v>
      </c>
      <c r="F203" s="12" t="s">
        <v>37</v>
      </c>
      <c r="G203" s="12" t="s">
        <v>42</v>
      </c>
      <c r="H203" s="11">
        <v>45304</v>
      </c>
      <c r="I203" s="11">
        <v>45304</v>
      </c>
      <c r="J203" s="5">
        <f t="shared" si="9"/>
        <v>0</v>
      </c>
      <c r="K203" s="5" t="str">
        <f t="shared" si="10"/>
        <v>Met</v>
      </c>
      <c r="L203" s="7" t="str">
        <f t="shared" si="11"/>
        <v>Jan</v>
      </c>
    </row>
    <row r="204" spans="1:12" x14ac:dyDescent="0.3">
      <c r="A204" s="4" t="s">
        <v>448</v>
      </c>
      <c r="B204" s="13" t="s">
        <v>20</v>
      </c>
      <c r="C204" s="13" t="s">
        <v>21</v>
      </c>
      <c r="D204" s="13" t="s">
        <v>15</v>
      </c>
      <c r="E204" s="13" t="s">
        <v>44</v>
      </c>
      <c r="F204" s="13" t="s">
        <v>37</v>
      </c>
      <c r="G204" s="13" t="s">
        <v>45</v>
      </c>
      <c r="H204" s="7">
        <v>45338</v>
      </c>
      <c r="I204" s="7">
        <v>45339</v>
      </c>
      <c r="J204" s="5">
        <f t="shared" si="9"/>
        <v>1</v>
      </c>
      <c r="K204" s="5" t="str">
        <f t="shared" si="10"/>
        <v>Not Met</v>
      </c>
      <c r="L204" s="7" t="str">
        <f t="shared" si="11"/>
        <v>Feb</v>
      </c>
    </row>
    <row r="205" spans="1:12" x14ac:dyDescent="0.3">
      <c r="A205" s="8" t="s">
        <v>449</v>
      </c>
      <c r="B205" s="12" t="s">
        <v>27</v>
      </c>
      <c r="C205" s="12" t="s">
        <v>47</v>
      </c>
      <c r="D205" s="12" t="s">
        <v>15</v>
      </c>
      <c r="E205" s="12" t="s">
        <v>48</v>
      </c>
      <c r="F205" s="12" t="s">
        <v>37</v>
      </c>
      <c r="G205" s="12" t="s">
        <v>45</v>
      </c>
      <c r="H205" s="11">
        <v>45314</v>
      </c>
      <c r="I205" s="11">
        <v>45315</v>
      </c>
      <c r="J205" s="5">
        <f t="shared" si="9"/>
        <v>1</v>
      </c>
      <c r="K205" s="5" t="str">
        <f t="shared" si="10"/>
        <v>Not Met</v>
      </c>
      <c r="L205" s="7" t="str">
        <f t="shared" si="11"/>
        <v>Jan</v>
      </c>
    </row>
    <row r="206" spans="1:12" x14ac:dyDescent="0.3">
      <c r="A206" s="4" t="s">
        <v>450</v>
      </c>
      <c r="B206" s="13" t="s">
        <v>27</v>
      </c>
      <c r="C206" s="13" t="s">
        <v>47</v>
      </c>
      <c r="D206" s="13" t="s">
        <v>29</v>
      </c>
      <c r="E206" s="13" t="s">
        <v>50</v>
      </c>
      <c r="F206" s="13" t="s">
        <v>17</v>
      </c>
      <c r="G206" s="13" t="s">
        <v>31</v>
      </c>
      <c r="H206" s="7">
        <v>45400</v>
      </c>
      <c r="I206" s="6">
        <v>45400</v>
      </c>
      <c r="J206" s="5">
        <f t="shared" si="9"/>
        <v>0</v>
      </c>
      <c r="K206" s="5" t="str">
        <f t="shared" si="10"/>
        <v>Met</v>
      </c>
      <c r="L206" s="7" t="str">
        <f t="shared" si="11"/>
        <v>Apr</v>
      </c>
    </row>
    <row r="207" spans="1:12" x14ac:dyDescent="0.3">
      <c r="A207" s="8" t="s">
        <v>451</v>
      </c>
      <c r="B207" s="12" t="s">
        <v>39</v>
      </c>
      <c r="C207" s="12" t="s">
        <v>99</v>
      </c>
      <c r="D207" s="12" t="s">
        <v>35</v>
      </c>
      <c r="E207" s="12" t="s">
        <v>52</v>
      </c>
      <c r="F207" s="12" t="s">
        <v>37</v>
      </c>
      <c r="G207" s="12" t="s">
        <v>53</v>
      </c>
      <c r="H207" s="11">
        <v>45428</v>
      </c>
      <c r="I207" s="10">
        <v>45428</v>
      </c>
      <c r="J207" s="5">
        <f t="shared" si="9"/>
        <v>0</v>
      </c>
      <c r="K207" s="5" t="str">
        <f t="shared" si="10"/>
        <v>Met</v>
      </c>
      <c r="L207" s="7" t="str">
        <f t="shared" si="11"/>
        <v>May</v>
      </c>
    </row>
    <row r="208" spans="1:12" x14ac:dyDescent="0.3">
      <c r="A208" s="4" t="s">
        <v>452</v>
      </c>
      <c r="B208" s="13" t="s">
        <v>33</v>
      </c>
      <c r="C208" s="13" t="s">
        <v>55</v>
      </c>
      <c r="D208" s="13" t="s">
        <v>29</v>
      </c>
      <c r="E208" s="13" t="s">
        <v>56</v>
      </c>
      <c r="F208" s="13" t="s">
        <v>24</v>
      </c>
      <c r="G208" s="13" t="s">
        <v>42</v>
      </c>
      <c r="H208" s="7">
        <v>45384</v>
      </c>
      <c r="I208" s="7">
        <v>45384</v>
      </c>
      <c r="J208" s="5">
        <f t="shared" si="9"/>
        <v>0</v>
      </c>
      <c r="K208" s="5" t="str">
        <f t="shared" si="10"/>
        <v>Met</v>
      </c>
      <c r="L208" s="7" t="str">
        <f t="shared" si="11"/>
        <v>Apr</v>
      </c>
    </row>
    <row r="209" spans="1:12" x14ac:dyDescent="0.3">
      <c r="A209" s="8" t="s">
        <v>453</v>
      </c>
      <c r="B209" s="12" t="s">
        <v>13</v>
      </c>
      <c r="C209" s="12" t="s">
        <v>58</v>
      </c>
      <c r="D209" s="12" t="s">
        <v>22</v>
      </c>
      <c r="E209" s="12" t="s">
        <v>59</v>
      </c>
      <c r="F209" s="12" t="s">
        <v>24</v>
      </c>
      <c r="G209" s="12" t="s">
        <v>31</v>
      </c>
      <c r="H209" s="11">
        <v>45437</v>
      </c>
      <c r="I209" s="10">
        <v>45437</v>
      </c>
      <c r="J209" s="5">
        <f t="shared" si="9"/>
        <v>0</v>
      </c>
      <c r="K209" s="5" t="str">
        <f t="shared" si="10"/>
        <v>Met</v>
      </c>
      <c r="L209" s="7" t="str">
        <f t="shared" si="11"/>
        <v>May</v>
      </c>
    </row>
    <row r="210" spans="1:12" x14ac:dyDescent="0.3">
      <c r="A210" s="4" t="s">
        <v>454</v>
      </c>
      <c r="B210" s="13" t="s">
        <v>13</v>
      </c>
      <c r="C210" s="13" t="s">
        <v>61</v>
      </c>
      <c r="D210" s="13" t="s">
        <v>35</v>
      </c>
      <c r="E210" s="13" t="s">
        <v>62</v>
      </c>
      <c r="F210" s="13" t="s">
        <v>37</v>
      </c>
      <c r="G210" s="13" t="s">
        <v>45</v>
      </c>
      <c r="H210" s="7">
        <v>45451</v>
      </c>
      <c r="I210" s="6">
        <v>45451</v>
      </c>
      <c r="J210" s="5">
        <f t="shared" si="9"/>
        <v>0</v>
      </c>
      <c r="K210" s="5" t="str">
        <f t="shared" si="10"/>
        <v>Met</v>
      </c>
      <c r="L210" s="7" t="str">
        <f t="shared" si="11"/>
        <v>Jun</v>
      </c>
    </row>
    <row r="211" spans="1:12" x14ac:dyDescent="0.3">
      <c r="A211" s="8" t="s">
        <v>455</v>
      </c>
      <c r="B211" s="12" t="s">
        <v>33</v>
      </c>
      <c r="C211" s="12" t="s">
        <v>34</v>
      </c>
      <c r="D211" s="12" t="s">
        <v>29</v>
      </c>
      <c r="E211" s="12" t="s">
        <v>64</v>
      </c>
      <c r="F211" s="12" t="s">
        <v>24</v>
      </c>
      <c r="G211" s="12" t="s">
        <v>53</v>
      </c>
      <c r="H211" s="11">
        <v>45344</v>
      </c>
      <c r="I211" s="11">
        <v>45344</v>
      </c>
      <c r="J211" s="5">
        <f t="shared" si="9"/>
        <v>0</v>
      </c>
      <c r="K211" s="5" t="str">
        <f t="shared" si="10"/>
        <v>Met</v>
      </c>
      <c r="L211" s="7" t="str">
        <f t="shared" si="11"/>
        <v>Feb</v>
      </c>
    </row>
    <row r="212" spans="1:12" x14ac:dyDescent="0.3">
      <c r="A212" s="4" t="s">
        <v>456</v>
      </c>
      <c r="B212" s="13" t="s">
        <v>13</v>
      </c>
      <c r="C212" s="13" t="s">
        <v>14</v>
      </c>
      <c r="D212" s="13" t="s">
        <v>66</v>
      </c>
      <c r="E212" s="13" t="s">
        <v>67</v>
      </c>
      <c r="F212" s="13" t="s">
        <v>17</v>
      </c>
      <c r="G212" s="13" t="s">
        <v>31</v>
      </c>
      <c r="H212" s="7">
        <v>45342</v>
      </c>
      <c r="I212" s="7">
        <v>45342</v>
      </c>
      <c r="J212" s="5">
        <f t="shared" si="9"/>
        <v>0</v>
      </c>
      <c r="K212" s="5" t="str">
        <f t="shared" si="10"/>
        <v>Met</v>
      </c>
      <c r="L212" s="7" t="str">
        <f t="shared" si="11"/>
        <v>Feb</v>
      </c>
    </row>
    <row r="213" spans="1:12" x14ac:dyDescent="0.3">
      <c r="A213" s="8" t="s">
        <v>457</v>
      </c>
      <c r="B213" s="12" t="s">
        <v>33</v>
      </c>
      <c r="C213" s="12" t="s">
        <v>69</v>
      </c>
      <c r="D213" s="12" t="s">
        <v>66</v>
      </c>
      <c r="E213" s="12" t="s">
        <v>70</v>
      </c>
      <c r="F213" s="12" t="s">
        <v>17</v>
      </c>
      <c r="G213" s="12" t="s">
        <v>18</v>
      </c>
      <c r="H213" s="11">
        <v>45452</v>
      </c>
      <c r="I213" s="10">
        <v>45452</v>
      </c>
      <c r="J213" s="5">
        <f t="shared" si="9"/>
        <v>0</v>
      </c>
      <c r="K213" s="5" t="str">
        <f t="shared" si="10"/>
        <v>Met</v>
      </c>
      <c r="L213" s="7" t="str">
        <f t="shared" si="11"/>
        <v>Jun</v>
      </c>
    </row>
    <row r="214" spans="1:12" x14ac:dyDescent="0.3">
      <c r="A214" s="4" t="s">
        <v>458</v>
      </c>
      <c r="B214" s="13" t="s">
        <v>13</v>
      </c>
      <c r="C214" s="13" t="s">
        <v>61</v>
      </c>
      <c r="D214" s="13" t="s">
        <v>66</v>
      </c>
      <c r="E214" s="13" t="s">
        <v>72</v>
      </c>
      <c r="F214" s="13" t="s">
        <v>37</v>
      </c>
      <c r="G214" s="13" t="s">
        <v>31</v>
      </c>
      <c r="H214" s="7">
        <v>45296</v>
      </c>
      <c r="I214" s="7">
        <v>45297</v>
      </c>
      <c r="J214" s="5">
        <f t="shared" si="9"/>
        <v>1</v>
      </c>
      <c r="K214" s="5" t="str">
        <f t="shared" si="10"/>
        <v>Not Met</v>
      </c>
      <c r="L214" s="7" t="str">
        <f t="shared" si="11"/>
        <v>Jan</v>
      </c>
    </row>
    <row r="215" spans="1:12" x14ac:dyDescent="0.3">
      <c r="A215" s="8" t="s">
        <v>459</v>
      </c>
      <c r="B215" s="12" t="s">
        <v>13</v>
      </c>
      <c r="C215" s="12" t="s">
        <v>58</v>
      </c>
      <c r="D215" s="12" t="s">
        <v>35</v>
      </c>
      <c r="E215" s="12" t="s">
        <v>74</v>
      </c>
      <c r="F215" s="12" t="s">
        <v>17</v>
      </c>
      <c r="G215" s="12" t="s">
        <v>18</v>
      </c>
      <c r="H215" s="11">
        <v>45361</v>
      </c>
      <c r="I215" s="10">
        <v>45361</v>
      </c>
      <c r="J215" s="5">
        <f t="shared" si="9"/>
        <v>0</v>
      </c>
      <c r="K215" s="5" t="str">
        <f t="shared" si="10"/>
        <v>Met</v>
      </c>
      <c r="L215" s="7" t="str">
        <f t="shared" si="11"/>
        <v>Mar</v>
      </c>
    </row>
    <row r="216" spans="1:12" x14ac:dyDescent="0.3">
      <c r="A216" s="4" t="s">
        <v>460</v>
      </c>
      <c r="B216" s="13" t="s">
        <v>20</v>
      </c>
      <c r="C216" s="13" t="s">
        <v>76</v>
      </c>
      <c r="D216" s="13" t="s">
        <v>35</v>
      </c>
      <c r="E216" s="13" t="s">
        <v>77</v>
      </c>
      <c r="F216" s="13" t="s">
        <v>37</v>
      </c>
      <c r="G216" s="13" t="s">
        <v>18</v>
      </c>
      <c r="H216" s="7">
        <v>45405</v>
      </c>
      <c r="I216" s="6">
        <v>45405</v>
      </c>
      <c r="J216" s="5">
        <f t="shared" si="9"/>
        <v>0</v>
      </c>
      <c r="K216" s="5" t="str">
        <f t="shared" si="10"/>
        <v>Met</v>
      </c>
      <c r="L216" s="7" t="str">
        <f t="shared" si="11"/>
        <v>Apr</v>
      </c>
    </row>
    <row r="217" spans="1:12" x14ac:dyDescent="0.3">
      <c r="A217" s="8" t="s">
        <v>461</v>
      </c>
      <c r="B217" s="9" t="s">
        <v>13</v>
      </c>
      <c r="C217" s="12" t="s">
        <v>14</v>
      </c>
      <c r="D217" s="12" t="s">
        <v>79</v>
      </c>
      <c r="E217" s="12" t="s">
        <v>80</v>
      </c>
      <c r="F217" s="12" t="s">
        <v>17</v>
      </c>
      <c r="G217" s="12" t="s">
        <v>42</v>
      </c>
      <c r="H217" s="11">
        <v>45296</v>
      </c>
      <c r="I217" s="11">
        <v>45296</v>
      </c>
      <c r="J217" s="5">
        <f t="shared" si="9"/>
        <v>0</v>
      </c>
      <c r="K217" s="5" t="str">
        <f t="shared" si="10"/>
        <v>Met</v>
      </c>
      <c r="L217" s="7" t="str">
        <f t="shared" si="11"/>
        <v>Jan</v>
      </c>
    </row>
    <row r="218" spans="1:12" x14ac:dyDescent="0.3">
      <c r="A218" s="4" t="s">
        <v>462</v>
      </c>
      <c r="B218" s="13" t="s">
        <v>13</v>
      </c>
      <c r="C218" s="13" t="s">
        <v>58</v>
      </c>
      <c r="D218" s="13" t="s">
        <v>35</v>
      </c>
      <c r="E218" s="13" t="s">
        <v>82</v>
      </c>
      <c r="F218" s="13" t="s">
        <v>17</v>
      </c>
      <c r="G218" s="13" t="s">
        <v>42</v>
      </c>
      <c r="H218" s="7">
        <v>45326</v>
      </c>
      <c r="I218" s="7">
        <v>45326</v>
      </c>
      <c r="J218" s="5">
        <f t="shared" si="9"/>
        <v>0</v>
      </c>
      <c r="K218" s="5" t="str">
        <f t="shared" si="10"/>
        <v>Met</v>
      </c>
      <c r="L218" s="7" t="str">
        <f t="shared" si="11"/>
        <v>Feb</v>
      </c>
    </row>
    <row r="219" spans="1:12" x14ac:dyDescent="0.3">
      <c r="A219" s="8" t="s">
        <v>463</v>
      </c>
      <c r="B219" s="12" t="s">
        <v>27</v>
      </c>
      <c r="C219" s="12" t="s">
        <v>47</v>
      </c>
      <c r="D219" s="12" t="s">
        <v>35</v>
      </c>
      <c r="E219" s="12" t="s">
        <v>84</v>
      </c>
      <c r="F219" s="12" t="s">
        <v>37</v>
      </c>
      <c r="G219" s="12" t="s">
        <v>18</v>
      </c>
      <c r="H219" s="11">
        <v>45329</v>
      </c>
      <c r="I219" s="11">
        <v>45329</v>
      </c>
      <c r="J219" s="5">
        <f t="shared" si="9"/>
        <v>0</v>
      </c>
      <c r="K219" s="5" t="str">
        <f t="shared" si="10"/>
        <v>Met</v>
      </c>
      <c r="L219" s="7" t="str">
        <f t="shared" si="11"/>
        <v>Feb</v>
      </c>
    </row>
    <row r="220" spans="1:12" x14ac:dyDescent="0.3">
      <c r="A220" s="4" t="s">
        <v>464</v>
      </c>
      <c r="B220" s="13" t="s">
        <v>33</v>
      </c>
      <c r="C220" s="13" t="s">
        <v>34</v>
      </c>
      <c r="D220" s="13" t="s">
        <v>86</v>
      </c>
      <c r="E220" s="13" t="s">
        <v>87</v>
      </c>
      <c r="F220" s="13" t="s">
        <v>37</v>
      </c>
      <c r="G220" s="13" t="s">
        <v>18</v>
      </c>
      <c r="H220" s="7">
        <v>45301</v>
      </c>
      <c r="I220" s="7">
        <v>45301</v>
      </c>
      <c r="J220" s="5">
        <f t="shared" si="9"/>
        <v>0</v>
      </c>
      <c r="K220" s="5" t="str">
        <f t="shared" si="10"/>
        <v>Met</v>
      </c>
      <c r="L220" s="7" t="str">
        <f t="shared" si="11"/>
        <v>Jan</v>
      </c>
    </row>
    <row r="221" spans="1:12" x14ac:dyDescent="0.3">
      <c r="A221" s="8" t="s">
        <v>465</v>
      </c>
      <c r="B221" s="12" t="s">
        <v>33</v>
      </c>
      <c r="C221" s="12" t="s">
        <v>69</v>
      </c>
      <c r="D221" s="12" t="s">
        <v>35</v>
      </c>
      <c r="E221" s="12" t="s">
        <v>89</v>
      </c>
      <c r="F221" s="12" t="s">
        <v>24</v>
      </c>
      <c r="G221" s="12" t="s">
        <v>53</v>
      </c>
      <c r="H221" s="11">
        <v>45413</v>
      </c>
      <c r="I221" s="10">
        <v>45413</v>
      </c>
      <c r="J221" s="5">
        <f t="shared" si="9"/>
        <v>0</v>
      </c>
      <c r="K221" s="5" t="str">
        <f t="shared" si="10"/>
        <v>Met</v>
      </c>
      <c r="L221" s="7" t="str">
        <f t="shared" si="11"/>
        <v>May</v>
      </c>
    </row>
    <row r="222" spans="1:12" x14ac:dyDescent="0.3">
      <c r="A222" s="4" t="s">
        <v>466</v>
      </c>
      <c r="B222" s="13" t="s">
        <v>13</v>
      </c>
      <c r="C222" s="13" t="s">
        <v>14</v>
      </c>
      <c r="D222" s="13" t="s">
        <v>15</v>
      </c>
      <c r="E222" s="13" t="s">
        <v>91</v>
      </c>
      <c r="F222" s="13" t="s">
        <v>17</v>
      </c>
      <c r="G222" s="13" t="s">
        <v>31</v>
      </c>
      <c r="H222" s="7">
        <v>45377</v>
      </c>
      <c r="I222" s="6">
        <v>45377</v>
      </c>
      <c r="J222" s="5">
        <f t="shared" si="9"/>
        <v>0</v>
      </c>
      <c r="K222" s="5" t="str">
        <f t="shared" si="10"/>
        <v>Met</v>
      </c>
      <c r="L222" s="7" t="str">
        <f t="shared" si="11"/>
        <v>Mar</v>
      </c>
    </row>
    <row r="223" spans="1:12" x14ac:dyDescent="0.3">
      <c r="A223" s="8" t="s">
        <v>467</v>
      </c>
      <c r="B223" s="12" t="s">
        <v>20</v>
      </c>
      <c r="C223" s="12" t="s">
        <v>93</v>
      </c>
      <c r="D223" s="12" t="s">
        <v>66</v>
      </c>
      <c r="E223" s="12" t="s">
        <v>94</v>
      </c>
      <c r="F223" s="12" t="s">
        <v>24</v>
      </c>
      <c r="G223" s="12" t="s">
        <v>25</v>
      </c>
      <c r="H223" s="11">
        <v>45322</v>
      </c>
      <c r="I223" s="11">
        <v>45322</v>
      </c>
      <c r="J223" s="5">
        <f t="shared" si="9"/>
        <v>0</v>
      </c>
      <c r="K223" s="5" t="str">
        <f t="shared" si="10"/>
        <v>Met</v>
      </c>
      <c r="L223" s="7" t="str">
        <f t="shared" si="11"/>
        <v>Jan</v>
      </c>
    </row>
    <row r="224" spans="1:12" x14ac:dyDescent="0.3">
      <c r="A224" s="4" t="s">
        <v>468</v>
      </c>
      <c r="B224" s="13" t="s">
        <v>39</v>
      </c>
      <c r="C224" s="13" t="s">
        <v>96</v>
      </c>
      <c r="D224" s="13" t="s">
        <v>148</v>
      </c>
      <c r="E224" s="13" t="s">
        <v>97</v>
      </c>
      <c r="F224" s="13" t="s">
        <v>37</v>
      </c>
      <c r="G224" s="13" t="s">
        <v>53</v>
      </c>
      <c r="H224" s="7">
        <v>45392</v>
      </c>
      <c r="I224" s="7">
        <v>45392</v>
      </c>
      <c r="J224" s="5">
        <f t="shared" si="9"/>
        <v>0</v>
      </c>
      <c r="K224" s="5" t="str">
        <f t="shared" si="10"/>
        <v>Met</v>
      </c>
      <c r="L224" s="7" t="str">
        <f t="shared" si="11"/>
        <v>Apr</v>
      </c>
    </row>
    <row r="225" spans="1:12" x14ac:dyDescent="0.3">
      <c r="A225" s="8" t="s">
        <v>469</v>
      </c>
      <c r="B225" s="12" t="s">
        <v>39</v>
      </c>
      <c r="C225" s="12" t="s">
        <v>99</v>
      </c>
      <c r="D225" s="12" t="s">
        <v>22</v>
      </c>
      <c r="E225" s="12" t="s">
        <v>100</v>
      </c>
      <c r="F225" s="12" t="s">
        <v>24</v>
      </c>
      <c r="G225" s="9" t="s">
        <v>45</v>
      </c>
      <c r="H225" s="11">
        <v>45315</v>
      </c>
      <c r="I225" s="11">
        <v>45316</v>
      </c>
      <c r="J225" s="5">
        <f t="shared" si="9"/>
        <v>1</v>
      </c>
      <c r="K225" s="5" t="str">
        <f t="shared" si="10"/>
        <v>Not Met</v>
      </c>
      <c r="L225" s="7" t="str">
        <f t="shared" si="11"/>
        <v>Jan</v>
      </c>
    </row>
    <row r="226" spans="1:12" x14ac:dyDescent="0.3">
      <c r="A226" s="4" t="s">
        <v>470</v>
      </c>
      <c r="B226" s="13" t="s">
        <v>20</v>
      </c>
      <c r="C226" s="13" t="s">
        <v>21</v>
      </c>
      <c r="D226" s="13" t="s">
        <v>148</v>
      </c>
      <c r="E226" s="13" t="s">
        <v>102</v>
      </c>
      <c r="F226" s="13" t="s">
        <v>17</v>
      </c>
      <c r="G226" s="13" t="s">
        <v>42</v>
      </c>
      <c r="H226" s="7">
        <v>45301</v>
      </c>
      <c r="I226" s="7">
        <v>45301</v>
      </c>
      <c r="J226" s="5">
        <f t="shared" si="9"/>
        <v>0</v>
      </c>
      <c r="K226" s="5" t="str">
        <f t="shared" si="10"/>
        <v>Met</v>
      </c>
      <c r="L226" s="7" t="str">
        <f t="shared" si="11"/>
        <v>Jan</v>
      </c>
    </row>
    <row r="227" spans="1:12" x14ac:dyDescent="0.3">
      <c r="A227" s="8" t="s">
        <v>471</v>
      </c>
      <c r="B227" s="9" t="s">
        <v>13</v>
      </c>
      <c r="C227" s="12" t="s">
        <v>14</v>
      </c>
      <c r="D227" s="12" t="s">
        <v>35</v>
      </c>
      <c r="E227" s="12" t="s">
        <v>106</v>
      </c>
      <c r="F227" s="12" t="s">
        <v>17</v>
      </c>
      <c r="G227" s="12" t="s">
        <v>25</v>
      </c>
      <c r="H227" s="11">
        <v>45322</v>
      </c>
      <c r="I227" s="11">
        <v>45322</v>
      </c>
      <c r="J227" s="5">
        <f t="shared" si="9"/>
        <v>0</v>
      </c>
      <c r="K227" s="5" t="str">
        <f t="shared" si="10"/>
        <v>Met</v>
      </c>
      <c r="L227" s="7" t="str">
        <f t="shared" si="11"/>
        <v>Jan</v>
      </c>
    </row>
    <row r="228" spans="1:12" x14ac:dyDescent="0.3">
      <c r="A228" s="4" t="s">
        <v>472</v>
      </c>
      <c r="B228" s="13" t="s">
        <v>27</v>
      </c>
      <c r="C228" s="13" t="s">
        <v>47</v>
      </c>
      <c r="D228" s="13" t="s">
        <v>35</v>
      </c>
      <c r="E228" s="13" t="s">
        <v>108</v>
      </c>
      <c r="F228" s="13" t="s">
        <v>37</v>
      </c>
      <c r="G228" s="13" t="s">
        <v>18</v>
      </c>
      <c r="H228" s="7">
        <v>45430</v>
      </c>
      <c r="I228" s="6">
        <v>45430</v>
      </c>
      <c r="J228" s="5">
        <f t="shared" si="9"/>
        <v>0</v>
      </c>
      <c r="K228" s="5" t="str">
        <f t="shared" si="10"/>
        <v>Met</v>
      </c>
      <c r="L228" s="7" t="str">
        <f t="shared" si="11"/>
        <v>May</v>
      </c>
    </row>
    <row r="229" spans="1:12" x14ac:dyDescent="0.3">
      <c r="A229" s="8" t="s">
        <v>473</v>
      </c>
      <c r="B229" s="12" t="s">
        <v>13</v>
      </c>
      <c r="C229" s="12" t="s">
        <v>14</v>
      </c>
      <c r="D229" s="12" t="s">
        <v>79</v>
      </c>
      <c r="E229" s="12" t="s">
        <v>110</v>
      </c>
      <c r="F229" s="12" t="s">
        <v>24</v>
      </c>
      <c r="G229" s="12" t="s">
        <v>25</v>
      </c>
      <c r="H229" s="11">
        <v>45330</v>
      </c>
      <c r="I229" s="11">
        <v>45330</v>
      </c>
      <c r="J229" s="5">
        <f t="shared" si="9"/>
        <v>0</v>
      </c>
      <c r="K229" s="5" t="str">
        <f t="shared" si="10"/>
        <v>Met</v>
      </c>
      <c r="L229" s="7" t="str">
        <f t="shared" si="11"/>
        <v>Feb</v>
      </c>
    </row>
    <row r="230" spans="1:12" x14ac:dyDescent="0.3">
      <c r="A230" s="4" t="s">
        <v>474</v>
      </c>
      <c r="B230" s="13" t="s">
        <v>13</v>
      </c>
      <c r="C230" s="13" t="s">
        <v>61</v>
      </c>
      <c r="D230" s="13" t="s">
        <v>66</v>
      </c>
      <c r="E230" s="13" t="s">
        <v>112</v>
      </c>
      <c r="F230" s="13" t="s">
        <v>24</v>
      </c>
      <c r="G230" s="13" t="s">
        <v>42</v>
      </c>
      <c r="H230" s="7">
        <v>45304</v>
      </c>
      <c r="I230" s="7">
        <v>45304</v>
      </c>
      <c r="J230" s="5">
        <f t="shared" si="9"/>
        <v>0</v>
      </c>
      <c r="K230" s="5" t="str">
        <f t="shared" si="10"/>
        <v>Met</v>
      </c>
      <c r="L230" s="7" t="str">
        <f t="shared" si="11"/>
        <v>Jan</v>
      </c>
    </row>
    <row r="231" spans="1:12" x14ac:dyDescent="0.3">
      <c r="A231" s="8" t="s">
        <v>475</v>
      </c>
      <c r="B231" s="12" t="s">
        <v>33</v>
      </c>
      <c r="C231" s="12" t="s">
        <v>34</v>
      </c>
      <c r="D231" s="12" t="s">
        <v>79</v>
      </c>
      <c r="E231" s="12" t="s">
        <v>114</v>
      </c>
      <c r="F231" s="12" t="s">
        <v>24</v>
      </c>
      <c r="G231" s="12" t="s">
        <v>42</v>
      </c>
      <c r="H231" s="11">
        <v>45407</v>
      </c>
      <c r="I231" s="10">
        <v>45407</v>
      </c>
      <c r="J231" s="5">
        <f t="shared" si="9"/>
        <v>0</v>
      </c>
      <c r="K231" s="5" t="str">
        <f t="shared" si="10"/>
        <v>Met</v>
      </c>
      <c r="L231" s="7" t="str">
        <f t="shared" si="11"/>
        <v>Apr</v>
      </c>
    </row>
    <row r="232" spans="1:12" x14ac:dyDescent="0.3">
      <c r="A232" s="4" t="s">
        <v>476</v>
      </c>
      <c r="B232" s="13" t="s">
        <v>13</v>
      </c>
      <c r="C232" s="13" t="s">
        <v>58</v>
      </c>
      <c r="D232" s="13" t="s">
        <v>79</v>
      </c>
      <c r="E232" s="13" t="s">
        <v>116</v>
      </c>
      <c r="F232" s="13" t="s">
        <v>37</v>
      </c>
      <c r="G232" s="13" t="s">
        <v>25</v>
      </c>
      <c r="H232" s="7">
        <v>45319</v>
      </c>
      <c r="I232" s="7">
        <v>45319</v>
      </c>
      <c r="J232" s="5">
        <f t="shared" si="9"/>
        <v>0</v>
      </c>
      <c r="K232" s="5" t="str">
        <f t="shared" si="10"/>
        <v>Met</v>
      </c>
      <c r="L232" s="7" t="str">
        <f t="shared" si="11"/>
        <v>Jan</v>
      </c>
    </row>
    <row r="233" spans="1:12" x14ac:dyDescent="0.3">
      <c r="A233" s="8" t="s">
        <v>477</v>
      </c>
      <c r="B233" s="12" t="s">
        <v>33</v>
      </c>
      <c r="C233" s="12" t="s">
        <v>69</v>
      </c>
      <c r="D233" s="12" t="s">
        <v>86</v>
      </c>
      <c r="E233" s="12" t="s">
        <v>118</v>
      </c>
      <c r="F233" s="12" t="s">
        <v>17</v>
      </c>
      <c r="G233" s="12" t="s">
        <v>45</v>
      </c>
      <c r="H233" s="11">
        <v>45358</v>
      </c>
      <c r="I233" s="11">
        <v>45358</v>
      </c>
      <c r="J233" s="5">
        <f t="shared" si="9"/>
        <v>0</v>
      </c>
      <c r="K233" s="5" t="str">
        <f t="shared" si="10"/>
        <v>Met</v>
      </c>
      <c r="L233" s="7" t="str">
        <f t="shared" si="11"/>
        <v>Mar</v>
      </c>
    </row>
    <row r="234" spans="1:12" x14ac:dyDescent="0.3">
      <c r="A234" s="4" t="s">
        <v>478</v>
      </c>
      <c r="B234" s="13" t="s">
        <v>13</v>
      </c>
      <c r="C234" s="13" t="s">
        <v>14</v>
      </c>
      <c r="D234" s="13" t="s">
        <v>35</v>
      </c>
      <c r="E234" s="13" t="s">
        <v>120</v>
      </c>
      <c r="F234" s="13" t="s">
        <v>37</v>
      </c>
      <c r="G234" s="13" t="s">
        <v>42</v>
      </c>
      <c r="H234" s="7">
        <v>45449</v>
      </c>
      <c r="I234" s="6">
        <v>45449</v>
      </c>
      <c r="J234" s="5">
        <f t="shared" si="9"/>
        <v>0</v>
      </c>
      <c r="K234" s="5" t="str">
        <f t="shared" si="10"/>
        <v>Met</v>
      </c>
      <c r="L234" s="7" t="str">
        <f t="shared" si="11"/>
        <v>Jun</v>
      </c>
    </row>
    <row r="235" spans="1:12" x14ac:dyDescent="0.3">
      <c r="A235" s="8" t="s">
        <v>479</v>
      </c>
      <c r="B235" s="12" t="s">
        <v>20</v>
      </c>
      <c r="C235" s="12" t="s">
        <v>76</v>
      </c>
      <c r="D235" s="12" t="s">
        <v>15</v>
      </c>
      <c r="E235" s="12" t="s">
        <v>122</v>
      </c>
      <c r="F235" s="12" t="s">
        <v>17</v>
      </c>
      <c r="G235" s="12" t="s">
        <v>31</v>
      </c>
      <c r="H235" s="11">
        <v>45414</v>
      </c>
      <c r="I235" s="10">
        <v>45414</v>
      </c>
      <c r="J235" s="5">
        <f t="shared" si="9"/>
        <v>0</v>
      </c>
      <c r="K235" s="5" t="str">
        <f t="shared" si="10"/>
        <v>Met</v>
      </c>
      <c r="L235" s="7" t="str">
        <f t="shared" si="11"/>
        <v>May</v>
      </c>
    </row>
    <row r="236" spans="1:12" x14ac:dyDescent="0.3">
      <c r="A236" s="4" t="s">
        <v>480</v>
      </c>
      <c r="B236" s="13" t="s">
        <v>20</v>
      </c>
      <c r="C236" s="13" t="s">
        <v>76</v>
      </c>
      <c r="D236" s="13" t="s">
        <v>22</v>
      </c>
      <c r="E236" s="13" t="s">
        <v>124</v>
      </c>
      <c r="F236" s="13" t="s">
        <v>37</v>
      </c>
      <c r="G236" s="13" t="s">
        <v>25</v>
      </c>
      <c r="H236" s="7">
        <v>45326</v>
      </c>
      <c r="I236" s="7">
        <v>45326</v>
      </c>
      <c r="J236" s="5">
        <f t="shared" si="9"/>
        <v>0</v>
      </c>
      <c r="K236" s="5" t="str">
        <f t="shared" si="10"/>
        <v>Met</v>
      </c>
      <c r="L236" s="7" t="str">
        <f t="shared" si="11"/>
        <v>Feb</v>
      </c>
    </row>
    <row r="237" spans="1:12" x14ac:dyDescent="0.3">
      <c r="A237" s="8" t="s">
        <v>481</v>
      </c>
      <c r="B237" s="9" t="s">
        <v>13</v>
      </c>
      <c r="C237" s="12" t="s">
        <v>58</v>
      </c>
      <c r="D237" s="12" t="s">
        <v>66</v>
      </c>
      <c r="E237" s="12" t="s">
        <v>126</v>
      </c>
      <c r="F237" s="12" t="s">
        <v>17</v>
      </c>
      <c r="G237" s="12" t="s">
        <v>18</v>
      </c>
      <c r="H237" s="11">
        <v>45345</v>
      </c>
      <c r="I237" s="11">
        <v>45345</v>
      </c>
      <c r="J237" s="5">
        <f t="shared" si="9"/>
        <v>0</v>
      </c>
      <c r="K237" s="5" t="str">
        <f t="shared" si="10"/>
        <v>Met</v>
      </c>
      <c r="L237" s="7" t="str">
        <f t="shared" si="11"/>
        <v>Feb</v>
      </c>
    </row>
    <row r="238" spans="1:12" x14ac:dyDescent="0.3">
      <c r="A238" s="4" t="s">
        <v>482</v>
      </c>
      <c r="B238" s="13" t="s">
        <v>39</v>
      </c>
      <c r="C238" s="13" t="s">
        <v>99</v>
      </c>
      <c r="D238" s="13" t="s">
        <v>66</v>
      </c>
      <c r="E238" s="13" t="s">
        <v>128</v>
      </c>
      <c r="F238" s="13" t="s">
        <v>37</v>
      </c>
      <c r="G238" s="13" t="s">
        <v>25</v>
      </c>
      <c r="H238" s="7">
        <v>45359</v>
      </c>
      <c r="I238" s="6">
        <v>45359</v>
      </c>
      <c r="J238" s="5">
        <f t="shared" si="9"/>
        <v>0</v>
      </c>
      <c r="K238" s="5" t="str">
        <f t="shared" si="10"/>
        <v>Met</v>
      </c>
      <c r="L238" s="7" t="str">
        <f t="shared" si="11"/>
        <v>Mar</v>
      </c>
    </row>
    <row r="239" spans="1:12" x14ac:dyDescent="0.3">
      <c r="A239" s="8" t="s">
        <v>483</v>
      </c>
      <c r="B239" s="12" t="s">
        <v>39</v>
      </c>
      <c r="C239" s="12" t="s">
        <v>99</v>
      </c>
      <c r="D239" s="12" t="s">
        <v>35</v>
      </c>
      <c r="E239" s="12" t="s">
        <v>130</v>
      </c>
      <c r="F239" s="12" t="s">
        <v>24</v>
      </c>
      <c r="G239" s="12" t="s">
        <v>25</v>
      </c>
      <c r="H239" s="11">
        <v>45397</v>
      </c>
      <c r="I239" s="11">
        <v>45397</v>
      </c>
      <c r="J239" s="5">
        <f t="shared" si="9"/>
        <v>0</v>
      </c>
      <c r="K239" s="5" t="str">
        <f t="shared" si="10"/>
        <v>Met</v>
      </c>
      <c r="L239" s="7" t="str">
        <f t="shared" si="11"/>
        <v>Apr</v>
      </c>
    </row>
    <row r="240" spans="1:12" x14ac:dyDescent="0.3">
      <c r="A240" s="4" t="s">
        <v>484</v>
      </c>
      <c r="B240" s="13" t="s">
        <v>39</v>
      </c>
      <c r="C240" s="13" t="s">
        <v>96</v>
      </c>
      <c r="D240" s="13" t="s">
        <v>29</v>
      </c>
      <c r="E240" s="13" t="s">
        <v>132</v>
      </c>
      <c r="F240" s="13" t="s">
        <v>37</v>
      </c>
      <c r="G240" s="13" t="s">
        <v>18</v>
      </c>
      <c r="H240" s="7">
        <v>45394</v>
      </c>
      <c r="I240" s="6">
        <v>45394</v>
      </c>
      <c r="J240" s="5">
        <f t="shared" si="9"/>
        <v>0</v>
      </c>
      <c r="K240" s="5" t="str">
        <f t="shared" si="10"/>
        <v>Met</v>
      </c>
      <c r="L240" s="7" t="str">
        <f t="shared" si="11"/>
        <v>Apr</v>
      </c>
    </row>
    <row r="241" spans="1:12" x14ac:dyDescent="0.3">
      <c r="A241" s="8" t="s">
        <v>485</v>
      </c>
      <c r="B241" s="12" t="s">
        <v>20</v>
      </c>
      <c r="C241" s="12" t="s">
        <v>21</v>
      </c>
      <c r="D241" s="12" t="s">
        <v>29</v>
      </c>
      <c r="E241" s="12" t="s">
        <v>134</v>
      </c>
      <c r="F241" s="12" t="s">
        <v>24</v>
      </c>
      <c r="G241" s="12" t="s">
        <v>42</v>
      </c>
      <c r="H241" s="11">
        <v>45434</v>
      </c>
      <c r="I241" s="10">
        <v>45434</v>
      </c>
      <c r="J241" s="5">
        <f t="shared" si="9"/>
        <v>0</v>
      </c>
      <c r="K241" s="5" t="str">
        <f t="shared" si="10"/>
        <v>Met</v>
      </c>
      <c r="L241" s="7" t="str">
        <f t="shared" si="11"/>
        <v>May</v>
      </c>
    </row>
    <row r="242" spans="1:12" x14ac:dyDescent="0.3">
      <c r="A242" s="4" t="s">
        <v>486</v>
      </c>
      <c r="B242" s="13" t="s">
        <v>27</v>
      </c>
      <c r="C242" s="13" t="s">
        <v>28</v>
      </c>
      <c r="D242" s="13" t="s">
        <v>29</v>
      </c>
      <c r="E242" s="13" t="s">
        <v>136</v>
      </c>
      <c r="F242" s="13" t="s">
        <v>37</v>
      </c>
      <c r="G242" s="13" t="s">
        <v>42</v>
      </c>
      <c r="H242" s="7">
        <v>45321</v>
      </c>
      <c r="I242" s="7">
        <v>45321</v>
      </c>
      <c r="J242" s="5">
        <f t="shared" si="9"/>
        <v>0</v>
      </c>
      <c r="K242" s="5" t="str">
        <f t="shared" si="10"/>
        <v>Met</v>
      </c>
      <c r="L242" s="7" t="str">
        <f t="shared" si="11"/>
        <v>Jan</v>
      </c>
    </row>
    <row r="243" spans="1:12" x14ac:dyDescent="0.3">
      <c r="A243" s="8" t="s">
        <v>487</v>
      </c>
      <c r="B243" s="12" t="s">
        <v>27</v>
      </c>
      <c r="C243" s="12" t="s">
        <v>28</v>
      </c>
      <c r="D243" s="12" t="s">
        <v>79</v>
      </c>
      <c r="E243" s="12" t="s">
        <v>138</v>
      </c>
      <c r="F243" s="12" t="s">
        <v>37</v>
      </c>
      <c r="G243" s="12" t="s">
        <v>25</v>
      </c>
      <c r="H243" s="11">
        <v>45418</v>
      </c>
      <c r="I243" s="10">
        <v>45418</v>
      </c>
      <c r="J243" s="5">
        <f t="shared" si="9"/>
        <v>0</v>
      </c>
      <c r="K243" s="5" t="str">
        <f t="shared" si="10"/>
        <v>Met</v>
      </c>
      <c r="L243" s="7" t="str">
        <f t="shared" si="11"/>
        <v>May</v>
      </c>
    </row>
    <row r="244" spans="1:12" x14ac:dyDescent="0.3">
      <c r="A244" s="4" t="s">
        <v>488</v>
      </c>
      <c r="B244" s="13" t="s">
        <v>13</v>
      </c>
      <c r="C244" s="13" t="s">
        <v>14</v>
      </c>
      <c r="D244" s="13" t="s">
        <v>35</v>
      </c>
      <c r="E244" s="13" t="s">
        <v>140</v>
      </c>
      <c r="F244" s="13" t="s">
        <v>17</v>
      </c>
      <c r="G244" s="13" t="s">
        <v>18</v>
      </c>
      <c r="H244" s="7">
        <v>45439</v>
      </c>
      <c r="I244" s="6">
        <v>45439</v>
      </c>
      <c r="J244" s="5">
        <f t="shared" si="9"/>
        <v>0</v>
      </c>
      <c r="K244" s="5" t="str">
        <f t="shared" si="10"/>
        <v>Met</v>
      </c>
      <c r="L244" s="7" t="str">
        <f t="shared" si="11"/>
        <v>May</v>
      </c>
    </row>
    <row r="245" spans="1:12" x14ac:dyDescent="0.3">
      <c r="A245" s="8" t="s">
        <v>489</v>
      </c>
      <c r="B245" s="12" t="s">
        <v>13</v>
      </c>
      <c r="C245" s="12" t="s">
        <v>14</v>
      </c>
      <c r="D245" s="12" t="s">
        <v>35</v>
      </c>
      <c r="E245" s="12" t="s">
        <v>142</v>
      </c>
      <c r="F245" s="12" t="s">
        <v>37</v>
      </c>
      <c r="G245" s="12" t="s">
        <v>45</v>
      </c>
      <c r="H245" s="11">
        <v>45372</v>
      </c>
      <c r="I245" s="10">
        <v>45372</v>
      </c>
      <c r="J245" s="5">
        <f t="shared" si="9"/>
        <v>0</v>
      </c>
      <c r="K245" s="5" t="str">
        <f t="shared" si="10"/>
        <v>Met</v>
      </c>
      <c r="L245" s="7" t="str">
        <f t="shared" si="11"/>
        <v>Mar</v>
      </c>
    </row>
    <row r="246" spans="1:12" x14ac:dyDescent="0.3">
      <c r="A246" s="4" t="s">
        <v>490</v>
      </c>
      <c r="B246" s="13" t="s">
        <v>39</v>
      </c>
      <c r="C246" s="13" t="s">
        <v>96</v>
      </c>
      <c r="D246" s="13" t="s">
        <v>79</v>
      </c>
      <c r="E246" s="13" t="s">
        <v>144</v>
      </c>
      <c r="F246" s="13" t="s">
        <v>37</v>
      </c>
      <c r="G246" s="13" t="s">
        <v>31</v>
      </c>
      <c r="H246" s="7">
        <v>45439</v>
      </c>
      <c r="I246" s="6">
        <v>45439</v>
      </c>
      <c r="J246" s="5">
        <f t="shared" si="9"/>
        <v>0</v>
      </c>
      <c r="K246" s="5" t="str">
        <f t="shared" si="10"/>
        <v>Met</v>
      </c>
      <c r="L246" s="7" t="str">
        <f t="shared" si="11"/>
        <v>May</v>
      </c>
    </row>
    <row r="247" spans="1:12" x14ac:dyDescent="0.3">
      <c r="A247" s="8" t="s">
        <v>491</v>
      </c>
      <c r="B247" s="12" t="s">
        <v>39</v>
      </c>
      <c r="C247" s="12" t="s">
        <v>40</v>
      </c>
      <c r="D247" s="12" t="s">
        <v>29</v>
      </c>
      <c r="E247" s="12" t="s">
        <v>146</v>
      </c>
      <c r="F247" s="12" t="s">
        <v>37</v>
      </c>
      <c r="G247" s="12" t="s">
        <v>31</v>
      </c>
      <c r="H247" s="11">
        <v>45390</v>
      </c>
      <c r="I247" s="11">
        <v>45390</v>
      </c>
      <c r="J247" s="5">
        <f t="shared" si="9"/>
        <v>0</v>
      </c>
      <c r="K247" s="5" t="str">
        <f t="shared" si="10"/>
        <v>Met</v>
      </c>
      <c r="L247" s="7" t="str">
        <f t="shared" si="11"/>
        <v>Apr</v>
      </c>
    </row>
    <row r="248" spans="1:12" x14ac:dyDescent="0.3">
      <c r="A248" s="4" t="s">
        <v>492</v>
      </c>
      <c r="B248" s="13" t="s">
        <v>39</v>
      </c>
      <c r="C248" s="13" t="s">
        <v>99</v>
      </c>
      <c r="D248" s="13" t="s">
        <v>148</v>
      </c>
      <c r="E248" s="13" t="s">
        <v>149</v>
      </c>
      <c r="F248" s="13" t="s">
        <v>37</v>
      </c>
      <c r="G248" s="13" t="s">
        <v>18</v>
      </c>
      <c r="H248" s="7">
        <v>45292</v>
      </c>
      <c r="I248" s="7">
        <v>45292</v>
      </c>
      <c r="J248" s="5">
        <f t="shared" si="9"/>
        <v>0</v>
      </c>
      <c r="K248" s="5" t="str">
        <f t="shared" si="10"/>
        <v>Met</v>
      </c>
      <c r="L248" s="7" t="str">
        <f t="shared" si="11"/>
        <v>Jan</v>
      </c>
    </row>
    <row r="249" spans="1:12" x14ac:dyDescent="0.3">
      <c r="A249" s="8" t="s">
        <v>493</v>
      </c>
      <c r="B249" s="9" t="s">
        <v>13</v>
      </c>
      <c r="C249" s="12" t="s">
        <v>14</v>
      </c>
      <c r="D249" s="12" t="s">
        <v>86</v>
      </c>
      <c r="E249" s="12" t="s">
        <v>151</v>
      </c>
      <c r="F249" s="12" t="s">
        <v>17</v>
      </c>
      <c r="G249" s="12" t="s">
        <v>45</v>
      </c>
      <c r="H249" s="11">
        <v>45452</v>
      </c>
      <c r="I249" s="10">
        <v>45452</v>
      </c>
      <c r="J249" s="5">
        <f t="shared" si="9"/>
        <v>0</v>
      </c>
      <c r="K249" s="5" t="str">
        <f t="shared" si="10"/>
        <v>Met</v>
      </c>
      <c r="L249" s="7" t="str">
        <f t="shared" si="11"/>
        <v>Jun</v>
      </c>
    </row>
    <row r="250" spans="1:12" x14ac:dyDescent="0.3">
      <c r="A250" s="4" t="s">
        <v>494</v>
      </c>
      <c r="B250" s="13" t="s">
        <v>27</v>
      </c>
      <c r="C250" s="13" t="s">
        <v>153</v>
      </c>
      <c r="D250" s="13" t="s">
        <v>22</v>
      </c>
      <c r="E250" s="13" t="s">
        <v>154</v>
      </c>
      <c r="F250" s="13" t="s">
        <v>17</v>
      </c>
      <c r="G250" s="13" t="s">
        <v>42</v>
      </c>
      <c r="H250" s="7">
        <v>45423</v>
      </c>
      <c r="I250" s="6">
        <v>45423</v>
      </c>
      <c r="J250" s="5">
        <f t="shared" si="9"/>
        <v>0</v>
      </c>
      <c r="K250" s="5" t="str">
        <f t="shared" si="10"/>
        <v>Met</v>
      </c>
      <c r="L250" s="7" t="str">
        <f t="shared" si="11"/>
        <v>May</v>
      </c>
    </row>
    <row r="251" spans="1:12" x14ac:dyDescent="0.3">
      <c r="A251" s="8" t="s">
        <v>495</v>
      </c>
      <c r="B251" s="9" t="s">
        <v>13</v>
      </c>
      <c r="C251" s="12" t="s">
        <v>14</v>
      </c>
      <c r="D251" s="12" t="s">
        <v>66</v>
      </c>
      <c r="E251" s="12" t="s">
        <v>156</v>
      </c>
      <c r="F251" s="12" t="s">
        <v>17</v>
      </c>
      <c r="G251" s="12" t="s">
        <v>18</v>
      </c>
      <c r="H251" s="11">
        <v>45405</v>
      </c>
      <c r="I251" s="10">
        <v>45405</v>
      </c>
      <c r="J251" s="5">
        <f t="shared" si="9"/>
        <v>0</v>
      </c>
      <c r="K251" s="5" t="str">
        <f t="shared" si="10"/>
        <v>Met</v>
      </c>
      <c r="L251" s="7" t="str">
        <f t="shared" si="11"/>
        <v>Apr</v>
      </c>
    </row>
    <row r="252" spans="1:12" x14ac:dyDescent="0.3">
      <c r="A252" s="4" t="s">
        <v>496</v>
      </c>
      <c r="B252" s="13" t="s">
        <v>20</v>
      </c>
      <c r="C252" s="13" t="s">
        <v>76</v>
      </c>
      <c r="D252" s="13" t="s">
        <v>35</v>
      </c>
      <c r="E252" s="13" t="s">
        <v>158</v>
      </c>
      <c r="F252" s="13" t="s">
        <v>37</v>
      </c>
      <c r="G252" s="13" t="s">
        <v>31</v>
      </c>
      <c r="H252" s="7">
        <v>45423</v>
      </c>
      <c r="I252" s="6">
        <v>45423</v>
      </c>
      <c r="J252" s="5">
        <f t="shared" si="9"/>
        <v>0</v>
      </c>
      <c r="K252" s="5" t="str">
        <f t="shared" si="10"/>
        <v>Met</v>
      </c>
      <c r="L252" s="7" t="str">
        <f t="shared" si="11"/>
        <v>May</v>
      </c>
    </row>
    <row r="253" spans="1:12" x14ac:dyDescent="0.3">
      <c r="A253" s="8" t="s">
        <v>497</v>
      </c>
      <c r="B253" s="12" t="s">
        <v>33</v>
      </c>
      <c r="C253" s="12" t="s">
        <v>69</v>
      </c>
      <c r="D253" s="12" t="s">
        <v>79</v>
      </c>
      <c r="E253" s="12" t="s">
        <v>160</v>
      </c>
      <c r="F253" s="12" t="s">
        <v>17</v>
      </c>
      <c r="G253" s="12" t="s">
        <v>53</v>
      </c>
      <c r="H253" s="11">
        <v>45304</v>
      </c>
      <c r="I253" s="11">
        <v>45305</v>
      </c>
      <c r="J253" s="5">
        <f t="shared" si="9"/>
        <v>1</v>
      </c>
      <c r="K253" s="5" t="str">
        <f t="shared" si="10"/>
        <v>Not Met</v>
      </c>
      <c r="L253" s="7" t="str">
        <f t="shared" si="11"/>
        <v>Jan</v>
      </c>
    </row>
    <row r="254" spans="1:12" x14ac:dyDescent="0.3">
      <c r="A254" s="4" t="s">
        <v>498</v>
      </c>
      <c r="B254" s="13" t="s">
        <v>33</v>
      </c>
      <c r="C254" s="13" t="s">
        <v>69</v>
      </c>
      <c r="D254" s="13" t="s">
        <v>66</v>
      </c>
      <c r="E254" s="13" t="s">
        <v>162</v>
      </c>
      <c r="F254" s="13" t="s">
        <v>24</v>
      </c>
      <c r="G254" s="13" t="s">
        <v>45</v>
      </c>
      <c r="H254" s="7">
        <v>45431</v>
      </c>
      <c r="I254" s="6">
        <v>45431</v>
      </c>
      <c r="J254" s="5">
        <f t="shared" si="9"/>
        <v>0</v>
      </c>
      <c r="K254" s="5" t="str">
        <f t="shared" si="10"/>
        <v>Met</v>
      </c>
      <c r="L254" s="7" t="str">
        <f t="shared" si="11"/>
        <v>May</v>
      </c>
    </row>
    <row r="255" spans="1:12" x14ac:dyDescent="0.3">
      <c r="A255" s="8" t="s">
        <v>499</v>
      </c>
      <c r="B255" s="12" t="s">
        <v>13</v>
      </c>
      <c r="C255" s="12" t="s">
        <v>58</v>
      </c>
      <c r="D255" s="12" t="s">
        <v>86</v>
      </c>
      <c r="E255" s="12" t="s">
        <v>164</v>
      </c>
      <c r="F255" s="12" t="s">
        <v>17</v>
      </c>
      <c r="G255" s="12" t="s">
        <v>45</v>
      </c>
      <c r="H255" s="11">
        <v>45396</v>
      </c>
      <c r="I255" s="11">
        <v>45396</v>
      </c>
      <c r="J255" s="5">
        <f t="shared" si="9"/>
        <v>0</v>
      </c>
      <c r="K255" s="5" t="str">
        <f t="shared" si="10"/>
        <v>Met</v>
      </c>
      <c r="L255" s="7" t="str">
        <f t="shared" si="11"/>
        <v>Apr</v>
      </c>
    </row>
    <row r="256" spans="1:12" x14ac:dyDescent="0.3">
      <c r="A256" s="4" t="s">
        <v>500</v>
      </c>
      <c r="B256" s="13" t="s">
        <v>33</v>
      </c>
      <c r="C256" s="13" t="s">
        <v>55</v>
      </c>
      <c r="D256" s="13" t="s">
        <v>35</v>
      </c>
      <c r="E256" s="13" t="s">
        <v>166</v>
      </c>
      <c r="F256" s="13" t="s">
        <v>24</v>
      </c>
      <c r="G256" s="13" t="s">
        <v>53</v>
      </c>
      <c r="H256" s="7">
        <v>45389</v>
      </c>
      <c r="I256" s="6">
        <v>45389</v>
      </c>
      <c r="J256" s="5">
        <f t="shared" si="9"/>
        <v>0</v>
      </c>
      <c r="K256" s="5" t="str">
        <f t="shared" si="10"/>
        <v>Met</v>
      </c>
      <c r="L256" s="7" t="str">
        <f t="shared" si="11"/>
        <v>Apr</v>
      </c>
    </row>
    <row r="257" spans="1:12" x14ac:dyDescent="0.3">
      <c r="A257" s="8" t="s">
        <v>501</v>
      </c>
      <c r="B257" s="12" t="s">
        <v>20</v>
      </c>
      <c r="C257" s="12" t="s">
        <v>76</v>
      </c>
      <c r="D257" s="12" t="s">
        <v>22</v>
      </c>
      <c r="E257" s="12" t="s">
        <v>168</v>
      </c>
      <c r="F257" s="12" t="s">
        <v>37</v>
      </c>
      <c r="G257" s="12" t="s">
        <v>45</v>
      </c>
      <c r="H257" s="11">
        <v>45416</v>
      </c>
      <c r="I257" s="10">
        <v>45416</v>
      </c>
      <c r="J257" s="5">
        <f t="shared" si="9"/>
        <v>0</v>
      </c>
      <c r="K257" s="5" t="str">
        <f t="shared" si="10"/>
        <v>Met</v>
      </c>
      <c r="L257" s="7" t="str">
        <f t="shared" si="11"/>
        <v>May</v>
      </c>
    </row>
    <row r="258" spans="1:12" x14ac:dyDescent="0.3">
      <c r="A258" s="4" t="s">
        <v>502</v>
      </c>
      <c r="B258" s="13" t="s">
        <v>13</v>
      </c>
      <c r="C258" s="13" t="s">
        <v>14</v>
      </c>
      <c r="D258" s="13" t="s">
        <v>29</v>
      </c>
      <c r="E258" s="13" t="s">
        <v>170</v>
      </c>
      <c r="F258" s="13" t="s">
        <v>17</v>
      </c>
      <c r="G258" s="13" t="s">
        <v>45</v>
      </c>
      <c r="H258" s="7">
        <v>45342</v>
      </c>
      <c r="I258" s="7">
        <v>45342</v>
      </c>
      <c r="J258" s="5">
        <f t="shared" si="9"/>
        <v>0</v>
      </c>
      <c r="K258" s="5" t="str">
        <f t="shared" si="10"/>
        <v>Met</v>
      </c>
      <c r="L258" s="7" t="str">
        <f t="shared" si="11"/>
        <v>Feb</v>
      </c>
    </row>
    <row r="259" spans="1:12" x14ac:dyDescent="0.3">
      <c r="A259" s="8" t="s">
        <v>503</v>
      </c>
      <c r="B259" s="12" t="s">
        <v>27</v>
      </c>
      <c r="C259" s="12" t="s">
        <v>47</v>
      </c>
      <c r="D259" s="12" t="s">
        <v>35</v>
      </c>
      <c r="E259" s="12" t="s">
        <v>172</v>
      </c>
      <c r="F259" s="12" t="s">
        <v>37</v>
      </c>
      <c r="G259" s="12" t="s">
        <v>31</v>
      </c>
      <c r="H259" s="11">
        <v>45430</v>
      </c>
      <c r="I259" s="10">
        <v>45430</v>
      </c>
      <c r="J259" s="5">
        <f t="shared" ref="J259:J322" si="12">I259-H259</f>
        <v>0</v>
      </c>
      <c r="K259" s="5" t="str">
        <f t="shared" ref="K259:K322" si="13">IF(J259&gt;= 1, "Not Met","Met")</f>
        <v>Met</v>
      </c>
      <c r="L259" s="7" t="str">
        <f t="shared" ref="L259:L322" si="14">TEXT(H259,"MMM")</f>
        <v>May</v>
      </c>
    </row>
    <row r="260" spans="1:12" x14ac:dyDescent="0.3">
      <c r="A260" s="4" t="s">
        <v>504</v>
      </c>
      <c r="B260" s="13" t="s">
        <v>13</v>
      </c>
      <c r="C260" s="13" t="s">
        <v>58</v>
      </c>
      <c r="D260" s="13" t="s">
        <v>79</v>
      </c>
      <c r="E260" s="13" t="s">
        <v>174</v>
      </c>
      <c r="F260" s="13" t="s">
        <v>24</v>
      </c>
      <c r="G260" s="13" t="s">
        <v>53</v>
      </c>
      <c r="H260" s="7">
        <v>45390</v>
      </c>
      <c r="I260" s="7">
        <v>45390</v>
      </c>
      <c r="J260" s="5">
        <f t="shared" si="12"/>
        <v>0</v>
      </c>
      <c r="K260" s="5" t="str">
        <f t="shared" si="13"/>
        <v>Met</v>
      </c>
      <c r="L260" s="7" t="str">
        <f t="shared" si="14"/>
        <v>Apr</v>
      </c>
    </row>
    <row r="261" spans="1:12" x14ac:dyDescent="0.3">
      <c r="A261" s="8" t="s">
        <v>505</v>
      </c>
      <c r="B261" s="12" t="s">
        <v>13</v>
      </c>
      <c r="C261" s="12" t="s">
        <v>61</v>
      </c>
      <c r="D261" s="12" t="s">
        <v>148</v>
      </c>
      <c r="E261" s="12" t="s">
        <v>176</v>
      </c>
      <c r="F261" s="12" t="s">
        <v>24</v>
      </c>
      <c r="G261" s="12" t="s">
        <v>45</v>
      </c>
      <c r="H261" s="11">
        <v>45352</v>
      </c>
      <c r="I261" s="10">
        <v>45352</v>
      </c>
      <c r="J261" s="5">
        <f t="shared" si="12"/>
        <v>0</v>
      </c>
      <c r="K261" s="5" t="str">
        <f t="shared" si="13"/>
        <v>Met</v>
      </c>
      <c r="L261" s="7" t="str">
        <f t="shared" si="14"/>
        <v>Mar</v>
      </c>
    </row>
    <row r="262" spans="1:12" x14ac:dyDescent="0.3">
      <c r="A262" s="4" t="s">
        <v>506</v>
      </c>
      <c r="B262" s="13" t="s">
        <v>27</v>
      </c>
      <c r="C262" s="13" t="s">
        <v>47</v>
      </c>
      <c r="D262" s="13" t="s">
        <v>35</v>
      </c>
      <c r="E262" s="13" t="s">
        <v>178</v>
      </c>
      <c r="F262" s="13" t="s">
        <v>37</v>
      </c>
      <c r="G262" s="13" t="s">
        <v>18</v>
      </c>
      <c r="H262" s="7">
        <v>45421</v>
      </c>
      <c r="I262" s="6">
        <v>45421</v>
      </c>
      <c r="J262" s="5">
        <f t="shared" si="12"/>
        <v>0</v>
      </c>
      <c r="K262" s="5" t="str">
        <f t="shared" si="13"/>
        <v>Met</v>
      </c>
      <c r="L262" s="7" t="str">
        <f t="shared" si="14"/>
        <v>May</v>
      </c>
    </row>
    <row r="263" spans="1:12" x14ac:dyDescent="0.3">
      <c r="A263" s="8" t="s">
        <v>507</v>
      </c>
      <c r="B263" s="12" t="s">
        <v>27</v>
      </c>
      <c r="C263" s="12" t="s">
        <v>153</v>
      </c>
      <c r="D263" s="12" t="s">
        <v>29</v>
      </c>
      <c r="E263" s="12" t="s">
        <v>180</v>
      </c>
      <c r="F263" s="12" t="s">
        <v>37</v>
      </c>
      <c r="G263" s="12" t="s">
        <v>18</v>
      </c>
      <c r="H263" s="11">
        <v>45309</v>
      </c>
      <c r="I263" s="11">
        <v>45309</v>
      </c>
      <c r="J263" s="5">
        <f t="shared" si="12"/>
        <v>0</v>
      </c>
      <c r="K263" s="5" t="str">
        <f t="shared" si="13"/>
        <v>Met</v>
      </c>
      <c r="L263" s="7" t="str">
        <f t="shared" si="14"/>
        <v>Jan</v>
      </c>
    </row>
    <row r="264" spans="1:12" x14ac:dyDescent="0.3">
      <c r="A264" s="4" t="s">
        <v>508</v>
      </c>
      <c r="B264" s="5" t="s">
        <v>13</v>
      </c>
      <c r="C264" s="13" t="s">
        <v>58</v>
      </c>
      <c r="D264" s="13" t="s">
        <v>66</v>
      </c>
      <c r="E264" s="13" t="s">
        <v>182</v>
      </c>
      <c r="F264" s="13" t="s">
        <v>17</v>
      </c>
      <c r="G264" s="13" t="s">
        <v>18</v>
      </c>
      <c r="H264" s="7">
        <v>45439</v>
      </c>
      <c r="I264" s="6">
        <v>45439</v>
      </c>
      <c r="J264" s="5">
        <f t="shared" si="12"/>
        <v>0</v>
      </c>
      <c r="K264" s="5" t="str">
        <f t="shared" si="13"/>
        <v>Met</v>
      </c>
      <c r="L264" s="7" t="str">
        <f t="shared" si="14"/>
        <v>May</v>
      </c>
    </row>
    <row r="265" spans="1:12" x14ac:dyDescent="0.3">
      <c r="A265" s="8" t="s">
        <v>509</v>
      </c>
      <c r="B265" s="12" t="s">
        <v>27</v>
      </c>
      <c r="C265" s="12" t="s">
        <v>28</v>
      </c>
      <c r="D265" s="12" t="s">
        <v>22</v>
      </c>
      <c r="E265" s="12" t="s">
        <v>184</v>
      </c>
      <c r="F265" s="12" t="s">
        <v>24</v>
      </c>
      <c r="G265" s="12" t="s">
        <v>25</v>
      </c>
      <c r="H265" s="11">
        <v>45406</v>
      </c>
      <c r="I265" s="10">
        <v>45406</v>
      </c>
      <c r="J265" s="5">
        <f t="shared" si="12"/>
        <v>0</v>
      </c>
      <c r="K265" s="5" t="str">
        <f t="shared" si="13"/>
        <v>Met</v>
      </c>
      <c r="L265" s="7" t="str">
        <f t="shared" si="14"/>
        <v>Apr</v>
      </c>
    </row>
    <row r="266" spans="1:12" x14ac:dyDescent="0.3">
      <c r="A266" s="4" t="s">
        <v>510</v>
      </c>
      <c r="B266" s="13" t="s">
        <v>13</v>
      </c>
      <c r="C266" s="13" t="s">
        <v>14</v>
      </c>
      <c r="D266" s="13" t="s">
        <v>66</v>
      </c>
      <c r="E266" s="13" t="s">
        <v>186</v>
      </c>
      <c r="F266" s="13" t="s">
        <v>24</v>
      </c>
      <c r="G266" s="13" t="s">
        <v>31</v>
      </c>
      <c r="H266" s="7">
        <v>45294</v>
      </c>
      <c r="I266" s="7">
        <v>45294</v>
      </c>
      <c r="J266" s="5">
        <f t="shared" si="12"/>
        <v>0</v>
      </c>
      <c r="K266" s="5" t="str">
        <f t="shared" si="13"/>
        <v>Met</v>
      </c>
      <c r="L266" s="7" t="str">
        <f t="shared" si="14"/>
        <v>Jan</v>
      </c>
    </row>
    <row r="267" spans="1:12" x14ac:dyDescent="0.3">
      <c r="A267" s="8" t="s">
        <v>511</v>
      </c>
      <c r="B267" s="12" t="s">
        <v>27</v>
      </c>
      <c r="C267" s="12" t="s">
        <v>153</v>
      </c>
      <c r="D267" s="12" t="s">
        <v>15</v>
      </c>
      <c r="E267" s="12" t="s">
        <v>188</v>
      </c>
      <c r="F267" s="12" t="s">
        <v>17</v>
      </c>
      <c r="G267" s="12" t="s">
        <v>42</v>
      </c>
      <c r="H267" s="11">
        <v>45408</v>
      </c>
      <c r="I267" s="10">
        <v>45408</v>
      </c>
      <c r="J267" s="5">
        <f t="shared" si="12"/>
        <v>0</v>
      </c>
      <c r="K267" s="5" t="str">
        <f t="shared" si="13"/>
        <v>Met</v>
      </c>
      <c r="L267" s="7" t="str">
        <f t="shared" si="14"/>
        <v>Apr</v>
      </c>
    </row>
    <row r="268" spans="1:12" x14ac:dyDescent="0.3">
      <c r="A268" s="4" t="s">
        <v>512</v>
      </c>
      <c r="B268" s="13" t="s">
        <v>20</v>
      </c>
      <c r="C268" s="13" t="s">
        <v>93</v>
      </c>
      <c r="D268" s="13" t="s">
        <v>22</v>
      </c>
      <c r="E268" s="13" t="s">
        <v>190</v>
      </c>
      <c r="F268" s="13" t="s">
        <v>37</v>
      </c>
      <c r="G268" s="13" t="s">
        <v>25</v>
      </c>
      <c r="H268" s="7">
        <v>45345</v>
      </c>
      <c r="I268" s="7">
        <v>45345</v>
      </c>
      <c r="J268" s="5">
        <f t="shared" si="12"/>
        <v>0</v>
      </c>
      <c r="K268" s="5" t="str">
        <f t="shared" si="13"/>
        <v>Met</v>
      </c>
      <c r="L268" s="7" t="str">
        <f t="shared" si="14"/>
        <v>Feb</v>
      </c>
    </row>
    <row r="269" spans="1:12" x14ac:dyDescent="0.3">
      <c r="A269" s="8" t="s">
        <v>513</v>
      </c>
      <c r="B269" s="12" t="s">
        <v>27</v>
      </c>
      <c r="C269" s="12" t="s">
        <v>153</v>
      </c>
      <c r="D269" s="12" t="s">
        <v>22</v>
      </c>
      <c r="E269" s="12" t="s">
        <v>192</v>
      </c>
      <c r="F269" s="12" t="s">
        <v>17</v>
      </c>
      <c r="G269" s="12" t="s">
        <v>31</v>
      </c>
      <c r="H269" s="11">
        <v>45397</v>
      </c>
      <c r="I269" s="11">
        <v>45397</v>
      </c>
      <c r="J269" s="5">
        <f t="shared" si="12"/>
        <v>0</v>
      </c>
      <c r="K269" s="5" t="str">
        <f t="shared" si="13"/>
        <v>Met</v>
      </c>
      <c r="L269" s="7" t="str">
        <f t="shared" si="14"/>
        <v>Apr</v>
      </c>
    </row>
    <row r="270" spans="1:12" x14ac:dyDescent="0.3">
      <c r="A270" s="4" t="s">
        <v>514</v>
      </c>
      <c r="B270" s="13" t="s">
        <v>20</v>
      </c>
      <c r="C270" s="13" t="s">
        <v>76</v>
      </c>
      <c r="D270" s="13" t="s">
        <v>86</v>
      </c>
      <c r="E270" s="13" t="s">
        <v>194</v>
      </c>
      <c r="F270" s="13" t="s">
        <v>17</v>
      </c>
      <c r="G270" s="13" t="s">
        <v>42</v>
      </c>
      <c r="H270" s="7">
        <v>45386</v>
      </c>
      <c r="I270" s="7">
        <v>45386</v>
      </c>
      <c r="J270" s="5">
        <f t="shared" si="12"/>
        <v>0</v>
      </c>
      <c r="K270" s="5" t="str">
        <f t="shared" si="13"/>
        <v>Met</v>
      </c>
      <c r="L270" s="7" t="str">
        <f t="shared" si="14"/>
        <v>Apr</v>
      </c>
    </row>
    <row r="271" spans="1:12" x14ac:dyDescent="0.3">
      <c r="A271" s="8" t="s">
        <v>515</v>
      </c>
      <c r="B271" s="12" t="s">
        <v>20</v>
      </c>
      <c r="C271" s="12" t="s">
        <v>93</v>
      </c>
      <c r="D271" s="12" t="s">
        <v>15</v>
      </c>
      <c r="E271" s="12" t="s">
        <v>196</v>
      </c>
      <c r="F271" s="12" t="s">
        <v>24</v>
      </c>
      <c r="G271" s="12" t="s">
        <v>42</v>
      </c>
      <c r="H271" s="11">
        <v>45437</v>
      </c>
      <c r="I271" s="10">
        <v>45437</v>
      </c>
      <c r="J271" s="5">
        <f t="shared" si="12"/>
        <v>0</v>
      </c>
      <c r="K271" s="5" t="str">
        <f t="shared" si="13"/>
        <v>Met</v>
      </c>
      <c r="L271" s="7" t="str">
        <f t="shared" si="14"/>
        <v>May</v>
      </c>
    </row>
    <row r="272" spans="1:12" x14ac:dyDescent="0.3">
      <c r="A272" s="4" t="s">
        <v>516</v>
      </c>
      <c r="B272" s="13" t="s">
        <v>20</v>
      </c>
      <c r="C272" s="13" t="s">
        <v>93</v>
      </c>
      <c r="D272" s="13" t="s">
        <v>22</v>
      </c>
      <c r="E272" s="13" t="s">
        <v>198</v>
      </c>
      <c r="F272" s="13" t="s">
        <v>24</v>
      </c>
      <c r="G272" s="13" t="s">
        <v>42</v>
      </c>
      <c r="H272" s="7">
        <v>45388</v>
      </c>
      <c r="I272" s="7">
        <v>45388</v>
      </c>
      <c r="J272" s="5">
        <f t="shared" si="12"/>
        <v>0</v>
      </c>
      <c r="K272" s="5" t="str">
        <f t="shared" si="13"/>
        <v>Met</v>
      </c>
      <c r="L272" s="7" t="str">
        <f t="shared" si="14"/>
        <v>Apr</v>
      </c>
    </row>
    <row r="273" spans="1:12" x14ac:dyDescent="0.3">
      <c r="A273" s="8" t="s">
        <v>517</v>
      </c>
      <c r="B273" s="12" t="s">
        <v>13</v>
      </c>
      <c r="C273" s="12" t="s">
        <v>58</v>
      </c>
      <c r="D273" s="12" t="s">
        <v>86</v>
      </c>
      <c r="E273" s="12" t="s">
        <v>200</v>
      </c>
      <c r="F273" s="12" t="s">
        <v>24</v>
      </c>
      <c r="G273" s="12" t="s">
        <v>25</v>
      </c>
      <c r="H273" s="11">
        <v>45371</v>
      </c>
      <c r="I273" s="10">
        <v>45371</v>
      </c>
      <c r="J273" s="5">
        <f t="shared" si="12"/>
        <v>0</v>
      </c>
      <c r="K273" s="5" t="str">
        <f t="shared" si="13"/>
        <v>Met</v>
      </c>
      <c r="L273" s="7" t="str">
        <f t="shared" si="14"/>
        <v>Mar</v>
      </c>
    </row>
    <row r="274" spans="1:12" x14ac:dyDescent="0.3">
      <c r="A274" s="4" t="s">
        <v>518</v>
      </c>
      <c r="B274" s="13" t="s">
        <v>20</v>
      </c>
      <c r="C274" s="13" t="s">
        <v>76</v>
      </c>
      <c r="D274" s="13" t="s">
        <v>22</v>
      </c>
      <c r="E274" s="13" t="s">
        <v>202</v>
      </c>
      <c r="F274" s="13" t="s">
        <v>24</v>
      </c>
      <c r="G274" s="13" t="s">
        <v>31</v>
      </c>
      <c r="H274" s="7">
        <v>45360</v>
      </c>
      <c r="I274" s="7">
        <v>45360</v>
      </c>
      <c r="J274" s="5">
        <f t="shared" si="12"/>
        <v>0</v>
      </c>
      <c r="K274" s="5" t="str">
        <f t="shared" si="13"/>
        <v>Met</v>
      </c>
      <c r="L274" s="7" t="str">
        <f t="shared" si="14"/>
        <v>Mar</v>
      </c>
    </row>
    <row r="275" spans="1:12" x14ac:dyDescent="0.3">
      <c r="A275" s="8" t="s">
        <v>519</v>
      </c>
      <c r="B275" s="12" t="s">
        <v>13</v>
      </c>
      <c r="C275" s="12" t="s">
        <v>61</v>
      </c>
      <c r="D275" s="12" t="s">
        <v>29</v>
      </c>
      <c r="E275" s="12" t="s">
        <v>204</v>
      </c>
      <c r="F275" s="12" t="s">
        <v>17</v>
      </c>
      <c r="G275" s="12" t="s">
        <v>42</v>
      </c>
      <c r="H275" s="11">
        <v>45434</v>
      </c>
      <c r="I275" s="10">
        <v>45434</v>
      </c>
      <c r="J275" s="5">
        <f t="shared" si="12"/>
        <v>0</v>
      </c>
      <c r="K275" s="5" t="str">
        <f t="shared" si="13"/>
        <v>Met</v>
      </c>
      <c r="L275" s="7" t="str">
        <f t="shared" si="14"/>
        <v>May</v>
      </c>
    </row>
    <row r="276" spans="1:12" x14ac:dyDescent="0.3">
      <c r="A276" s="4" t="s">
        <v>520</v>
      </c>
      <c r="B276" s="13" t="s">
        <v>27</v>
      </c>
      <c r="C276" s="13" t="s">
        <v>28</v>
      </c>
      <c r="D276" s="13" t="s">
        <v>86</v>
      </c>
      <c r="E276" s="13" t="s">
        <v>206</v>
      </c>
      <c r="F276" s="13" t="s">
        <v>17</v>
      </c>
      <c r="G276" s="13" t="s">
        <v>31</v>
      </c>
      <c r="H276" s="7">
        <v>45416</v>
      </c>
      <c r="I276" s="6">
        <v>45416</v>
      </c>
      <c r="J276" s="5">
        <f t="shared" si="12"/>
        <v>0</v>
      </c>
      <c r="K276" s="5" t="str">
        <f t="shared" si="13"/>
        <v>Met</v>
      </c>
      <c r="L276" s="7" t="str">
        <f t="shared" si="14"/>
        <v>May</v>
      </c>
    </row>
    <row r="277" spans="1:12" x14ac:dyDescent="0.3">
      <c r="A277" s="8" t="s">
        <v>521</v>
      </c>
      <c r="B277" s="12" t="s">
        <v>39</v>
      </c>
      <c r="C277" s="12" t="s">
        <v>96</v>
      </c>
      <c r="D277" s="12" t="s">
        <v>86</v>
      </c>
      <c r="E277" s="12" t="s">
        <v>208</v>
      </c>
      <c r="F277" s="12" t="s">
        <v>37</v>
      </c>
      <c r="G277" s="12" t="s">
        <v>45</v>
      </c>
      <c r="H277" s="11">
        <v>45336</v>
      </c>
      <c r="I277" s="11">
        <v>45336</v>
      </c>
      <c r="J277" s="5">
        <f t="shared" si="12"/>
        <v>0</v>
      </c>
      <c r="K277" s="5" t="str">
        <f t="shared" si="13"/>
        <v>Met</v>
      </c>
      <c r="L277" s="7" t="str">
        <f t="shared" si="14"/>
        <v>Feb</v>
      </c>
    </row>
    <row r="278" spans="1:12" x14ac:dyDescent="0.3">
      <c r="A278" s="4" t="s">
        <v>522</v>
      </c>
      <c r="B278" s="13" t="s">
        <v>27</v>
      </c>
      <c r="C278" s="13" t="s">
        <v>153</v>
      </c>
      <c r="D278" s="13" t="s">
        <v>66</v>
      </c>
      <c r="E278" s="13" t="s">
        <v>210</v>
      </c>
      <c r="F278" s="13" t="s">
        <v>17</v>
      </c>
      <c r="G278" s="13" t="s">
        <v>42</v>
      </c>
      <c r="H278" s="7">
        <v>45356</v>
      </c>
      <c r="I278" s="7">
        <v>45356</v>
      </c>
      <c r="J278" s="5">
        <f t="shared" si="12"/>
        <v>0</v>
      </c>
      <c r="K278" s="5" t="str">
        <f t="shared" si="13"/>
        <v>Met</v>
      </c>
      <c r="L278" s="7" t="str">
        <f t="shared" si="14"/>
        <v>Mar</v>
      </c>
    </row>
    <row r="279" spans="1:12" x14ac:dyDescent="0.3">
      <c r="A279" s="8" t="s">
        <v>523</v>
      </c>
      <c r="B279" s="12" t="s">
        <v>13</v>
      </c>
      <c r="C279" s="12" t="s">
        <v>14</v>
      </c>
      <c r="D279" s="12" t="s">
        <v>35</v>
      </c>
      <c r="E279" s="12" t="s">
        <v>212</v>
      </c>
      <c r="F279" s="12" t="s">
        <v>17</v>
      </c>
      <c r="G279" s="12" t="s">
        <v>31</v>
      </c>
      <c r="H279" s="11">
        <v>45409</v>
      </c>
      <c r="I279" s="11">
        <v>45409</v>
      </c>
      <c r="J279" s="5">
        <f t="shared" si="12"/>
        <v>0</v>
      </c>
      <c r="K279" s="5" t="str">
        <f t="shared" si="13"/>
        <v>Met</v>
      </c>
      <c r="L279" s="7" t="str">
        <f t="shared" si="14"/>
        <v>Apr</v>
      </c>
    </row>
    <row r="280" spans="1:12" x14ac:dyDescent="0.3">
      <c r="A280" s="4" t="s">
        <v>524</v>
      </c>
      <c r="B280" s="13" t="s">
        <v>33</v>
      </c>
      <c r="C280" s="13" t="s">
        <v>34</v>
      </c>
      <c r="D280" s="13" t="s">
        <v>148</v>
      </c>
      <c r="E280" s="13" t="s">
        <v>214</v>
      </c>
      <c r="F280" s="13" t="s">
        <v>37</v>
      </c>
      <c r="G280" s="13" t="s">
        <v>18</v>
      </c>
      <c r="H280" s="7">
        <v>45396</v>
      </c>
      <c r="I280" s="7">
        <v>45396</v>
      </c>
      <c r="J280" s="5">
        <f t="shared" si="12"/>
        <v>0</v>
      </c>
      <c r="K280" s="5" t="str">
        <f t="shared" si="13"/>
        <v>Met</v>
      </c>
      <c r="L280" s="7" t="str">
        <f t="shared" si="14"/>
        <v>Apr</v>
      </c>
    </row>
    <row r="281" spans="1:12" x14ac:dyDescent="0.3">
      <c r="A281" s="8" t="s">
        <v>525</v>
      </c>
      <c r="B281" s="12" t="s">
        <v>33</v>
      </c>
      <c r="C281" s="12" t="s">
        <v>34</v>
      </c>
      <c r="D281" s="12" t="s">
        <v>79</v>
      </c>
      <c r="E281" s="12" t="s">
        <v>216</v>
      </c>
      <c r="F281" s="12" t="s">
        <v>17</v>
      </c>
      <c r="G281" s="12" t="s">
        <v>45</v>
      </c>
      <c r="H281" s="11">
        <v>45339</v>
      </c>
      <c r="I281" s="11">
        <v>45339</v>
      </c>
      <c r="J281" s="5">
        <f t="shared" si="12"/>
        <v>0</v>
      </c>
      <c r="K281" s="5" t="str">
        <f t="shared" si="13"/>
        <v>Met</v>
      </c>
      <c r="L281" s="7" t="str">
        <f t="shared" si="14"/>
        <v>Feb</v>
      </c>
    </row>
    <row r="282" spans="1:12" x14ac:dyDescent="0.3">
      <c r="A282" s="4" t="s">
        <v>526</v>
      </c>
      <c r="B282" s="13" t="s">
        <v>27</v>
      </c>
      <c r="C282" s="13" t="s">
        <v>47</v>
      </c>
      <c r="D282" s="13" t="s">
        <v>66</v>
      </c>
      <c r="E282" s="13" t="s">
        <v>218</v>
      </c>
      <c r="F282" s="13" t="s">
        <v>17</v>
      </c>
      <c r="G282" s="13" t="s">
        <v>31</v>
      </c>
      <c r="H282" s="7">
        <v>45377</v>
      </c>
      <c r="I282" s="7">
        <v>45377</v>
      </c>
      <c r="J282" s="5">
        <f t="shared" si="12"/>
        <v>0</v>
      </c>
      <c r="K282" s="5" t="str">
        <f t="shared" si="13"/>
        <v>Met</v>
      </c>
      <c r="L282" s="7" t="str">
        <f t="shared" si="14"/>
        <v>Mar</v>
      </c>
    </row>
    <row r="283" spans="1:12" x14ac:dyDescent="0.3">
      <c r="A283" s="8" t="s">
        <v>527</v>
      </c>
      <c r="B283" s="12" t="s">
        <v>13</v>
      </c>
      <c r="C283" s="12" t="s">
        <v>61</v>
      </c>
      <c r="D283" s="12" t="s">
        <v>35</v>
      </c>
      <c r="E283" s="12" t="s">
        <v>220</v>
      </c>
      <c r="F283" s="12" t="s">
        <v>24</v>
      </c>
      <c r="G283" s="12" t="s">
        <v>18</v>
      </c>
      <c r="H283" s="11">
        <v>45438</v>
      </c>
      <c r="I283" s="10">
        <v>45438</v>
      </c>
      <c r="J283" s="5">
        <f t="shared" si="12"/>
        <v>0</v>
      </c>
      <c r="K283" s="5" t="str">
        <f t="shared" si="13"/>
        <v>Met</v>
      </c>
      <c r="L283" s="7" t="str">
        <f t="shared" si="14"/>
        <v>May</v>
      </c>
    </row>
    <row r="284" spans="1:12" x14ac:dyDescent="0.3">
      <c r="A284" s="4" t="s">
        <v>528</v>
      </c>
      <c r="B284" s="13" t="s">
        <v>27</v>
      </c>
      <c r="C284" s="13" t="s">
        <v>153</v>
      </c>
      <c r="D284" s="13" t="s">
        <v>35</v>
      </c>
      <c r="E284" s="13" t="s">
        <v>222</v>
      </c>
      <c r="F284" s="13" t="s">
        <v>24</v>
      </c>
      <c r="G284" s="13" t="s">
        <v>25</v>
      </c>
      <c r="H284" s="7">
        <v>45409</v>
      </c>
      <c r="I284" s="6">
        <v>45409</v>
      </c>
      <c r="J284" s="5">
        <f t="shared" si="12"/>
        <v>0</v>
      </c>
      <c r="K284" s="5" t="str">
        <f t="shared" si="13"/>
        <v>Met</v>
      </c>
      <c r="L284" s="7" t="str">
        <f t="shared" si="14"/>
        <v>Apr</v>
      </c>
    </row>
    <row r="285" spans="1:12" x14ac:dyDescent="0.3">
      <c r="A285" s="8" t="s">
        <v>529</v>
      </c>
      <c r="B285" s="12" t="s">
        <v>33</v>
      </c>
      <c r="C285" s="12" t="s">
        <v>69</v>
      </c>
      <c r="D285" s="12" t="s">
        <v>148</v>
      </c>
      <c r="E285" s="12" t="s">
        <v>224</v>
      </c>
      <c r="F285" s="12" t="s">
        <v>37</v>
      </c>
      <c r="G285" s="12" t="s">
        <v>45</v>
      </c>
      <c r="H285" s="11">
        <v>45421</v>
      </c>
      <c r="I285" s="10">
        <v>45421</v>
      </c>
      <c r="J285" s="5">
        <f t="shared" si="12"/>
        <v>0</v>
      </c>
      <c r="K285" s="5" t="str">
        <f t="shared" si="13"/>
        <v>Met</v>
      </c>
      <c r="L285" s="7" t="str">
        <f t="shared" si="14"/>
        <v>May</v>
      </c>
    </row>
    <row r="286" spans="1:12" x14ac:dyDescent="0.3">
      <c r="A286" s="4" t="s">
        <v>530</v>
      </c>
      <c r="B286" s="13" t="s">
        <v>13</v>
      </c>
      <c r="C286" s="13" t="s">
        <v>14</v>
      </c>
      <c r="D286" s="13" t="s">
        <v>86</v>
      </c>
      <c r="E286" s="13" t="s">
        <v>226</v>
      </c>
      <c r="F286" s="13" t="s">
        <v>24</v>
      </c>
      <c r="G286" s="13" t="s">
        <v>42</v>
      </c>
      <c r="H286" s="7">
        <v>45358</v>
      </c>
      <c r="I286" s="6">
        <v>45358</v>
      </c>
      <c r="J286" s="5">
        <f t="shared" si="12"/>
        <v>0</v>
      </c>
      <c r="K286" s="5" t="str">
        <f t="shared" si="13"/>
        <v>Met</v>
      </c>
      <c r="L286" s="7" t="str">
        <f t="shared" si="14"/>
        <v>Mar</v>
      </c>
    </row>
    <row r="287" spans="1:12" x14ac:dyDescent="0.3">
      <c r="A287" s="8" t="s">
        <v>531</v>
      </c>
      <c r="B287" s="12" t="s">
        <v>13</v>
      </c>
      <c r="C287" s="12" t="s">
        <v>61</v>
      </c>
      <c r="D287" s="12" t="s">
        <v>86</v>
      </c>
      <c r="E287" s="12" t="s">
        <v>228</v>
      </c>
      <c r="F287" s="12" t="s">
        <v>17</v>
      </c>
      <c r="G287" s="12" t="s">
        <v>42</v>
      </c>
      <c r="H287" s="11">
        <v>45401</v>
      </c>
      <c r="I287" s="11">
        <v>45401</v>
      </c>
      <c r="J287" s="5">
        <f t="shared" si="12"/>
        <v>0</v>
      </c>
      <c r="K287" s="5" t="str">
        <f t="shared" si="13"/>
        <v>Met</v>
      </c>
      <c r="L287" s="7" t="str">
        <f t="shared" si="14"/>
        <v>Apr</v>
      </c>
    </row>
    <row r="288" spans="1:12" x14ac:dyDescent="0.3">
      <c r="A288" s="4" t="s">
        <v>532</v>
      </c>
      <c r="B288" s="13" t="s">
        <v>39</v>
      </c>
      <c r="C288" s="13" t="s">
        <v>40</v>
      </c>
      <c r="D288" s="13" t="s">
        <v>148</v>
      </c>
      <c r="E288" s="13" t="s">
        <v>230</v>
      </c>
      <c r="F288" s="13" t="s">
        <v>24</v>
      </c>
      <c r="G288" s="13" t="s">
        <v>53</v>
      </c>
      <c r="H288" s="7">
        <v>45320</v>
      </c>
      <c r="I288" s="7">
        <v>45320</v>
      </c>
      <c r="J288" s="5">
        <f t="shared" si="12"/>
        <v>0</v>
      </c>
      <c r="K288" s="5" t="str">
        <f t="shared" si="13"/>
        <v>Met</v>
      </c>
      <c r="L288" s="7" t="str">
        <f t="shared" si="14"/>
        <v>Jan</v>
      </c>
    </row>
    <row r="289" spans="1:12" x14ac:dyDescent="0.3">
      <c r="A289" s="8" t="s">
        <v>533</v>
      </c>
      <c r="B289" s="12" t="s">
        <v>13</v>
      </c>
      <c r="C289" s="12" t="s">
        <v>14</v>
      </c>
      <c r="D289" s="12" t="s">
        <v>66</v>
      </c>
      <c r="E289" s="12" t="s">
        <v>232</v>
      </c>
      <c r="F289" s="12" t="s">
        <v>24</v>
      </c>
      <c r="G289" s="12" t="s">
        <v>45</v>
      </c>
      <c r="H289" s="11">
        <v>45366</v>
      </c>
      <c r="I289" s="10">
        <v>45366</v>
      </c>
      <c r="J289" s="5">
        <f t="shared" si="12"/>
        <v>0</v>
      </c>
      <c r="K289" s="5" t="str">
        <f t="shared" si="13"/>
        <v>Met</v>
      </c>
      <c r="L289" s="7" t="str">
        <f t="shared" si="14"/>
        <v>Mar</v>
      </c>
    </row>
    <row r="290" spans="1:12" x14ac:dyDescent="0.3">
      <c r="A290" s="4" t="s">
        <v>534</v>
      </c>
      <c r="B290" s="13" t="s">
        <v>27</v>
      </c>
      <c r="C290" s="13" t="s">
        <v>153</v>
      </c>
      <c r="D290" s="13" t="s">
        <v>35</v>
      </c>
      <c r="E290" s="13" t="s">
        <v>234</v>
      </c>
      <c r="F290" s="13" t="s">
        <v>37</v>
      </c>
      <c r="G290" s="13" t="s">
        <v>53</v>
      </c>
      <c r="H290" s="7">
        <v>45372</v>
      </c>
      <c r="I290" s="7">
        <v>45372</v>
      </c>
      <c r="J290" s="5">
        <f t="shared" si="12"/>
        <v>0</v>
      </c>
      <c r="K290" s="5" t="str">
        <f t="shared" si="13"/>
        <v>Met</v>
      </c>
      <c r="L290" s="7" t="str">
        <f t="shared" si="14"/>
        <v>Mar</v>
      </c>
    </row>
    <row r="291" spans="1:12" x14ac:dyDescent="0.3">
      <c r="A291" s="8" t="s">
        <v>535</v>
      </c>
      <c r="B291" s="12" t="s">
        <v>20</v>
      </c>
      <c r="C291" s="12" t="s">
        <v>21</v>
      </c>
      <c r="D291" s="12" t="s">
        <v>86</v>
      </c>
      <c r="E291" s="12" t="s">
        <v>236</v>
      </c>
      <c r="F291" s="12" t="s">
        <v>37</v>
      </c>
      <c r="G291" s="12" t="s">
        <v>25</v>
      </c>
      <c r="H291" s="11">
        <v>45414</v>
      </c>
      <c r="I291" s="10">
        <v>45414</v>
      </c>
      <c r="J291" s="5">
        <f t="shared" si="12"/>
        <v>0</v>
      </c>
      <c r="K291" s="5" t="str">
        <f t="shared" si="13"/>
        <v>Met</v>
      </c>
      <c r="L291" s="7" t="str">
        <f t="shared" si="14"/>
        <v>May</v>
      </c>
    </row>
    <row r="292" spans="1:12" x14ac:dyDescent="0.3">
      <c r="A292" s="4" t="s">
        <v>536</v>
      </c>
      <c r="B292" s="13" t="s">
        <v>33</v>
      </c>
      <c r="C292" s="13" t="s">
        <v>55</v>
      </c>
      <c r="D292" s="13" t="s">
        <v>79</v>
      </c>
      <c r="E292" s="13" t="s">
        <v>238</v>
      </c>
      <c r="F292" s="13" t="s">
        <v>24</v>
      </c>
      <c r="G292" s="13" t="s">
        <v>31</v>
      </c>
      <c r="H292" s="7">
        <v>45301</v>
      </c>
      <c r="I292" s="7">
        <v>45301</v>
      </c>
      <c r="J292" s="5">
        <f t="shared" si="12"/>
        <v>0</v>
      </c>
      <c r="K292" s="5" t="str">
        <f t="shared" si="13"/>
        <v>Met</v>
      </c>
      <c r="L292" s="7" t="str">
        <f t="shared" si="14"/>
        <v>Jan</v>
      </c>
    </row>
    <row r="293" spans="1:12" x14ac:dyDescent="0.3">
      <c r="A293" s="8" t="s">
        <v>537</v>
      </c>
      <c r="B293" s="9" t="s">
        <v>13</v>
      </c>
      <c r="C293" s="12" t="s">
        <v>14</v>
      </c>
      <c r="D293" s="12" t="s">
        <v>22</v>
      </c>
      <c r="E293" s="12" t="s">
        <v>240</v>
      </c>
      <c r="F293" s="12" t="s">
        <v>17</v>
      </c>
      <c r="G293" s="12" t="s">
        <v>18</v>
      </c>
      <c r="H293" s="11">
        <v>45399</v>
      </c>
      <c r="I293" s="11">
        <v>45399</v>
      </c>
      <c r="J293" s="5">
        <f t="shared" si="12"/>
        <v>0</v>
      </c>
      <c r="K293" s="5" t="str">
        <f t="shared" si="13"/>
        <v>Met</v>
      </c>
      <c r="L293" s="7" t="str">
        <f t="shared" si="14"/>
        <v>Apr</v>
      </c>
    </row>
    <row r="294" spans="1:12" x14ac:dyDescent="0.3">
      <c r="A294" s="4" t="s">
        <v>538</v>
      </c>
      <c r="B294" s="13" t="s">
        <v>20</v>
      </c>
      <c r="C294" s="13" t="s">
        <v>21</v>
      </c>
      <c r="D294" s="5" t="s">
        <v>29</v>
      </c>
      <c r="E294" s="13" t="s">
        <v>242</v>
      </c>
      <c r="F294" s="13" t="s">
        <v>24</v>
      </c>
      <c r="G294" s="13" t="s">
        <v>45</v>
      </c>
      <c r="H294" s="7">
        <v>45373</v>
      </c>
      <c r="I294" s="6">
        <v>45373</v>
      </c>
      <c r="J294" s="5">
        <f t="shared" si="12"/>
        <v>0</v>
      </c>
      <c r="K294" s="5" t="str">
        <f t="shared" si="13"/>
        <v>Met</v>
      </c>
      <c r="L294" s="7" t="str">
        <f t="shared" si="14"/>
        <v>Mar</v>
      </c>
    </row>
    <row r="295" spans="1:12" x14ac:dyDescent="0.3">
      <c r="A295" s="8" t="s">
        <v>539</v>
      </c>
      <c r="B295" s="12" t="s">
        <v>27</v>
      </c>
      <c r="C295" s="12" t="s">
        <v>28</v>
      </c>
      <c r="D295" s="12" t="s">
        <v>86</v>
      </c>
      <c r="E295" s="12" t="s">
        <v>244</v>
      </c>
      <c r="F295" s="12" t="s">
        <v>37</v>
      </c>
      <c r="G295" s="12" t="s">
        <v>18</v>
      </c>
      <c r="H295" s="11">
        <v>45356</v>
      </c>
      <c r="I295" s="11">
        <v>45356</v>
      </c>
      <c r="J295" s="5">
        <f t="shared" si="12"/>
        <v>0</v>
      </c>
      <c r="K295" s="5" t="str">
        <f t="shared" si="13"/>
        <v>Met</v>
      </c>
      <c r="L295" s="7" t="str">
        <f t="shared" si="14"/>
        <v>Mar</v>
      </c>
    </row>
    <row r="296" spans="1:12" x14ac:dyDescent="0.3">
      <c r="A296" s="4" t="s">
        <v>540</v>
      </c>
      <c r="B296" s="13" t="s">
        <v>20</v>
      </c>
      <c r="C296" s="13" t="s">
        <v>93</v>
      </c>
      <c r="D296" s="13" t="s">
        <v>66</v>
      </c>
      <c r="E296" s="13" t="s">
        <v>246</v>
      </c>
      <c r="F296" s="13" t="s">
        <v>24</v>
      </c>
      <c r="G296" s="13" t="s">
        <v>31</v>
      </c>
      <c r="H296" s="7">
        <v>45321</v>
      </c>
      <c r="I296" s="7">
        <v>45321</v>
      </c>
      <c r="J296" s="5">
        <f t="shared" si="12"/>
        <v>0</v>
      </c>
      <c r="K296" s="5" t="str">
        <f t="shared" si="13"/>
        <v>Met</v>
      </c>
      <c r="L296" s="7" t="str">
        <f t="shared" si="14"/>
        <v>Jan</v>
      </c>
    </row>
    <row r="297" spans="1:12" x14ac:dyDescent="0.3">
      <c r="A297" s="8" t="s">
        <v>541</v>
      </c>
      <c r="B297" s="12" t="s">
        <v>39</v>
      </c>
      <c r="C297" s="12" t="s">
        <v>96</v>
      </c>
      <c r="D297" s="12" t="s">
        <v>35</v>
      </c>
      <c r="E297" s="12" t="s">
        <v>248</v>
      </c>
      <c r="F297" s="12" t="s">
        <v>37</v>
      </c>
      <c r="G297" s="12" t="s">
        <v>53</v>
      </c>
      <c r="H297" s="11">
        <v>45303</v>
      </c>
      <c r="I297" s="11">
        <v>45303</v>
      </c>
      <c r="J297" s="5">
        <f t="shared" si="12"/>
        <v>0</v>
      </c>
      <c r="K297" s="5" t="str">
        <f t="shared" si="13"/>
        <v>Met</v>
      </c>
      <c r="L297" s="7" t="str">
        <f t="shared" si="14"/>
        <v>Jan</v>
      </c>
    </row>
    <row r="298" spans="1:12" x14ac:dyDescent="0.3">
      <c r="A298" s="4" t="s">
        <v>542</v>
      </c>
      <c r="B298" s="13" t="s">
        <v>39</v>
      </c>
      <c r="C298" s="13" t="s">
        <v>99</v>
      </c>
      <c r="D298" s="13" t="s">
        <v>86</v>
      </c>
      <c r="E298" s="13" t="s">
        <v>250</v>
      </c>
      <c r="F298" s="13" t="s">
        <v>24</v>
      </c>
      <c r="G298" s="13" t="s">
        <v>45</v>
      </c>
      <c r="H298" s="7">
        <v>45433</v>
      </c>
      <c r="I298" s="6">
        <v>45433</v>
      </c>
      <c r="J298" s="5">
        <f t="shared" si="12"/>
        <v>0</v>
      </c>
      <c r="K298" s="5" t="str">
        <f t="shared" si="13"/>
        <v>Met</v>
      </c>
      <c r="L298" s="7" t="str">
        <f t="shared" si="14"/>
        <v>May</v>
      </c>
    </row>
    <row r="299" spans="1:12" x14ac:dyDescent="0.3">
      <c r="A299" s="8" t="s">
        <v>543</v>
      </c>
      <c r="B299" s="12" t="s">
        <v>27</v>
      </c>
      <c r="C299" s="12" t="s">
        <v>47</v>
      </c>
      <c r="D299" s="12" t="s">
        <v>86</v>
      </c>
      <c r="E299" s="12" t="s">
        <v>252</v>
      </c>
      <c r="F299" s="12" t="s">
        <v>37</v>
      </c>
      <c r="G299" s="12" t="s">
        <v>25</v>
      </c>
      <c r="H299" s="11">
        <v>45415</v>
      </c>
      <c r="I299" s="10">
        <v>45415</v>
      </c>
      <c r="J299" s="5">
        <f t="shared" si="12"/>
        <v>0</v>
      </c>
      <c r="K299" s="5" t="str">
        <f t="shared" si="13"/>
        <v>Met</v>
      </c>
      <c r="L299" s="7" t="str">
        <f t="shared" si="14"/>
        <v>May</v>
      </c>
    </row>
    <row r="300" spans="1:12" x14ac:dyDescent="0.3">
      <c r="A300" s="4" t="s">
        <v>544</v>
      </c>
      <c r="B300" s="13" t="s">
        <v>39</v>
      </c>
      <c r="C300" s="13" t="s">
        <v>99</v>
      </c>
      <c r="D300" s="13" t="s">
        <v>29</v>
      </c>
      <c r="E300" s="13" t="s">
        <v>254</v>
      </c>
      <c r="F300" s="13" t="s">
        <v>37</v>
      </c>
      <c r="G300" s="13" t="s">
        <v>53</v>
      </c>
      <c r="H300" s="7">
        <v>45421</v>
      </c>
      <c r="I300" s="6">
        <v>45421</v>
      </c>
      <c r="J300" s="5">
        <f t="shared" si="12"/>
        <v>0</v>
      </c>
      <c r="K300" s="5" t="str">
        <f t="shared" si="13"/>
        <v>Met</v>
      </c>
      <c r="L300" s="7" t="str">
        <f t="shared" si="14"/>
        <v>May</v>
      </c>
    </row>
    <row r="301" spans="1:12" x14ac:dyDescent="0.3">
      <c r="A301" s="8" t="s">
        <v>545</v>
      </c>
      <c r="B301" s="12" t="s">
        <v>39</v>
      </c>
      <c r="C301" s="12" t="s">
        <v>40</v>
      </c>
      <c r="D301" s="12" t="s">
        <v>148</v>
      </c>
      <c r="E301" s="12" t="s">
        <v>256</v>
      </c>
      <c r="F301" s="12" t="s">
        <v>24</v>
      </c>
      <c r="G301" s="12" t="s">
        <v>53</v>
      </c>
      <c r="H301" s="11">
        <v>45461</v>
      </c>
      <c r="I301" s="10">
        <v>45461</v>
      </c>
      <c r="J301" s="5">
        <f t="shared" si="12"/>
        <v>0</v>
      </c>
      <c r="K301" s="5" t="str">
        <f t="shared" si="13"/>
        <v>Met</v>
      </c>
      <c r="L301" s="7" t="str">
        <f t="shared" si="14"/>
        <v>Jun</v>
      </c>
    </row>
    <row r="302" spans="1:12" x14ac:dyDescent="0.3">
      <c r="A302" s="4" t="s">
        <v>546</v>
      </c>
      <c r="B302" s="13" t="s">
        <v>27</v>
      </c>
      <c r="C302" s="13" t="s">
        <v>47</v>
      </c>
      <c r="D302" s="13" t="s">
        <v>148</v>
      </c>
      <c r="E302" s="13" t="s">
        <v>258</v>
      </c>
      <c r="F302" s="13" t="s">
        <v>17</v>
      </c>
      <c r="G302" s="13" t="s">
        <v>42</v>
      </c>
      <c r="H302" s="7">
        <v>45412</v>
      </c>
      <c r="I302" s="7">
        <v>45412</v>
      </c>
      <c r="J302" s="5">
        <f t="shared" si="12"/>
        <v>0</v>
      </c>
      <c r="K302" s="5" t="str">
        <f t="shared" si="13"/>
        <v>Met</v>
      </c>
      <c r="L302" s="7" t="str">
        <f t="shared" si="14"/>
        <v>Apr</v>
      </c>
    </row>
    <row r="303" spans="1:12" x14ac:dyDescent="0.3">
      <c r="A303" s="8" t="s">
        <v>547</v>
      </c>
      <c r="B303" s="12" t="s">
        <v>39</v>
      </c>
      <c r="C303" s="12" t="s">
        <v>99</v>
      </c>
      <c r="D303" s="12" t="s">
        <v>35</v>
      </c>
      <c r="E303" s="12" t="s">
        <v>260</v>
      </c>
      <c r="F303" s="12" t="s">
        <v>24</v>
      </c>
      <c r="G303" s="12" t="s">
        <v>31</v>
      </c>
      <c r="H303" s="11">
        <v>45391</v>
      </c>
      <c r="I303" s="11">
        <v>45391</v>
      </c>
      <c r="J303" s="5">
        <f t="shared" si="12"/>
        <v>0</v>
      </c>
      <c r="K303" s="5" t="str">
        <f t="shared" si="13"/>
        <v>Met</v>
      </c>
      <c r="L303" s="7" t="str">
        <f t="shared" si="14"/>
        <v>Apr</v>
      </c>
    </row>
    <row r="304" spans="1:12" x14ac:dyDescent="0.3">
      <c r="A304" s="4" t="s">
        <v>548</v>
      </c>
      <c r="B304" s="13" t="s">
        <v>33</v>
      </c>
      <c r="C304" s="13" t="s">
        <v>69</v>
      </c>
      <c r="D304" s="13" t="s">
        <v>22</v>
      </c>
      <c r="E304" s="13" t="s">
        <v>262</v>
      </c>
      <c r="F304" s="13" t="s">
        <v>37</v>
      </c>
      <c r="G304" s="13" t="s">
        <v>42</v>
      </c>
      <c r="H304" s="7">
        <v>45408</v>
      </c>
      <c r="I304" s="6">
        <v>45408</v>
      </c>
      <c r="J304" s="5">
        <f t="shared" si="12"/>
        <v>0</v>
      </c>
      <c r="K304" s="5" t="str">
        <f t="shared" si="13"/>
        <v>Met</v>
      </c>
      <c r="L304" s="7" t="str">
        <f t="shared" si="14"/>
        <v>Apr</v>
      </c>
    </row>
    <row r="305" spans="1:12" x14ac:dyDescent="0.3">
      <c r="A305" s="8" t="s">
        <v>549</v>
      </c>
      <c r="B305" s="12" t="s">
        <v>27</v>
      </c>
      <c r="C305" s="12" t="s">
        <v>47</v>
      </c>
      <c r="D305" s="12" t="s">
        <v>29</v>
      </c>
      <c r="E305" s="12" t="s">
        <v>264</v>
      </c>
      <c r="F305" s="12" t="s">
        <v>37</v>
      </c>
      <c r="G305" s="12" t="s">
        <v>45</v>
      </c>
      <c r="H305" s="11">
        <v>45356</v>
      </c>
      <c r="I305" s="10">
        <v>45357</v>
      </c>
      <c r="J305" s="5">
        <f t="shared" si="12"/>
        <v>1</v>
      </c>
      <c r="K305" s="5" t="str">
        <f t="shared" si="13"/>
        <v>Not Met</v>
      </c>
      <c r="L305" s="7" t="str">
        <f t="shared" si="14"/>
        <v>Mar</v>
      </c>
    </row>
    <row r="306" spans="1:12" x14ac:dyDescent="0.3">
      <c r="A306" s="4" t="s">
        <v>550</v>
      </c>
      <c r="B306" s="13" t="s">
        <v>27</v>
      </c>
      <c r="C306" s="13" t="s">
        <v>28</v>
      </c>
      <c r="D306" s="13" t="s">
        <v>35</v>
      </c>
      <c r="E306" s="13" t="s">
        <v>266</v>
      </c>
      <c r="F306" s="13" t="s">
        <v>37</v>
      </c>
      <c r="G306" s="13" t="s">
        <v>31</v>
      </c>
      <c r="H306" s="7">
        <v>45430</v>
      </c>
      <c r="I306" s="6">
        <v>45430</v>
      </c>
      <c r="J306" s="5">
        <f t="shared" si="12"/>
        <v>0</v>
      </c>
      <c r="K306" s="5" t="str">
        <f t="shared" si="13"/>
        <v>Met</v>
      </c>
      <c r="L306" s="7" t="str">
        <f t="shared" si="14"/>
        <v>May</v>
      </c>
    </row>
    <row r="307" spans="1:12" x14ac:dyDescent="0.3">
      <c r="A307" s="8" t="s">
        <v>551</v>
      </c>
      <c r="B307" s="9" t="s">
        <v>13</v>
      </c>
      <c r="C307" s="12" t="s">
        <v>61</v>
      </c>
      <c r="D307" s="12" t="s">
        <v>79</v>
      </c>
      <c r="E307" s="12" t="s">
        <v>268</v>
      </c>
      <c r="F307" s="12" t="s">
        <v>17</v>
      </c>
      <c r="G307" s="12" t="s">
        <v>53</v>
      </c>
      <c r="H307" s="11">
        <v>45360</v>
      </c>
      <c r="I307" s="11">
        <v>45360</v>
      </c>
      <c r="J307" s="5">
        <f t="shared" si="12"/>
        <v>0</v>
      </c>
      <c r="K307" s="5" t="str">
        <f t="shared" si="13"/>
        <v>Met</v>
      </c>
      <c r="L307" s="7" t="str">
        <f t="shared" si="14"/>
        <v>Mar</v>
      </c>
    </row>
    <row r="308" spans="1:12" x14ac:dyDescent="0.3">
      <c r="A308" s="4" t="s">
        <v>552</v>
      </c>
      <c r="B308" s="13" t="s">
        <v>39</v>
      </c>
      <c r="C308" s="13" t="s">
        <v>96</v>
      </c>
      <c r="D308" s="13" t="s">
        <v>15</v>
      </c>
      <c r="E308" s="13" t="s">
        <v>270</v>
      </c>
      <c r="F308" s="13" t="s">
        <v>37</v>
      </c>
      <c r="G308" s="13" t="s">
        <v>42</v>
      </c>
      <c r="H308" s="7">
        <v>45318</v>
      </c>
      <c r="I308" s="7">
        <v>45318</v>
      </c>
      <c r="J308" s="5">
        <f t="shared" si="12"/>
        <v>0</v>
      </c>
      <c r="K308" s="5" t="str">
        <f t="shared" si="13"/>
        <v>Met</v>
      </c>
      <c r="L308" s="7" t="str">
        <f t="shared" si="14"/>
        <v>Jan</v>
      </c>
    </row>
    <row r="309" spans="1:12" x14ac:dyDescent="0.3">
      <c r="A309" s="8" t="s">
        <v>553</v>
      </c>
      <c r="B309" s="12" t="s">
        <v>27</v>
      </c>
      <c r="C309" s="12" t="s">
        <v>153</v>
      </c>
      <c r="D309" s="12" t="s">
        <v>35</v>
      </c>
      <c r="E309" s="12" t="s">
        <v>272</v>
      </c>
      <c r="F309" s="12" t="s">
        <v>24</v>
      </c>
      <c r="G309" s="12" t="s">
        <v>45</v>
      </c>
      <c r="H309" s="11">
        <v>45313</v>
      </c>
      <c r="I309" s="11">
        <v>45313</v>
      </c>
      <c r="J309" s="5">
        <f t="shared" si="12"/>
        <v>0</v>
      </c>
      <c r="K309" s="5" t="str">
        <f t="shared" si="13"/>
        <v>Met</v>
      </c>
      <c r="L309" s="7" t="str">
        <f t="shared" si="14"/>
        <v>Jan</v>
      </c>
    </row>
    <row r="310" spans="1:12" x14ac:dyDescent="0.3">
      <c r="A310" s="4" t="s">
        <v>554</v>
      </c>
      <c r="B310" s="13" t="s">
        <v>20</v>
      </c>
      <c r="C310" s="13" t="s">
        <v>93</v>
      </c>
      <c r="D310" s="13" t="s">
        <v>35</v>
      </c>
      <c r="E310" s="13" t="s">
        <v>274</v>
      </c>
      <c r="F310" s="13" t="s">
        <v>24</v>
      </c>
      <c r="G310" s="13" t="s">
        <v>45</v>
      </c>
      <c r="H310" s="7">
        <v>45378</v>
      </c>
      <c r="I310" s="6">
        <v>45379</v>
      </c>
      <c r="J310" s="5">
        <f t="shared" si="12"/>
        <v>1</v>
      </c>
      <c r="K310" s="5" t="str">
        <f t="shared" si="13"/>
        <v>Not Met</v>
      </c>
      <c r="L310" s="7" t="str">
        <f t="shared" si="14"/>
        <v>Mar</v>
      </c>
    </row>
    <row r="311" spans="1:12" x14ac:dyDescent="0.3">
      <c r="A311" s="8" t="s">
        <v>555</v>
      </c>
      <c r="B311" s="12" t="s">
        <v>33</v>
      </c>
      <c r="C311" s="12" t="s">
        <v>34</v>
      </c>
      <c r="D311" s="12" t="s">
        <v>35</v>
      </c>
      <c r="E311" s="12" t="s">
        <v>276</v>
      </c>
      <c r="F311" s="12" t="s">
        <v>17</v>
      </c>
      <c r="G311" s="12" t="s">
        <v>25</v>
      </c>
      <c r="H311" s="11">
        <v>45365</v>
      </c>
      <c r="I311" s="11">
        <v>45365</v>
      </c>
      <c r="J311" s="5">
        <f t="shared" si="12"/>
        <v>0</v>
      </c>
      <c r="K311" s="5" t="str">
        <f t="shared" si="13"/>
        <v>Met</v>
      </c>
      <c r="L311" s="7" t="str">
        <f t="shared" si="14"/>
        <v>Mar</v>
      </c>
    </row>
    <row r="312" spans="1:12" x14ac:dyDescent="0.3">
      <c r="A312" s="4" t="s">
        <v>556</v>
      </c>
      <c r="B312" s="5" t="s">
        <v>13</v>
      </c>
      <c r="C312" s="13" t="s">
        <v>58</v>
      </c>
      <c r="D312" s="13" t="s">
        <v>66</v>
      </c>
      <c r="E312" s="13" t="s">
        <v>278</v>
      </c>
      <c r="F312" s="13" t="s">
        <v>17</v>
      </c>
      <c r="G312" s="13" t="s">
        <v>45</v>
      </c>
      <c r="H312" s="7">
        <v>45393</v>
      </c>
      <c r="I312" s="7">
        <v>45393</v>
      </c>
      <c r="J312" s="5">
        <f t="shared" si="12"/>
        <v>0</v>
      </c>
      <c r="K312" s="5" t="str">
        <f t="shared" si="13"/>
        <v>Met</v>
      </c>
      <c r="L312" s="7" t="str">
        <f t="shared" si="14"/>
        <v>Apr</v>
      </c>
    </row>
    <row r="313" spans="1:12" x14ac:dyDescent="0.3">
      <c r="A313" s="8" t="s">
        <v>557</v>
      </c>
      <c r="B313" s="12" t="s">
        <v>27</v>
      </c>
      <c r="C313" s="12" t="s">
        <v>28</v>
      </c>
      <c r="D313" s="12" t="s">
        <v>66</v>
      </c>
      <c r="E313" s="12" t="s">
        <v>280</v>
      </c>
      <c r="F313" s="12" t="s">
        <v>24</v>
      </c>
      <c r="G313" s="12" t="s">
        <v>25</v>
      </c>
      <c r="H313" s="11">
        <v>45432</v>
      </c>
      <c r="I313" s="10">
        <v>45432</v>
      </c>
      <c r="J313" s="5">
        <f t="shared" si="12"/>
        <v>0</v>
      </c>
      <c r="K313" s="5" t="str">
        <f t="shared" si="13"/>
        <v>Met</v>
      </c>
      <c r="L313" s="7" t="str">
        <f t="shared" si="14"/>
        <v>May</v>
      </c>
    </row>
    <row r="314" spans="1:12" x14ac:dyDescent="0.3">
      <c r="A314" s="4" t="s">
        <v>558</v>
      </c>
      <c r="B314" s="13" t="s">
        <v>27</v>
      </c>
      <c r="C314" s="13" t="s">
        <v>153</v>
      </c>
      <c r="D314" s="13" t="s">
        <v>79</v>
      </c>
      <c r="E314" s="13" t="s">
        <v>282</v>
      </c>
      <c r="F314" s="13" t="s">
        <v>37</v>
      </c>
      <c r="G314" s="13" t="s">
        <v>53</v>
      </c>
      <c r="H314" s="7">
        <v>45296</v>
      </c>
      <c r="I314" s="7">
        <v>45296</v>
      </c>
      <c r="J314" s="5">
        <f t="shared" si="12"/>
        <v>0</v>
      </c>
      <c r="K314" s="5" t="str">
        <f t="shared" si="13"/>
        <v>Met</v>
      </c>
      <c r="L314" s="7" t="str">
        <f t="shared" si="14"/>
        <v>Jan</v>
      </c>
    </row>
    <row r="315" spans="1:12" x14ac:dyDescent="0.3">
      <c r="A315" s="8" t="s">
        <v>559</v>
      </c>
      <c r="B315" s="12" t="s">
        <v>20</v>
      </c>
      <c r="C315" s="12" t="s">
        <v>76</v>
      </c>
      <c r="D315" s="12" t="s">
        <v>148</v>
      </c>
      <c r="E315" s="12" t="s">
        <v>284</v>
      </c>
      <c r="F315" s="12" t="s">
        <v>37</v>
      </c>
      <c r="G315" s="12" t="s">
        <v>53</v>
      </c>
      <c r="H315" s="11">
        <v>45386</v>
      </c>
      <c r="I315" s="11">
        <v>45386</v>
      </c>
      <c r="J315" s="5">
        <f t="shared" si="12"/>
        <v>0</v>
      </c>
      <c r="K315" s="5" t="str">
        <f t="shared" si="13"/>
        <v>Met</v>
      </c>
      <c r="L315" s="7" t="str">
        <f t="shared" si="14"/>
        <v>Apr</v>
      </c>
    </row>
    <row r="316" spans="1:12" x14ac:dyDescent="0.3">
      <c r="A316" s="4" t="s">
        <v>560</v>
      </c>
      <c r="B316" s="13" t="s">
        <v>39</v>
      </c>
      <c r="C316" s="13" t="s">
        <v>99</v>
      </c>
      <c r="D316" s="13" t="s">
        <v>79</v>
      </c>
      <c r="E316" s="13" t="s">
        <v>286</v>
      </c>
      <c r="F316" s="13" t="s">
        <v>24</v>
      </c>
      <c r="G316" s="13" t="s">
        <v>18</v>
      </c>
      <c r="H316" s="7">
        <v>45406</v>
      </c>
      <c r="I316" s="7">
        <v>45406</v>
      </c>
      <c r="J316" s="5">
        <f t="shared" si="12"/>
        <v>0</v>
      </c>
      <c r="K316" s="5" t="str">
        <f t="shared" si="13"/>
        <v>Met</v>
      </c>
      <c r="L316" s="7" t="str">
        <f t="shared" si="14"/>
        <v>Apr</v>
      </c>
    </row>
    <row r="317" spans="1:12" x14ac:dyDescent="0.3">
      <c r="A317" s="8" t="s">
        <v>561</v>
      </c>
      <c r="B317" s="12" t="s">
        <v>20</v>
      </c>
      <c r="C317" s="12" t="s">
        <v>21</v>
      </c>
      <c r="D317" s="12" t="s">
        <v>66</v>
      </c>
      <c r="E317" s="12" t="s">
        <v>288</v>
      </c>
      <c r="F317" s="12" t="s">
        <v>17</v>
      </c>
      <c r="G317" s="12" t="s">
        <v>53</v>
      </c>
      <c r="H317" s="11">
        <v>45338</v>
      </c>
      <c r="I317" s="11">
        <v>45338</v>
      </c>
      <c r="J317" s="5">
        <f t="shared" si="12"/>
        <v>0</v>
      </c>
      <c r="K317" s="5" t="str">
        <f t="shared" si="13"/>
        <v>Met</v>
      </c>
      <c r="L317" s="7" t="str">
        <f t="shared" si="14"/>
        <v>Feb</v>
      </c>
    </row>
    <row r="318" spans="1:12" x14ac:dyDescent="0.3">
      <c r="A318" s="4" t="s">
        <v>562</v>
      </c>
      <c r="B318" s="13" t="s">
        <v>13</v>
      </c>
      <c r="C318" s="13" t="s">
        <v>14</v>
      </c>
      <c r="D318" s="13" t="s">
        <v>22</v>
      </c>
      <c r="E318" s="13" t="s">
        <v>290</v>
      </c>
      <c r="F318" s="13" t="s">
        <v>24</v>
      </c>
      <c r="G318" s="13" t="s">
        <v>25</v>
      </c>
      <c r="H318" s="7">
        <v>45403</v>
      </c>
      <c r="I318" s="7">
        <v>45403</v>
      </c>
      <c r="J318" s="5">
        <f t="shared" si="12"/>
        <v>0</v>
      </c>
      <c r="K318" s="5" t="str">
        <f t="shared" si="13"/>
        <v>Met</v>
      </c>
      <c r="L318" s="7" t="str">
        <f t="shared" si="14"/>
        <v>Apr</v>
      </c>
    </row>
    <row r="319" spans="1:12" x14ac:dyDescent="0.3">
      <c r="A319" s="8" t="s">
        <v>563</v>
      </c>
      <c r="B319" s="12" t="s">
        <v>20</v>
      </c>
      <c r="C319" s="12" t="s">
        <v>76</v>
      </c>
      <c r="D319" s="12" t="s">
        <v>22</v>
      </c>
      <c r="E319" s="12" t="s">
        <v>292</v>
      </c>
      <c r="F319" s="12" t="s">
        <v>24</v>
      </c>
      <c r="G319" s="12" t="s">
        <v>42</v>
      </c>
      <c r="H319" s="11">
        <v>45450</v>
      </c>
      <c r="I319" s="10">
        <v>45450</v>
      </c>
      <c r="J319" s="5">
        <f t="shared" si="12"/>
        <v>0</v>
      </c>
      <c r="K319" s="5" t="str">
        <f t="shared" si="13"/>
        <v>Met</v>
      </c>
      <c r="L319" s="7" t="str">
        <f t="shared" si="14"/>
        <v>Jun</v>
      </c>
    </row>
    <row r="320" spans="1:12" x14ac:dyDescent="0.3">
      <c r="A320" s="4" t="s">
        <v>564</v>
      </c>
      <c r="B320" s="13" t="s">
        <v>33</v>
      </c>
      <c r="C320" s="13" t="s">
        <v>34</v>
      </c>
      <c r="D320" s="13" t="s">
        <v>79</v>
      </c>
      <c r="E320" s="13" t="s">
        <v>294</v>
      </c>
      <c r="F320" s="13" t="s">
        <v>37</v>
      </c>
      <c r="G320" s="13" t="s">
        <v>53</v>
      </c>
      <c r="H320" s="7">
        <v>45299</v>
      </c>
      <c r="I320" s="7">
        <v>45299</v>
      </c>
      <c r="J320" s="5">
        <f t="shared" si="12"/>
        <v>0</v>
      </c>
      <c r="K320" s="5" t="str">
        <f t="shared" si="13"/>
        <v>Met</v>
      </c>
      <c r="L320" s="7" t="str">
        <f t="shared" si="14"/>
        <v>Jan</v>
      </c>
    </row>
    <row r="321" spans="1:12" x14ac:dyDescent="0.3">
      <c r="A321" s="8" t="s">
        <v>565</v>
      </c>
      <c r="B321" s="12" t="s">
        <v>33</v>
      </c>
      <c r="C321" s="12" t="s">
        <v>55</v>
      </c>
      <c r="D321" s="12" t="s">
        <v>148</v>
      </c>
      <c r="E321" s="12" t="s">
        <v>296</v>
      </c>
      <c r="F321" s="12" t="s">
        <v>17</v>
      </c>
      <c r="G321" s="12" t="s">
        <v>53</v>
      </c>
      <c r="H321" s="11">
        <v>45432</v>
      </c>
      <c r="I321" s="10">
        <v>45432</v>
      </c>
      <c r="J321" s="5">
        <f t="shared" si="12"/>
        <v>0</v>
      </c>
      <c r="K321" s="5" t="str">
        <f t="shared" si="13"/>
        <v>Met</v>
      </c>
      <c r="L321" s="7" t="str">
        <f t="shared" si="14"/>
        <v>May</v>
      </c>
    </row>
    <row r="322" spans="1:12" x14ac:dyDescent="0.3">
      <c r="A322" s="4" t="s">
        <v>566</v>
      </c>
      <c r="B322" s="13" t="s">
        <v>27</v>
      </c>
      <c r="C322" s="13" t="s">
        <v>28</v>
      </c>
      <c r="D322" s="13" t="s">
        <v>86</v>
      </c>
      <c r="E322" s="13" t="s">
        <v>298</v>
      </c>
      <c r="F322" s="13" t="s">
        <v>24</v>
      </c>
      <c r="G322" s="13" t="s">
        <v>18</v>
      </c>
      <c r="H322" s="7">
        <v>45405</v>
      </c>
      <c r="I322" s="6">
        <v>45405</v>
      </c>
      <c r="J322" s="5">
        <f t="shared" si="12"/>
        <v>0</v>
      </c>
      <c r="K322" s="5" t="str">
        <f t="shared" si="13"/>
        <v>Met</v>
      </c>
      <c r="L322" s="7" t="str">
        <f t="shared" si="14"/>
        <v>Apr</v>
      </c>
    </row>
    <row r="323" spans="1:12" x14ac:dyDescent="0.3">
      <c r="A323" s="8" t="s">
        <v>567</v>
      </c>
      <c r="B323" s="12" t="s">
        <v>39</v>
      </c>
      <c r="C323" s="12" t="s">
        <v>40</v>
      </c>
      <c r="D323" s="12" t="s">
        <v>15</v>
      </c>
      <c r="E323" s="12" t="s">
        <v>300</v>
      </c>
      <c r="F323" s="12" t="s">
        <v>24</v>
      </c>
      <c r="G323" s="12" t="s">
        <v>42</v>
      </c>
      <c r="H323" s="11">
        <v>45330</v>
      </c>
      <c r="I323" s="11">
        <v>45330</v>
      </c>
      <c r="J323" s="5">
        <f t="shared" ref="J323:J386" si="15">I323-H323</f>
        <v>0</v>
      </c>
      <c r="K323" s="5" t="str">
        <f t="shared" ref="K323:K386" si="16">IF(J323&gt;= 1, "Not Met","Met")</f>
        <v>Met</v>
      </c>
      <c r="L323" s="7" t="str">
        <f t="shared" ref="L323:L386" si="17">TEXT(H323,"MMM")</f>
        <v>Feb</v>
      </c>
    </row>
    <row r="324" spans="1:12" x14ac:dyDescent="0.3">
      <c r="A324" s="4" t="s">
        <v>568</v>
      </c>
      <c r="B324" s="13" t="s">
        <v>27</v>
      </c>
      <c r="C324" s="13" t="s">
        <v>28</v>
      </c>
      <c r="D324" s="13" t="s">
        <v>35</v>
      </c>
      <c r="E324" s="13" t="s">
        <v>302</v>
      </c>
      <c r="F324" s="13" t="s">
        <v>24</v>
      </c>
      <c r="G324" s="13" t="s">
        <v>45</v>
      </c>
      <c r="H324" s="7">
        <v>45414</v>
      </c>
      <c r="I324" s="6">
        <v>45414</v>
      </c>
      <c r="J324" s="5">
        <f t="shared" si="15"/>
        <v>0</v>
      </c>
      <c r="K324" s="5" t="str">
        <f t="shared" si="16"/>
        <v>Met</v>
      </c>
      <c r="L324" s="7" t="str">
        <f t="shared" si="17"/>
        <v>May</v>
      </c>
    </row>
    <row r="325" spans="1:12" x14ac:dyDescent="0.3">
      <c r="A325" s="8" t="s">
        <v>569</v>
      </c>
      <c r="B325" s="12" t="s">
        <v>13</v>
      </c>
      <c r="C325" s="12" t="s">
        <v>58</v>
      </c>
      <c r="D325" s="12" t="s">
        <v>86</v>
      </c>
      <c r="E325" s="12" t="s">
        <v>304</v>
      </c>
      <c r="F325" s="12" t="s">
        <v>37</v>
      </c>
      <c r="G325" s="12" t="s">
        <v>42</v>
      </c>
      <c r="H325" s="11">
        <v>45399</v>
      </c>
      <c r="I325" s="11">
        <v>45399</v>
      </c>
      <c r="J325" s="5">
        <f t="shared" si="15"/>
        <v>0</v>
      </c>
      <c r="K325" s="5" t="str">
        <f t="shared" si="16"/>
        <v>Met</v>
      </c>
      <c r="L325" s="7" t="str">
        <f t="shared" si="17"/>
        <v>Apr</v>
      </c>
    </row>
    <row r="326" spans="1:12" x14ac:dyDescent="0.3">
      <c r="A326" s="4" t="s">
        <v>570</v>
      </c>
      <c r="B326" s="13" t="s">
        <v>27</v>
      </c>
      <c r="C326" s="13" t="s">
        <v>47</v>
      </c>
      <c r="D326" s="13" t="s">
        <v>66</v>
      </c>
      <c r="E326" s="13" t="s">
        <v>306</v>
      </c>
      <c r="F326" s="13" t="s">
        <v>17</v>
      </c>
      <c r="G326" s="13" t="s">
        <v>18</v>
      </c>
      <c r="H326" s="7">
        <v>45304</v>
      </c>
      <c r="I326" s="7">
        <v>45304</v>
      </c>
      <c r="J326" s="5">
        <f t="shared" si="15"/>
        <v>0</v>
      </c>
      <c r="K326" s="5" t="str">
        <f t="shared" si="16"/>
        <v>Met</v>
      </c>
      <c r="L326" s="7" t="str">
        <f t="shared" si="17"/>
        <v>Jan</v>
      </c>
    </row>
    <row r="327" spans="1:12" x14ac:dyDescent="0.3">
      <c r="A327" s="8" t="s">
        <v>571</v>
      </c>
      <c r="B327" s="12" t="s">
        <v>20</v>
      </c>
      <c r="C327" s="12" t="s">
        <v>21</v>
      </c>
      <c r="D327" s="12" t="s">
        <v>35</v>
      </c>
      <c r="E327" s="12" t="s">
        <v>308</v>
      </c>
      <c r="F327" s="12" t="s">
        <v>17</v>
      </c>
      <c r="G327" s="12" t="s">
        <v>31</v>
      </c>
      <c r="H327" s="11">
        <v>45305</v>
      </c>
      <c r="I327" s="11">
        <v>45306</v>
      </c>
      <c r="J327" s="5">
        <f t="shared" si="15"/>
        <v>1</v>
      </c>
      <c r="K327" s="5" t="str">
        <f t="shared" si="16"/>
        <v>Not Met</v>
      </c>
      <c r="L327" s="7" t="str">
        <f t="shared" si="17"/>
        <v>Jan</v>
      </c>
    </row>
    <row r="328" spans="1:12" x14ac:dyDescent="0.3">
      <c r="A328" s="4" t="s">
        <v>572</v>
      </c>
      <c r="B328" s="13" t="s">
        <v>13</v>
      </c>
      <c r="C328" s="13" t="s">
        <v>58</v>
      </c>
      <c r="D328" s="13" t="s">
        <v>35</v>
      </c>
      <c r="E328" s="13" t="s">
        <v>310</v>
      </c>
      <c r="F328" s="13" t="s">
        <v>17</v>
      </c>
      <c r="G328" s="13" t="s">
        <v>53</v>
      </c>
      <c r="H328" s="7">
        <v>45337</v>
      </c>
      <c r="I328" s="7">
        <v>45337</v>
      </c>
      <c r="J328" s="5">
        <f t="shared" si="15"/>
        <v>0</v>
      </c>
      <c r="K328" s="5" t="str">
        <f t="shared" si="16"/>
        <v>Met</v>
      </c>
      <c r="L328" s="7" t="str">
        <f t="shared" si="17"/>
        <v>Feb</v>
      </c>
    </row>
    <row r="329" spans="1:12" x14ac:dyDescent="0.3">
      <c r="A329" s="8" t="s">
        <v>573</v>
      </c>
      <c r="B329" s="12" t="s">
        <v>27</v>
      </c>
      <c r="C329" s="12" t="s">
        <v>153</v>
      </c>
      <c r="D329" s="12" t="s">
        <v>15</v>
      </c>
      <c r="E329" s="12" t="s">
        <v>312</v>
      </c>
      <c r="F329" s="12" t="s">
        <v>24</v>
      </c>
      <c r="G329" s="12" t="s">
        <v>31</v>
      </c>
      <c r="H329" s="11">
        <v>45302</v>
      </c>
      <c r="I329" s="11">
        <v>45302</v>
      </c>
      <c r="J329" s="5">
        <f t="shared" si="15"/>
        <v>0</v>
      </c>
      <c r="K329" s="5" t="str">
        <f t="shared" si="16"/>
        <v>Met</v>
      </c>
      <c r="L329" s="7" t="str">
        <f t="shared" si="17"/>
        <v>Jan</v>
      </c>
    </row>
    <row r="330" spans="1:12" x14ac:dyDescent="0.3">
      <c r="A330" s="4" t="s">
        <v>574</v>
      </c>
      <c r="B330" s="13" t="s">
        <v>33</v>
      </c>
      <c r="C330" s="13" t="s">
        <v>69</v>
      </c>
      <c r="D330" s="13" t="s">
        <v>35</v>
      </c>
      <c r="E330" s="13" t="s">
        <v>314</v>
      </c>
      <c r="F330" s="13" t="s">
        <v>37</v>
      </c>
      <c r="G330" s="13" t="s">
        <v>53</v>
      </c>
      <c r="H330" s="7">
        <v>45381</v>
      </c>
      <c r="I330" s="7">
        <v>45381</v>
      </c>
      <c r="J330" s="5">
        <f t="shared" si="15"/>
        <v>0</v>
      </c>
      <c r="K330" s="5" t="str">
        <f t="shared" si="16"/>
        <v>Met</v>
      </c>
      <c r="L330" s="7" t="str">
        <f t="shared" si="17"/>
        <v>Mar</v>
      </c>
    </row>
    <row r="331" spans="1:12" x14ac:dyDescent="0.3">
      <c r="A331" s="8" t="s">
        <v>575</v>
      </c>
      <c r="B331" s="12" t="s">
        <v>13</v>
      </c>
      <c r="C331" s="12" t="s">
        <v>14</v>
      </c>
      <c r="D331" s="12" t="s">
        <v>148</v>
      </c>
      <c r="E331" s="12" t="s">
        <v>316</v>
      </c>
      <c r="F331" s="12" t="s">
        <v>17</v>
      </c>
      <c r="G331" s="12" t="s">
        <v>45</v>
      </c>
      <c r="H331" s="11">
        <v>45306</v>
      </c>
      <c r="I331" s="11">
        <v>45307</v>
      </c>
      <c r="J331" s="5">
        <f t="shared" si="15"/>
        <v>1</v>
      </c>
      <c r="K331" s="5" t="str">
        <f t="shared" si="16"/>
        <v>Not Met</v>
      </c>
      <c r="L331" s="7" t="str">
        <f t="shared" si="17"/>
        <v>Jan</v>
      </c>
    </row>
    <row r="332" spans="1:12" x14ac:dyDescent="0.3">
      <c r="A332" s="4" t="s">
        <v>576</v>
      </c>
      <c r="B332" s="5" t="s">
        <v>13</v>
      </c>
      <c r="C332" s="13" t="s">
        <v>61</v>
      </c>
      <c r="D332" s="13" t="s">
        <v>35</v>
      </c>
      <c r="E332" s="13" t="s">
        <v>318</v>
      </c>
      <c r="F332" s="13" t="s">
        <v>17</v>
      </c>
      <c r="G332" s="13" t="s">
        <v>42</v>
      </c>
      <c r="H332" s="7">
        <v>45386</v>
      </c>
      <c r="I332" s="7">
        <v>45386</v>
      </c>
      <c r="J332" s="5">
        <f t="shared" si="15"/>
        <v>0</v>
      </c>
      <c r="K332" s="5" t="str">
        <f t="shared" si="16"/>
        <v>Met</v>
      </c>
      <c r="L332" s="7" t="str">
        <f t="shared" si="17"/>
        <v>Apr</v>
      </c>
    </row>
    <row r="333" spans="1:12" x14ac:dyDescent="0.3">
      <c r="A333" s="8" t="s">
        <v>577</v>
      </c>
      <c r="B333" s="12" t="s">
        <v>13</v>
      </c>
      <c r="C333" s="12" t="s">
        <v>14</v>
      </c>
      <c r="D333" s="12" t="s">
        <v>29</v>
      </c>
      <c r="E333" s="12" t="s">
        <v>320</v>
      </c>
      <c r="F333" s="12" t="s">
        <v>24</v>
      </c>
      <c r="G333" s="12" t="s">
        <v>18</v>
      </c>
      <c r="H333" s="11">
        <v>45333</v>
      </c>
      <c r="I333" s="11">
        <v>45333</v>
      </c>
      <c r="J333" s="5">
        <f t="shared" si="15"/>
        <v>0</v>
      </c>
      <c r="K333" s="5" t="str">
        <f t="shared" si="16"/>
        <v>Met</v>
      </c>
      <c r="L333" s="7" t="str">
        <f t="shared" si="17"/>
        <v>Feb</v>
      </c>
    </row>
    <row r="334" spans="1:12" x14ac:dyDescent="0.3">
      <c r="A334" s="4" t="s">
        <v>578</v>
      </c>
      <c r="B334" s="13" t="s">
        <v>20</v>
      </c>
      <c r="C334" s="13" t="s">
        <v>93</v>
      </c>
      <c r="D334" s="13" t="s">
        <v>35</v>
      </c>
      <c r="E334" s="13" t="s">
        <v>322</v>
      </c>
      <c r="F334" s="13" t="s">
        <v>24</v>
      </c>
      <c r="G334" s="13" t="s">
        <v>53</v>
      </c>
      <c r="H334" s="7">
        <v>45353</v>
      </c>
      <c r="I334" s="7">
        <v>45353</v>
      </c>
      <c r="J334" s="5">
        <f t="shared" si="15"/>
        <v>0</v>
      </c>
      <c r="K334" s="5" t="str">
        <f t="shared" si="16"/>
        <v>Met</v>
      </c>
      <c r="L334" s="7" t="str">
        <f t="shared" si="17"/>
        <v>Mar</v>
      </c>
    </row>
    <row r="335" spans="1:12" x14ac:dyDescent="0.3">
      <c r="A335" s="8" t="s">
        <v>579</v>
      </c>
      <c r="B335" s="12" t="s">
        <v>39</v>
      </c>
      <c r="C335" s="12" t="s">
        <v>99</v>
      </c>
      <c r="D335" s="12" t="s">
        <v>35</v>
      </c>
      <c r="E335" s="12" t="s">
        <v>324</v>
      </c>
      <c r="F335" s="12" t="s">
        <v>24</v>
      </c>
      <c r="G335" s="12" t="s">
        <v>53</v>
      </c>
      <c r="H335" s="11">
        <v>45467</v>
      </c>
      <c r="I335" s="10">
        <v>45467</v>
      </c>
      <c r="J335" s="5">
        <f t="shared" si="15"/>
        <v>0</v>
      </c>
      <c r="K335" s="5" t="str">
        <f t="shared" si="16"/>
        <v>Met</v>
      </c>
      <c r="L335" s="7" t="str">
        <f t="shared" si="17"/>
        <v>Jun</v>
      </c>
    </row>
    <row r="336" spans="1:12" x14ac:dyDescent="0.3">
      <c r="A336" s="4" t="s">
        <v>580</v>
      </c>
      <c r="B336" s="13" t="s">
        <v>13</v>
      </c>
      <c r="C336" s="13" t="s">
        <v>61</v>
      </c>
      <c r="D336" s="13" t="s">
        <v>35</v>
      </c>
      <c r="E336" s="13" t="s">
        <v>326</v>
      </c>
      <c r="F336" s="13" t="s">
        <v>37</v>
      </c>
      <c r="G336" s="13" t="s">
        <v>42</v>
      </c>
      <c r="H336" s="7">
        <v>45352</v>
      </c>
      <c r="I336" s="7">
        <v>45352</v>
      </c>
      <c r="J336" s="5">
        <f t="shared" si="15"/>
        <v>0</v>
      </c>
      <c r="K336" s="5" t="str">
        <f t="shared" si="16"/>
        <v>Met</v>
      </c>
      <c r="L336" s="7" t="str">
        <f t="shared" si="17"/>
        <v>Mar</v>
      </c>
    </row>
    <row r="337" spans="1:12" x14ac:dyDescent="0.3">
      <c r="A337" s="8" t="s">
        <v>581</v>
      </c>
      <c r="B337" s="12" t="s">
        <v>20</v>
      </c>
      <c r="C337" s="12" t="s">
        <v>76</v>
      </c>
      <c r="D337" s="12" t="s">
        <v>148</v>
      </c>
      <c r="E337" s="12" t="s">
        <v>328</v>
      </c>
      <c r="F337" s="12" t="s">
        <v>17</v>
      </c>
      <c r="G337" s="12" t="s">
        <v>53</v>
      </c>
      <c r="H337" s="11">
        <v>45339</v>
      </c>
      <c r="I337" s="11">
        <v>45339</v>
      </c>
      <c r="J337" s="5">
        <f t="shared" si="15"/>
        <v>0</v>
      </c>
      <c r="K337" s="5" t="str">
        <f t="shared" si="16"/>
        <v>Met</v>
      </c>
      <c r="L337" s="7" t="str">
        <f t="shared" si="17"/>
        <v>Feb</v>
      </c>
    </row>
    <row r="338" spans="1:12" x14ac:dyDescent="0.3">
      <c r="A338" s="4" t="s">
        <v>582</v>
      </c>
      <c r="B338" s="13" t="s">
        <v>13</v>
      </c>
      <c r="C338" s="13" t="s">
        <v>14</v>
      </c>
      <c r="D338" s="5" t="s">
        <v>35</v>
      </c>
      <c r="E338" s="13" t="s">
        <v>330</v>
      </c>
      <c r="F338" s="13" t="s">
        <v>37</v>
      </c>
      <c r="G338" s="5" t="s">
        <v>45</v>
      </c>
      <c r="H338" s="7">
        <v>45304</v>
      </c>
      <c r="I338" s="7">
        <v>45305</v>
      </c>
      <c r="J338" s="5">
        <f t="shared" si="15"/>
        <v>1</v>
      </c>
      <c r="K338" s="5" t="str">
        <f t="shared" si="16"/>
        <v>Not Met</v>
      </c>
      <c r="L338" s="7" t="str">
        <f t="shared" si="17"/>
        <v>Jan</v>
      </c>
    </row>
    <row r="339" spans="1:12" x14ac:dyDescent="0.3">
      <c r="A339" s="8" t="s">
        <v>583</v>
      </c>
      <c r="B339" s="12" t="s">
        <v>20</v>
      </c>
      <c r="C339" s="12" t="s">
        <v>21</v>
      </c>
      <c r="D339" s="12" t="s">
        <v>15</v>
      </c>
      <c r="E339" s="12" t="s">
        <v>332</v>
      </c>
      <c r="F339" s="12" t="s">
        <v>24</v>
      </c>
      <c r="G339" s="12" t="s">
        <v>31</v>
      </c>
      <c r="H339" s="11">
        <v>45378</v>
      </c>
      <c r="I339" s="11">
        <v>45378</v>
      </c>
      <c r="J339" s="5">
        <f t="shared" si="15"/>
        <v>0</v>
      </c>
      <c r="K339" s="5" t="str">
        <f t="shared" si="16"/>
        <v>Met</v>
      </c>
      <c r="L339" s="7" t="str">
        <f t="shared" si="17"/>
        <v>Mar</v>
      </c>
    </row>
    <row r="340" spans="1:12" x14ac:dyDescent="0.3">
      <c r="A340" s="4" t="s">
        <v>584</v>
      </c>
      <c r="B340" s="13" t="s">
        <v>33</v>
      </c>
      <c r="C340" s="13" t="s">
        <v>34</v>
      </c>
      <c r="D340" s="13" t="s">
        <v>148</v>
      </c>
      <c r="E340" s="13" t="s">
        <v>334</v>
      </c>
      <c r="F340" s="13" t="s">
        <v>24</v>
      </c>
      <c r="G340" s="13" t="s">
        <v>53</v>
      </c>
      <c r="H340" s="7">
        <v>45360</v>
      </c>
      <c r="I340" s="7">
        <v>45360</v>
      </c>
      <c r="J340" s="5">
        <f t="shared" si="15"/>
        <v>0</v>
      </c>
      <c r="K340" s="5" t="str">
        <f t="shared" si="16"/>
        <v>Met</v>
      </c>
      <c r="L340" s="7" t="str">
        <f t="shared" si="17"/>
        <v>Mar</v>
      </c>
    </row>
    <row r="341" spans="1:12" x14ac:dyDescent="0.3">
      <c r="A341" s="8" t="s">
        <v>585</v>
      </c>
      <c r="B341" s="12" t="s">
        <v>20</v>
      </c>
      <c r="C341" s="12" t="s">
        <v>76</v>
      </c>
      <c r="D341" s="12" t="s">
        <v>15</v>
      </c>
      <c r="E341" s="12" t="s">
        <v>336</v>
      </c>
      <c r="F341" s="12" t="s">
        <v>37</v>
      </c>
      <c r="G341" s="12" t="s">
        <v>25</v>
      </c>
      <c r="H341" s="11">
        <v>45405</v>
      </c>
      <c r="I341" s="10">
        <v>45405</v>
      </c>
      <c r="J341" s="5">
        <f t="shared" si="15"/>
        <v>0</v>
      </c>
      <c r="K341" s="5" t="str">
        <f t="shared" si="16"/>
        <v>Met</v>
      </c>
      <c r="L341" s="7" t="str">
        <f t="shared" si="17"/>
        <v>Apr</v>
      </c>
    </row>
    <row r="342" spans="1:12" x14ac:dyDescent="0.3">
      <c r="A342" s="4" t="s">
        <v>586</v>
      </c>
      <c r="B342" s="13" t="s">
        <v>27</v>
      </c>
      <c r="C342" s="13" t="s">
        <v>153</v>
      </c>
      <c r="D342" s="13" t="s">
        <v>79</v>
      </c>
      <c r="E342" s="13" t="s">
        <v>338</v>
      </c>
      <c r="F342" s="13" t="s">
        <v>17</v>
      </c>
      <c r="G342" s="13" t="s">
        <v>18</v>
      </c>
      <c r="H342" s="7">
        <v>45393</v>
      </c>
      <c r="I342" s="6">
        <v>45393</v>
      </c>
      <c r="J342" s="5">
        <f t="shared" si="15"/>
        <v>0</v>
      </c>
      <c r="K342" s="5" t="str">
        <f t="shared" si="16"/>
        <v>Met</v>
      </c>
      <c r="L342" s="7" t="str">
        <f t="shared" si="17"/>
        <v>Apr</v>
      </c>
    </row>
    <row r="343" spans="1:12" x14ac:dyDescent="0.3">
      <c r="A343" s="8" t="s">
        <v>587</v>
      </c>
      <c r="B343" s="12" t="s">
        <v>20</v>
      </c>
      <c r="C343" s="12" t="s">
        <v>76</v>
      </c>
      <c r="D343" s="12" t="s">
        <v>79</v>
      </c>
      <c r="E343" s="12" t="s">
        <v>588</v>
      </c>
      <c r="F343" s="12" t="s">
        <v>24</v>
      </c>
      <c r="G343" s="12" t="s">
        <v>45</v>
      </c>
      <c r="H343" s="11">
        <v>45304</v>
      </c>
      <c r="I343" s="11">
        <v>45304</v>
      </c>
      <c r="J343" s="5">
        <f t="shared" si="15"/>
        <v>0</v>
      </c>
      <c r="K343" s="5" t="str">
        <f t="shared" si="16"/>
        <v>Met</v>
      </c>
      <c r="L343" s="7" t="str">
        <f t="shared" si="17"/>
        <v>Jan</v>
      </c>
    </row>
    <row r="344" spans="1:12" x14ac:dyDescent="0.3">
      <c r="A344" s="4" t="s">
        <v>589</v>
      </c>
      <c r="B344" s="13" t="s">
        <v>20</v>
      </c>
      <c r="C344" s="13" t="s">
        <v>76</v>
      </c>
      <c r="D344" s="13" t="s">
        <v>86</v>
      </c>
      <c r="E344" s="13" t="s">
        <v>340</v>
      </c>
      <c r="F344" s="13" t="s">
        <v>37</v>
      </c>
      <c r="G344" s="13" t="s">
        <v>31</v>
      </c>
      <c r="H344" s="7">
        <v>45375</v>
      </c>
      <c r="I344" s="7">
        <v>45375</v>
      </c>
      <c r="J344" s="5">
        <f t="shared" si="15"/>
        <v>0</v>
      </c>
      <c r="K344" s="5" t="str">
        <f t="shared" si="16"/>
        <v>Met</v>
      </c>
      <c r="L344" s="7" t="str">
        <f t="shared" si="17"/>
        <v>Mar</v>
      </c>
    </row>
    <row r="345" spans="1:12" x14ac:dyDescent="0.3">
      <c r="A345" s="8" t="s">
        <v>590</v>
      </c>
      <c r="B345" s="12" t="s">
        <v>13</v>
      </c>
      <c r="C345" s="12" t="s">
        <v>61</v>
      </c>
      <c r="D345" s="12" t="s">
        <v>148</v>
      </c>
      <c r="E345" s="12" t="s">
        <v>342</v>
      </c>
      <c r="F345" s="12" t="s">
        <v>17</v>
      </c>
      <c r="G345" s="12" t="s">
        <v>53</v>
      </c>
      <c r="H345" s="11">
        <v>45315</v>
      </c>
      <c r="I345" s="11">
        <v>45315</v>
      </c>
      <c r="J345" s="5">
        <f t="shared" si="15"/>
        <v>0</v>
      </c>
      <c r="K345" s="5" t="str">
        <f t="shared" si="16"/>
        <v>Met</v>
      </c>
      <c r="L345" s="7" t="str">
        <f t="shared" si="17"/>
        <v>Jan</v>
      </c>
    </row>
    <row r="346" spans="1:12" x14ac:dyDescent="0.3">
      <c r="A346" s="4" t="s">
        <v>591</v>
      </c>
      <c r="B346" s="13" t="s">
        <v>33</v>
      </c>
      <c r="C346" s="13" t="s">
        <v>69</v>
      </c>
      <c r="D346" s="13" t="s">
        <v>29</v>
      </c>
      <c r="E346" s="13" t="s">
        <v>344</v>
      </c>
      <c r="F346" s="13" t="s">
        <v>37</v>
      </c>
      <c r="G346" s="13" t="s">
        <v>25</v>
      </c>
      <c r="H346" s="7">
        <v>45399</v>
      </c>
      <c r="I346" s="7">
        <v>45399</v>
      </c>
      <c r="J346" s="5">
        <f t="shared" si="15"/>
        <v>0</v>
      </c>
      <c r="K346" s="5" t="str">
        <f t="shared" si="16"/>
        <v>Met</v>
      </c>
      <c r="L346" s="7" t="str">
        <f t="shared" si="17"/>
        <v>Apr</v>
      </c>
    </row>
    <row r="347" spans="1:12" x14ac:dyDescent="0.3">
      <c r="A347" s="8" t="s">
        <v>592</v>
      </c>
      <c r="B347" s="12" t="s">
        <v>33</v>
      </c>
      <c r="C347" s="12" t="s">
        <v>69</v>
      </c>
      <c r="D347" s="12" t="s">
        <v>35</v>
      </c>
      <c r="E347" s="12" t="s">
        <v>346</v>
      </c>
      <c r="F347" s="12" t="s">
        <v>37</v>
      </c>
      <c r="G347" s="12" t="s">
        <v>53</v>
      </c>
      <c r="H347" s="11">
        <v>45425</v>
      </c>
      <c r="I347" s="10">
        <v>45425</v>
      </c>
      <c r="J347" s="5">
        <f t="shared" si="15"/>
        <v>0</v>
      </c>
      <c r="K347" s="5" t="str">
        <f t="shared" si="16"/>
        <v>Met</v>
      </c>
      <c r="L347" s="7" t="str">
        <f t="shared" si="17"/>
        <v>May</v>
      </c>
    </row>
    <row r="348" spans="1:12" x14ac:dyDescent="0.3">
      <c r="A348" s="4" t="s">
        <v>593</v>
      </c>
      <c r="B348" s="13" t="s">
        <v>39</v>
      </c>
      <c r="C348" s="13" t="s">
        <v>40</v>
      </c>
      <c r="D348" s="13" t="s">
        <v>79</v>
      </c>
      <c r="E348" s="13" t="s">
        <v>348</v>
      </c>
      <c r="F348" s="13" t="s">
        <v>24</v>
      </c>
      <c r="G348" s="13" t="s">
        <v>45</v>
      </c>
      <c r="H348" s="7">
        <v>45405</v>
      </c>
      <c r="I348" s="7">
        <v>45405</v>
      </c>
      <c r="J348" s="5">
        <f t="shared" si="15"/>
        <v>0</v>
      </c>
      <c r="K348" s="5" t="str">
        <f t="shared" si="16"/>
        <v>Met</v>
      </c>
      <c r="L348" s="7" t="str">
        <f t="shared" si="17"/>
        <v>Apr</v>
      </c>
    </row>
    <row r="349" spans="1:12" x14ac:dyDescent="0.3">
      <c r="A349" s="8" t="s">
        <v>594</v>
      </c>
      <c r="B349" s="12" t="s">
        <v>13</v>
      </c>
      <c r="C349" s="12" t="s">
        <v>14</v>
      </c>
      <c r="D349" s="12" t="s">
        <v>15</v>
      </c>
      <c r="E349" s="12" t="s">
        <v>350</v>
      </c>
      <c r="F349" s="12" t="s">
        <v>37</v>
      </c>
      <c r="G349" s="12" t="s">
        <v>53</v>
      </c>
      <c r="H349" s="11">
        <v>45333</v>
      </c>
      <c r="I349" s="11">
        <v>45333</v>
      </c>
      <c r="J349" s="5">
        <f t="shared" si="15"/>
        <v>0</v>
      </c>
      <c r="K349" s="5" t="str">
        <f t="shared" si="16"/>
        <v>Met</v>
      </c>
      <c r="L349" s="7" t="str">
        <f t="shared" si="17"/>
        <v>Feb</v>
      </c>
    </row>
    <row r="350" spans="1:12" x14ac:dyDescent="0.3">
      <c r="A350" s="4" t="s">
        <v>595</v>
      </c>
      <c r="B350" s="13" t="s">
        <v>33</v>
      </c>
      <c r="C350" s="13" t="s">
        <v>34</v>
      </c>
      <c r="D350" s="13" t="s">
        <v>148</v>
      </c>
      <c r="E350" s="13" t="s">
        <v>352</v>
      </c>
      <c r="F350" s="13" t="s">
        <v>17</v>
      </c>
      <c r="G350" s="13" t="s">
        <v>18</v>
      </c>
      <c r="H350" s="7">
        <v>45379</v>
      </c>
      <c r="I350" s="7">
        <v>45379</v>
      </c>
      <c r="J350" s="5">
        <f t="shared" si="15"/>
        <v>0</v>
      </c>
      <c r="K350" s="5" t="str">
        <f t="shared" si="16"/>
        <v>Met</v>
      </c>
      <c r="L350" s="7" t="str">
        <f t="shared" si="17"/>
        <v>Mar</v>
      </c>
    </row>
    <row r="351" spans="1:12" x14ac:dyDescent="0.3">
      <c r="A351" s="8" t="s">
        <v>596</v>
      </c>
      <c r="B351" s="12" t="s">
        <v>20</v>
      </c>
      <c r="C351" s="12" t="s">
        <v>76</v>
      </c>
      <c r="D351" s="12" t="s">
        <v>79</v>
      </c>
      <c r="E351" s="12" t="s">
        <v>354</v>
      </c>
      <c r="F351" s="12" t="s">
        <v>17</v>
      </c>
      <c r="G351" s="12" t="s">
        <v>42</v>
      </c>
      <c r="H351" s="11">
        <v>45447</v>
      </c>
      <c r="I351" s="10">
        <v>45447</v>
      </c>
      <c r="J351" s="5">
        <f t="shared" si="15"/>
        <v>0</v>
      </c>
      <c r="K351" s="5" t="str">
        <f t="shared" si="16"/>
        <v>Met</v>
      </c>
      <c r="L351" s="7" t="str">
        <f t="shared" si="17"/>
        <v>Jun</v>
      </c>
    </row>
    <row r="352" spans="1:12" x14ac:dyDescent="0.3">
      <c r="A352" s="4" t="s">
        <v>597</v>
      </c>
      <c r="B352" s="13" t="s">
        <v>39</v>
      </c>
      <c r="C352" s="13" t="s">
        <v>99</v>
      </c>
      <c r="D352" s="13" t="s">
        <v>35</v>
      </c>
      <c r="E352" s="13" t="s">
        <v>356</v>
      </c>
      <c r="F352" s="13" t="s">
        <v>24</v>
      </c>
      <c r="G352" s="13" t="s">
        <v>53</v>
      </c>
      <c r="H352" s="7">
        <v>45367</v>
      </c>
      <c r="I352" s="7">
        <v>45367</v>
      </c>
      <c r="J352" s="5">
        <f t="shared" si="15"/>
        <v>0</v>
      </c>
      <c r="K352" s="5" t="str">
        <f t="shared" si="16"/>
        <v>Met</v>
      </c>
      <c r="L352" s="7" t="str">
        <f t="shared" si="17"/>
        <v>Mar</v>
      </c>
    </row>
    <row r="353" spans="1:12" x14ac:dyDescent="0.3">
      <c r="A353" s="8" t="s">
        <v>598</v>
      </c>
      <c r="B353" s="12" t="s">
        <v>33</v>
      </c>
      <c r="C353" s="12" t="s">
        <v>55</v>
      </c>
      <c r="D353" s="12" t="s">
        <v>35</v>
      </c>
      <c r="E353" s="12" t="s">
        <v>358</v>
      </c>
      <c r="F353" s="12" t="s">
        <v>24</v>
      </c>
      <c r="G353" s="12" t="s">
        <v>31</v>
      </c>
      <c r="H353" s="11">
        <v>45417</v>
      </c>
      <c r="I353" s="10">
        <v>45417</v>
      </c>
      <c r="J353" s="5">
        <f t="shared" si="15"/>
        <v>0</v>
      </c>
      <c r="K353" s="5" t="str">
        <f t="shared" si="16"/>
        <v>Met</v>
      </c>
      <c r="L353" s="7" t="str">
        <f t="shared" si="17"/>
        <v>May</v>
      </c>
    </row>
    <row r="354" spans="1:12" x14ac:dyDescent="0.3">
      <c r="A354" s="4" t="s">
        <v>599</v>
      </c>
      <c r="B354" s="13" t="s">
        <v>39</v>
      </c>
      <c r="C354" s="13" t="s">
        <v>99</v>
      </c>
      <c r="D354" s="13" t="s">
        <v>15</v>
      </c>
      <c r="E354" s="13" t="s">
        <v>360</v>
      </c>
      <c r="F354" s="13" t="s">
        <v>37</v>
      </c>
      <c r="G354" s="13" t="s">
        <v>25</v>
      </c>
      <c r="H354" s="7">
        <v>45384</v>
      </c>
      <c r="I354" s="7">
        <v>45384</v>
      </c>
      <c r="J354" s="5">
        <f t="shared" si="15"/>
        <v>0</v>
      </c>
      <c r="K354" s="5" t="str">
        <f t="shared" si="16"/>
        <v>Met</v>
      </c>
      <c r="L354" s="7" t="str">
        <f t="shared" si="17"/>
        <v>Apr</v>
      </c>
    </row>
    <row r="355" spans="1:12" x14ac:dyDescent="0.3">
      <c r="A355" s="8" t="s">
        <v>600</v>
      </c>
      <c r="B355" s="12" t="s">
        <v>33</v>
      </c>
      <c r="C355" s="12" t="s">
        <v>34</v>
      </c>
      <c r="D355" s="12" t="s">
        <v>22</v>
      </c>
      <c r="E355" s="12" t="s">
        <v>362</v>
      </c>
      <c r="F355" s="12" t="s">
        <v>37</v>
      </c>
      <c r="G355" s="12" t="s">
        <v>42</v>
      </c>
      <c r="H355" s="11">
        <v>45311</v>
      </c>
      <c r="I355" s="11">
        <v>45311</v>
      </c>
      <c r="J355" s="5">
        <f t="shared" si="15"/>
        <v>0</v>
      </c>
      <c r="K355" s="5" t="str">
        <f t="shared" si="16"/>
        <v>Met</v>
      </c>
      <c r="L355" s="7" t="str">
        <f t="shared" si="17"/>
        <v>Jan</v>
      </c>
    </row>
    <row r="356" spans="1:12" x14ac:dyDescent="0.3">
      <c r="A356" s="4" t="s">
        <v>601</v>
      </c>
      <c r="B356" s="13" t="s">
        <v>13</v>
      </c>
      <c r="C356" s="13" t="s">
        <v>61</v>
      </c>
      <c r="D356" s="13" t="s">
        <v>15</v>
      </c>
      <c r="E356" s="13" t="s">
        <v>364</v>
      </c>
      <c r="F356" s="13" t="s">
        <v>24</v>
      </c>
      <c r="G356" s="13" t="s">
        <v>25</v>
      </c>
      <c r="H356" s="7">
        <v>45446</v>
      </c>
      <c r="I356" s="6">
        <v>45446</v>
      </c>
      <c r="J356" s="5">
        <f t="shared" si="15"/>
        <v>0</v>
      </c>
      <c r="K356" s="5" t="str">
        <f t="shared" si="16"/>
        <v>Met</v>
      </c>
      <c r="L356" s="7" t="str">
        <f t="shared" si="17"/>
        <v>Jun</v>
      </c>
    </row>
    <row r="357" spans="1:12" x14ac:dyDescent="0.3">
      <c r="A357" s="8" t="s">
        <v>602</v>
      </c>
      <c r="B357" s="9" t="s">
        <v>13</v>
      </c>
      <c r="C357" s="12" t="s">
        <v>61</v>
      </c>
      <c r="D357" s="12" t="s">
        <v>79</v>
      </c>
      <c r="E357" s="12" t="s">
        <v>366</v>
      </c>
      <c r="F357" s="12" t="s">
        <v>17</v>
      </c>
      <c r="G357" s="12" t="s">
        <v>18</v>
      </c>
      <c r="H357" s="11">
        <v>45370</v>
      </c>
      <c r="I357" s="11">
        <v>45370</v>
      </c>
      <c r="J357" s="5">
        <f t="shared" si="15"/>
        <v>0</v>
      </c>
      <c r="K357" s="5" t="str">
        <f t="shared" si="16"/>
        <v>Met</v>
      </c>
      <c r="L357" s="7" t="str">
        <f t="shared" si="17"/>
        <v>Mar</v>
      </c>
    </row>
    <row r="358" spans="1:12" x14ac:dyDescent="0.3">
      <c r="A358" s="4" t="s">
        <v>603</v>
      </c>
      <c r="B358" s="13" t="s">
        <v>13</v>
      </c>
      <c r="C358" s="13" t="s">
        <v>58</v>
      </c>
      <c r="D358" s="13" t="s">
        <v>35</v>
      </c>
      <c r="E358" s="13" t="s">
        <v>368</v>
      </c>
      <c r="F358" s="13" t="s">
        <v>17</v>
      </c>
      <c r="G358" s="13" t="s">
        <v>53</v>
      </c>
      <c r="H358" s="7">
        <v>45377</v>
      </c>
      <c r="I358" s="7">
        <v>45377</v>
      </c>
      <c r="J358" s="5">
        <f t="shared" si="15"/>
        <v>0</v>
      </c>
      <c r="K358" s="5" t="str">
        <f t="shared" si="16"/>
        <v>Met</v>
      </c>
      <c r="L358" s="7" t="str">
        <f t="shared" si="17"/>
        <v>Mar</v>
      </c>
    </row>
    <row r="359" spans="1:12" x14ac:dyDescent="0.3">
      <c r="A359" s="8" t="s">
        <v>604</v>
      </c>
      <c r="B359" s="12" t="s">
        <v>27</v>
      </c>
      <c r="C359" s="12" t="s">
        <v>47</v>
      </c>
      <c r="D359" s="12" t="s">
        <v>29</v>
      </c>
      <c r="E359" s="12" t="s">
        <v>370</v>
      </c>
      <c r="F359" s="12" t="s">
        <v>17</v>
      </c>
      <c r="G359" s="12" t="s">
        <v>18</v>
      </c>
      <c r="H359" s="11">
        <v>45362</v>
      </c>
      <c r="I359" s="11">
        <v>45362</v>
      </c>
      <c r="J359" s="5">
        <f t="shared" si="15"/>
        <v>0</v>
      </c>
      <c r="K359" s="5" t="str">
        <f t="shared" si="16"/>
        <v>Met</v>
      </c>
      <c r="L359" s="7" t="str">
        <f t="shared" si="17"/>
        <v>Mar</v>
      </c>
    </row>
    <row r="360" spans="1:12" x14ac:dyDescent="0.3">
      <c r="A360" s="4" t="s">
        <v>605</v>
      </c>
      <c r="B360" s="13" t="s">
        <v>20</v>
      </c>
      <c r="C360" s="13" t="s">
        <v>21</v>
      </c>
      <c r="D360" s="13" t="s">
        <v>15</v>
      </c>
      <c r="E360" s="13" t="s">
        <v>372</v>
      </c>
      <c r="F360" s="13" t="s">
        <v>37</v>
      </c>
      <c r="G360" s="13" t="s">
        <v>42</v>
      </c>
      <c r="H360" s="7">
        <v>45437</v>
      </c>
      <c r="I360" s="6">
        <v>45437</v>
      </c>
      <c r="J360" s="5">
        <f t="shared" si="15"/>
        <v>0</v>
      </c>
      <c r="K360" s="5" t="str">
        <f t="shared" si="16"/>
        <v>Met</v>
      </c>
      <c r="L360" s="7" t="str">
        <f t="shared" si="17"/>
        <v>May</v>
      </c>
    </row>
    <row r="361" spans="1:12" x14ac:dyDescent="0.3">
      <c r="A361" s="8" t="s">
        <v>606</v>
      </c>
      <c r="B361" s="12" t="s">
        <v>27</v>
      </c>
      <c r="C361" s="12" t="s">
        <v>47</v>
      </c>
      <c r="D361" s="12" t="s">
        <v>15</v>
      </c>
      <c r="E361" s="12" t="s">
        <v>374</v>
      </c>
      <c r="F361" s="12" t="s">
        <v>37</v>
      </c>
      <c r="G361" s="12" t="s">
        <v>18</v>
      </c>
      <c r="H361" s="11">
        <v>45296</v>
      </c>
      <c r="I361" s="11">
        <v>45296</v>
      </c>
      <c r="J361" s="5">
        <f t="shared" si="15"/>
        <v>0</v>
      </c>
      <c r="K361" s="5" t="str">
        <f t="shared" si="16"/>
        <v>Met</v>
      </c>
      <c r="L361" s="7" t="str">
        <f t="shared" si="17"/>
        <v>Jan</v>
      </c>
    </row>
    <row r="362" spans="1:12" x14ac:dyDescent="0.3">
      <c r="A362" s="4" t="s">
        <v>607</v>
      </c>
      <c r="B362" s="13" t="s">
        <v>39</v>
      </c>
      <c r="C362" s="13" t="s">
        <v>99</v>
      </c>
      <c r="D362" s="13" t="s">
        <v>35</v>
      </c>
      <c r="E362" s="13" t="s">
        <v>376</v>
      </c>
      <c r="F362" s="13" t="s">
        <v>37</v>
      </c>
      <c r="G362" s="13" t="s">
        <v>31</v>
      </c>
      <c r="H362" s="7">
        <v>45304</v>
      </c>
      <c r="I362" s="7">
        <v>45304</v>
      </c>
      <c r="J362" s="5">
        <f t="shared" si="15"/>
        <v>0</v>
      </c>
      <c r="K362" s="5" t="str">
        <f t="shared" si="16"/>
        <v>Met</v>
      </c>
      <c r="L362" s="7" t="str">
        <f t="shared" si="17"/>
        <v>Jan</v>
      </c>
    </row>
    <row r="363" spans="1:12" x14ac:dyDescent="0.3">
      <c r="A363" s="8" t="s">
        <v>608</v>
      </c>
      <c r="B363" s="12" t="s">
        <v>20</v>
      </c>
      <c r="C363" s="12" t="s">
        <v>93</v>
      </c>
      <c r="D363" s="12" t="s">
        <v>66</v>
      </c>
      <c r="E363" s="12" t="s">
        <v>378</v>
      </c>
      <c r="F363" s="12" t="s">
        <v>37</v>
      </c>
      <c r="G363" s="12" t="s">
        <v>53</v>
      </c>
      <c r="H363" s="11">
        <v>45403</v>
      </c>
      <c r="I363" s="11">
        <v>45403</v>
      </c>
      <c r="J363" s="5">
        <f t="shared" si="15"/>
        <v>0</v>
      </c>
      <c r="K363" s="5" t="str">
        <f t="shared" si="16"/>
        <v>Met</v>
      </c>
      <c r="L363" s="7" t="str">
        <f t="shared" si="17"/>
        <v>Apr</v>
      </c>
    </row>
    <row r="364" spans="1:12" x14ac:dyDescent="0.3">
      <c r="A364" s="4" t="s">
        <v>609</v>
      </c>
      <c r="B364" s="13" t="s">
        <v>33</v>
      </c>
      <c r="C364" s="13" t="s">
        <v>34</v>
      </c>
      <c r="D364" s="13" t="s">
        <v>35</v>
      </c>
      <c r="E364" s="13" t="s">
        <v>380</v>
      </c>
      <c r="F364" s="13" t="s">
        <v>24</v>
      </c>
      <c r="G364" s="13" t="s">
        <v>31</v>
      </c>
      <c r="H364" s="7">
        <v>45399</v>
      </c>
      <c r="I364" s="7">
        <v>45399</v>
      </c>
      <c r="J364" s="5">
        <f t="shared" si="15"/>
        <v>0</v>
      </c>
      <c r="K364" s="5" t="str">
        <f t="shared" si="16"/>
        <v>Met</v>
      </c>
      <c r="L364" s="7" t="str">
        <f t="shared" si="17"/>
        <v>Apr</v>
      </c>
    </row>
    <row r="365" spans="1:12" x14ac:dyDescent="0.3">
      <c r="A365" s="8" t="s">
        <v>610</v>
      </c>
      <c r="B365" s="12" t="s">
        <v>27</v>
      </c>
      <c r="C365" s="12" t="s">
        <v>47</v>
      </c>
      <c r="D365" s="12" t="s">
        <v>35</v>
      </c>
      <c r="E365" s="12" t="s">
        <v>382</v>
      </c>
      <c r="F365" s="12" t="s">
        <v>17</v>
      </c>
      <c r="G365" s="12" t="s">
        <v>53</v>
      </c>
      <c r="H365" s="11">
        <v>45381</v>
      </c>
      <c r="I365" s="11">
        <v>45381</v>
      </c>
      <c r="J365" s="5">
        <f t="shared" si="15"/>
        <v>0</v>
      </c>
      <c r="K365" s="5" t="str">
        <f t="shared" si="16"/>
        <v>Met</v>
      </c>
      <c r="L365" s="7" t="str">
        <f t="shared" si="17"/>
        <v>Mar</v>
      </c>
    </row>
    <row r="366" spans="1:12" x14ac:dyDescent="0.3">
      <c r="A366" s="4" t="s">
        <v>611</v>
      </c>
      <c r="B366" s="13" t="s">
        <v>20</v>
      </c>
      <c r="C366" s="13" t="s">
        <v>21</v>
      </c>
      <c r="D366" s="13" t="s">
        <v>29</v>
      </c>
      <c r="E366" s="13" t="s">
        <v>384</v>
      </c>
      <c r="F366" s="13" t="s">
        <v>17</v>
      </c>
      <c r="G366" s="13" t="s">
        <v>25</v>
      </c>
      <c r="H366" s="7">
        <v>45343</v>
      </c>
      <c r="I366" s="7">
        <v>45343</v>
      </c>
      <c r="J366" s="5">
        <f t="shared" si="15"/>
        <v>0</v>
      </c>
      <c r="K366" s="5" t="str">
        <f t="shared" si="16"/>
        <v>Met</v>
      </c>
      <c r="L366" s="7" t="str">
        <f t="shared" si="17"/>
        <v>Feb</v>
      </c>
    </row>
    <row r="367" spans="1:12" x14ac:dyDescent="0.3">
      <c r="A367" s="8" t="s">
        <v>612</v>
      </c>
      <c r="B367" s="12" t="s">
        <v>20</v>
      </c>
      <c r="C367" s="12" t="s">
        <v>21</v>
      </c>
      <c r="D367" s="12" t="s">
        <v>15</v>
      </c>
      <c r="E367" s="12" t="s">
        <v>386</v>
      </c>
      <c r="F367" s="12" t="s">
        <v>24</v>
      </c>
      <c r="G367" s="12" t="s">
        <v>25</v>
      </c>
      <c r="H367" s="11">
        <v>45346</v>
      </c>
      <c r="I367" s="11">
        <v>45346</v>
      </c>
      <c r="J367" s="5">
        <f t="shared" si="15"/>
        <v>0</v>
      </c>
      <c r="K367" s="5" t="str">
        <f t="shared" si="16"/>
        <v>Met</v>
      </c>
      <c r="L367" s="7" t="str">
        <f t="shared" si="17"/>
        <v>Feb</v>
      </c>
    </row>
    <row r="368" spans="1:12" x14ac:dyDescent="0.3">
      <c r="A368" s="4" t="s">
        <v>613</v>
      </c>
      <c r="B368" s="13" t="s">
        <v>33</v>
      </c>
      <c r="C368" s="13" t="s">
        <v>34</v>
      </c>
      <c r="D368" s="13" t="s">
        <v>29</v>
      </c>
      <c r="E368" s="13" t="s">
        <v>388</v>
      </c>
      <c r="F368" s="13" t="s">
        <v>17</v>
      </c>
      <c r="G368" s="13" t="s">
        <v>31</v>
      </c>
      <c r="H368" s="7">
        <v>45307</v>
      </c>
      <c r="I368" s="7">
        <v>45308</v>
      </c>
      <c r="J368" s="5">
        <f t="shared" si="15"/>
        <v>1</v>
      </c>
      <c r="K368" s="5" t="str">
        <f t="shared" si="16"/>
        <v>Not Met</v>
      </c>
      <c r="L368" s="7" t="str">
        <f t="shared" si="17"/>
        <v>Jan</v>
      </c>
    </row>
    <row r="369" spans="1:12" x14ac:dyDescent="0.3">
      <c r="A369" s="8" t="s">
        <v>614</v>
      </c>
      <c r="B369" s="12" t="s">
        <v>13</v>
      </c>
      <c r="C369" s="12" t="s">
        <v>58</v>
      </c>
      <c r="D369" s="12" t="s">
        <v>35</v>
      </c>
      <c r="E369" s="12" t="s">
        <v>390</v>
      </c>
      <c r="F369" s="12" t="s">
        <v>37</v>
      </c>
      <c r="G369" s="12" t="s">
        <v>25</v>
      </c>
      <c r="H369" s="11">
        <v>45305</v>
      </c>
      <c r="I369" s="11">
        <v>45305</v>
      </c>
      <c r="J369" s="5">
        <f t="shared" si="15"/>
        <v>0</v>
      </c>
      <c r="K369" s="5" t="str">
        <f t="shared" si="16"/>
        <v>Met</v>
      </c>
      <c r="L369" s="7" t="str">
        <f t="shared" si="17"/>
        <v>Jan</v>
      </c>
    </row>
    <row r="370" spans="1:12" x14ac:dyDescent="0.3">
      <c r="A370" s="4" t="s">
        <v>615</v>
      </c>
      <c r="B370" s="13" t="s">
        <v>39</v>
      </c>
      <c r="C370" s="13" t="s">
        <v>96</v>
      </c>
      <c r="D370" s="13" t="s">
        <v>148</v>
      </c>
      <c r="E370" s="13" t="s">
        <v>392</v>
      </c>
      <c r="F370" s="13" t="s">
        <v>24</v>
      </c>
      <c r="G370" s="13" t="s">
        <v>31</v>
      </c>
      <c r="H370" s="7">
        <v>45471</v>
      </c>
      <c r="I370" s="6">
        <v>45471</v>
      </c>
      <c r="J370" s="5">
        <f t="shared" si="15"/>
        <v>0</v>
      </c>
      <c r="K370" s="5" t="str">
        <f t="shared" si="16"/>
        <v>Met</v>
      </c>
      <c r="L370" s="7" t="str">
        <f t="shared" si="17"/>
        <v>Jun</v>
      </c>
    </row>
    <row r="371" spans="1:12" x14ac:dyDescent="0.3">
      <c r="A371" s="8" t="s">
        <v>616</v>
      </c>
      <c r="B371" s="12" t="s">
        <v>39</v>
      </c>
      <c r="C371" s="12" t="s">
        <v>40</v>
      </c>
      <c r="D371" s="12" t="s">
        <v>66</v>
      </c>
      <c r="E371" s="12" t="s">
        <v>394</v>
      </c>
      <c r="F371" s="12" t="s">
        <v>24</v>
      </c>
      <c r="G371" s="12" t="s">
        <v>25</v>
      </c>
      <c r="H371" s="11">
        <v>45451</v>
      </c>
      <c r="I371" s="10">
        <v>45451</v>
      </c>
      <c r="J371" s="5">
        <f t="shared" si="15"/>
        <v>0</v>
      </c>
      <c r="K371" s="5" t="str">
        <f t="shared" si="16"/>
        <v>Met</v>
      </c>
      <c r="L371" s="7" t="str">
        <f t="shared" si="17"/>
        <v>Jun</v>
      </c>
    </row>
    <row r="372" spans="1:12" x14ac:dyDescent="0.3">
      <c r="A372" s="4" t="s">
        <v>617</v>
      </c>
      <c r="B372" s="5" t="s">
        <v>13</v>
      </c>
      <c r="C372" s="13" t="s">
        <v>14</v>
      </c>
      <c r="D372" s="5" t="s">
        <v>22</v>
      </c>
      <c r="E372" s="13" t="s">
        <v>396</v>
      </c>
      <c r="F372" s="13" t="s">
        <v>17</v>
      </c>
      <c r="G372" s="13" t="s">
        <v>31</v>
      </c>
      <c r="H372" s="7">
        <v>45442</v>
      </c>
      <c r="I372" s="6">
        <v>45442</v>
      </c>
      <c r="J372" s="5">
        <f t="shared" si="15"/>
        <v>0</v>
      </c>
      <c r="K372" s="5" t="str">
        <f t="shared" si="16"/>
        <v>Met</v>
      </c>
      <c r="L372" s="7" t="str">
        <f t="shared" si="17"/>
        <v>May</v>
      </c>
    </row>
    <row r="373" spans="1:12" x14ac:dyDescent="0.3">
      <c r="A373" s="8" t="s">
        <v>618</v>
      </c>
      <c r="B373" s="12" t="s">
        <v>20</v>
      </c>
      <c r="C373" s="12" t="s">
        <v>76</v>
      </c>
      <c r="D373" s="12" t="s">
        <v>66</v>
      </c>
      <c r="E373" s="12" t="s">
        <v>398</v>
      </c>
      <c r="F373" s="12" t="s">
        <v>37</v>
      </c>
      <c r="G373" s="12" t="s">
        <v>45</v>
      </c>
      <c r="H373" s="11">
        <v>45382</v>
      </c>
      <c r="I373" s="11">
        <v>45382</v>
      </c>
      <c r="J373" s="5">
        <f t="shared" si="15"/>
        <v>0</v>
      </c>
      <c r="K373" s="5" t="str">
        <f t="shared" si="16"/>
        <v>Met</v>
      </c>
      <c r="L373" s="7" t="str">
        <f t="shared" si="17"/>
        <v>Mar</v>
      </c>
    </row>
    <row r="374" spans="1:12" x14ac:dyDescent="0.3">
      <c r="A374" s="4" t="s">
        <v>619</v>
      </c>
      <c r="B374" s="13" t="s">
        <v>13</v>
      </c>
      <c r="C374" s="13" t="s">
        <v>61</v>
      </c>
      <c r="D374" s="13" t="s">
        <v>35</v>
      </c>
      <c r="E374" s="13" t="s">
        <v>400</v>
      </c>
      <c r="F374" s="13" t="s">
        <v>24</v>
      </c>
      <c r="G374" s="13" t="s">
        <v>45</v>
      </c>
      <c r="H374" s="7">
        <v>45434</v>
      </c>
      <c r="I374" s="6">
        <v>45434</v>
      </c>
      <c r="J374" s="5">
        <f t="shared" si="15"/>
        <v>0</v>
      </c>
      <c r="K374" s="5" t="str">
        <f t="shared" si="16"/>
        <v>Met</v>
      </c>
      <c r="L374" s="7" t="str">
        <f t="shared" si="17"/>
        <v>May</v>
      </c>
    </row>
    <row r="375" spans="1:12" x14ac:dyDescent="0.3">
      <c r="A375" s="8" t="s">
        <v>620</v>
      </c>
      <c r="B375" s="12" t="s">
        <v>39</v>
      </c>
      <c r="C375" s="12" t="s">
        <v>99</v>
      </c>
      <c r="D375" s="12" t="s">
        <v>148</v>
      </c>
      <c r="E375" s="12" t="s">
        <v>402</v>
      </c>
      <c r="F375" s="12" t="s">
        <v>37</v>
      </c>
      <c r="G375" s="9" t="s">
        <v>45</v>
      </c>
      <c r="H375" s="11">
        <v>45328</v>
      </c>
      <c r="I375" s="11">
        <v>45329</v>
      </c>
      <c r="J375" s="5">
        <f t="shared" si="15"/>
        <v>1</v>
      </c>
      <c r="K375" s="5" t="str">
        <f t="shared" si="16"/>
        <v>Not Met</v>
      </c>
      <c r="L375" s="7" t="str">
        <f t="shared" si="17"/>
        <v>Feb</v>
      </c>
    </row>
    <row r="376" spans="1:12" x14ac:dyDescent="0.3">
      <c r="A376" s="4" t="s">
        <v>621</v>
      </c>
      <c r="B376" s="13" t="s">
        <v>20</v>
      </c>
      <c r="C376" s="13" t="s">
        <v>93</v>
      </c>
      <c r="D376" s="13" t="s">
        <v>35</v>
      </c>
      <c r="E376" s="13" t="s">
        <v>404</v>
      </c>
      <c r="F376" s="13" t="s">
        <v>24</v>
      </c>
      <c r="G376" s="13" t="s">
        <v>18</v>
      </c>
      <c r="H376" s="7">
        <v>45325</v>
      </c>
      <c r="I376" s="7">
        <v>45325</v>
      </c>
      <c r="J376" s="5">
        <f t="shared" si="15"/>
        <v>0</v>
      </c>
      <c r="K376" s="5" t="str">
        <f t="shared" si="16"/>
        <v>Met</v>
      </c>
      <c r="L376" s="7" t="str">
        <f t="shared" si="17"/>
        <v>Feb</v>
      </c>
    </row>
    <row r="377" spans="1:12" x14ac:dyDescent="0.3">
      <c r="A377" s="8" t="s">
        <v>622</v>
      </c>
      <c r="B377" s="12" t="s">
        <v>27</v>
      </c>
      <c r="C377" s="12" t="s">
        <v>28</v>
      </c>
      <c r="D377" s="12" t="s">
        <v>35</v>
      </c>
      <c r="E377" s="12" t="s">
        <v>406</v>
      </c>
      <c r="F377" s="12" t="s">
        <v>37</v>
      </c>
      <c r="G377" s="12" t="s">
        <v>18</v>
      </c>
      <c r="H377" s="11">
        <v>45402</v>
      </c>
      <c r="I377" s="11">
        <v>45402</v>
      </c>
      <c r="J377" s="5">
        <f t="shared" si="15"/>
        <v>0</v>
      </c>
      <c r="K377" s="5" t="str">
        <f t="shared" si="16"/>
        <v>Met</v>
      </c>
      <c r="L377" s="7" t="str">
        <f t="shared" si="17"/>
        <v>Apr</v>
      </c>
    </row>
    <row r="378" spans="1:12" x14ac:dyDescent="0.3">
      <c r="A378" s="4" t="s">
        <v>623</v>
      </c>
      <c r="B378" s="13" t="s">
        <v>27</v>
      </c>
      <c r="C378" s="13" t="s">
        <v>28</v>
      </c>
      <c r="D378" s="13" t="s">
        <v>22</v>
      </c>
      <c r="E378" s="13" t="s">
        <v>408</v>
      </c>
      <c r="F378" s="13" t="s">
        <v>37</v>
      </c>
      <c r="G378" s="13" t="s">
        <v>25</v>
      </c>
      <c r="H378" s="7">
        <v>45431</v>
      </c>
      <c r="I378" s="6">
        <v>45431</v>
      </c>
      <c r="J378" s="5">
        <f t="shared" si="15"/>
        <v>0</v>
      </c>
      <c r="K378" s="5" t="str">
        <f t="shared" si="16"/>
        <v>Met</v>
      </c>
      <c r="L378" s="7" t="str">
        <f t="shared" si="17"/>
        <v>May</v>
      </c>
    </row>
    <row r="379" spans="1:12" x14ac:dyDescent="0.3">
      <c r="A379" s="8" t="s">
        <v>624</v>
      </c>
      <c r="B379" s="12" t="s">
        <v>27</v>
      </c>
      <c r="C379" s="12" t="s">
        <v>47</v>
      </c>
      <c r="D379" s="12" t="s">
        <v>79</v>
      </c>
      <c r="E379" s="12" t="s">
        <v>410</v>
      </c>
      <c r="F379" s="12" t="s">
        <v>24</v>
      </c>
      <c r="G379" s="12" t="s">
        <v>45</v>
      </c>
      <c r="H379" s="11">
        <v>45336</v>
      </c>
      <c r="I379" s="11">
        <v>45336</v>
      </c>
      <c r="J379" s="5">
        <f t="shared" si="15"/>
        <v>0</v>
      </c>
      <c r="K379" s="5" t="str">
        <f t="shared" si="16"/>
        <v>Met</v>
      </c>
      <c r="L379" s="7" t="str">
        <f t="shared" si="17"/>
        <v>Feb</v>
      </c>
    </row>
    <row r="380" spans="1:12" x14ac:dyDescent="0.3">
      <c r="A380" s="4" t="s">
        <v>625</v>
      </c>
      <c r="B380" s="13" t="s">
        <v>39</v>
      </c>
      <c r="C380" s="13" t="s">
        <v>40</v>
      </c>
      <c r="D380" s="13" t="s">
        <v>35</v>
      </c>
      <c r="E380" s="13" t="s">
        <v>412</v>
      </c>
      <c r="F380" s="13" t="s">
        <v>37</v>
      </c>
      <c r="G380" s="13" t="s">
        <v>18</v>
      </c>
      <c r="H380" s="7">
        <v>45292</v>
      </c>
      <c r="I380" s="7">
        <v>45292</v>
      </c>
      <c r="J380" s="5">
        <f t="shared" si="15"/>
        <v>0</v>
      </c>
      <c r="K380" s="5" t="str">
        <f t="shared" si="16"/>
        <v>Met</v>
      </c>
      <c r="L380" s="7" t="str">
        <f t="shared" si="17"/>
        <v>Jan</v>
      </c>
    </row>
    <row r="381" spans="1:12" x14ac:dyDescent="0.3">
      <c r="A381" s="8" t="s">
        <v>626</v>
      </c>
      <c r="B381" s="12" t="s">
        <v>27</v>
      </c>
      <c r="C381" s="12" t="s">
        <v>153</v>
      </c>
      <c r="D381" s="12" t="s">
        <v>86</v>
      </c>
      <c r="E381" s="12" t="s">
        <v>414</v>
      </c>
      <c r="F381" s="12" t="s">
        <v>17</v>
      </c>
      <c r="G381" s="12" t="s">
        <v>18</v>
      </c>
      <c r="H381" s="11">
        <v>45445</v>
      </c>
      <c r="I381" s="10">
        <v>45445</v>
      </c>
      <c r="J381" s="5">
        <f t="shared" si="15"/>
        <v>0</v>
      </c>
      <c r="K381" s="5" t="str">
        <f t="shared" si="16"/>
        <v>Met</v>
      </c>
      <c r="L381" s="7" t="str">
        <f t="shared" si="17"/>
        <v>Jun</v>
      </c>
    </row>
    <row r="382" spans="1:12" x14ac:dyDescent="0.3">
      <c r="A382" s="4" t="s">
        <v>627</v>
      </c>
      <c r="B382" s="13" t="s">
        <v>33</v>
      </c>
      <c r="C382" s="13" t="s">
        <v>55</v>
      </c>
      <c r="D382" s="13" t="s">
        <v>66</v>
      </c>
      <c r="E382" s="13" t="s">
        <v>416</v>
      </c>
      <c r="F382" s="13" t="s">
        <v>37</v>
      </c>
      <c r="G382" s="13" t="s">
        <v>31</v>
      </c>
      <c r="H382" s="7">
        <v>45340</v>
      </c>
      <c r="I382" s="7">
        <v>45340</v>
      </c>
      <c r="J382" s="5">
        <f t="shared" si="15"/>
        <v>0</v>
      </c>
      <c r="K382" s="5" t="str">
        <f t="shared" si="16"/>
        <v>Met</v>
      </c>
      <c r="L382" s="7" t="str">
        <f t="shared" si="17"/>
        <v>Feb</v>
      </c>
    </row>
    <row r="383" spans="1:12" x14ac:dyDescent="0.3">
      <c r="A383" s="8" t="s">
        <v>628</v>
      </c>
      <c r="B383" s="12" t="s">
        <v>33</v>
      </c>
      <c r="C383" s="12" t="s">
        <v>34</v>
      </c>
      <c r="D383" s="12" t="s">
        <v>35</v>
      </c>
      <c r="E383" s="12" t="s">
        <v>418</v>
      </c>
      <c r="F383" s="12" t="s">
        <v>37</v>
      </c>
      <c r="G383" s="12" t="s">
        <v>42</v>
      </c>
      <c r="H383" s="11">
        <v>45343</v>
      </c>
      <c r="I383" s="11">
        <v>45343</v>
      </c>
      <c r="J383" s="5">
        <f t="shared" si="15"/>
        <v>0</v>
      </c>
      <c r="K383" s="5" t="str">
        <f t="shared" si="16"/>
        <v>Met</v>
      </c>
      <c r="L383" s="7" t="str">
        <f t="shared" si="17"/>
        <v>Feb</v>
      </c>
    </row>
    <row r="384" spans="1:12" x14ac:dyDescent="0.3">
      <c r="A384" s="4" t="s">
        <v>629</v>
      </c>
      <c r="B384" s="5" t="s">
        <v>13</v>
      </c>
      <c r="C384" s="13" t="s">
        <v>58</v>
      </c>
      <c r="D384" s="13" t="s">
        <v>15</v>
      </c>
      <c r="E384" s="13" t="s">
        <v>420</v>
      </c>
      <c r="F384" s="13" t="s">
        <v>17</v>
      </c>
      <c r="G384" s="13" t="s">
        <v>31</v>
      </c>
      <c r="H384" s="7">
        <v>45380</v>
      </c>
      <c r="I384" s="6">
        <v>45380</v>
      </c>
      <c r="J384" s="5">
        <f t="shared" si="15"/>
        <v>0</v>
      </c>
      <c r="K384" s="5" t="str">
        <f t="shared" si="16"/>
        <v>Met</v>
      </c>
      <c r="L384" s="7" t="str">
        <f t="shared" si="17"/>
        <v>Mar</v>
      </c>
    </row>
    <row r="385" spans="1:12" x14ac:dyDescent="0.3">
      <c r="A385" s="8" t="s">
        <v>630</v>
      </c>
      <c r="B385" s="12" t="s">
        <v>20</v>
      </c>
      <c r="C385" s="12" t="s">
        <v>21</v>
      </c>
      <c r="D385" s="12" t="s">
        <v>22</v>
      </c>
      <c r="E385" s="12" t="s">
        <v>422</v>
      </c>
      <c r="F385" s="12" t="s">
        <v>24</v>
      </c>
      <c r="G385" s="12" t="s">
        <v>18</v>
      </c>
      <c r="H385" s="11">
        <v>45382</v>
      </c>
      <c r="I385" s="11">
        <v>45382</v>
      </c>
      <c r="J385" s="5">
        <f t="shared" si="15"/>
        <v>0</v>
      </c>
      <c r="K385" s="5" t="str">
        <f t="shared" si="16"/>
        <v>Met</v>
      </c>
      <c r="L385" s="7" t="str">
        <f t="shared" si="17"/>
        <v>Mar</v>
      </c>
    </row>
    <row r="386" spans="1:12" x14ac:dyDescent="0.3">
      <c r="A386" s="4" t="s">
        <v>631</v>
      </c>
      <c r="B386" s="13" t="s">
        <v>33</v>
      </c>
      <c r="C386" s="13" t="s">
        <v>55</v>
      </c>
      <c r="D386" s="13" t="s">
        <v>22</v>
      </c>
      <c r="E386" s="13" t="s">
        <v>424</v>
      </c>
      <c r="F386" s="13" t="s">
        <v>37</v>
      </c>
      <c r="G386" s="13" t="s">
        <v>53</v>
      </c>
      <c r="H386" s="7">
        <v>45450</v>
      </c>
      <c r="I386" s="6">
        <v>45450</v>
      </c>
      <c r="J386" s="5">
        <f t="shared" si="15"/>
        <v>0</v>
      </c>
      <c r="K386" s="5" t="str">
        <f t="shared" si="16"/>
        <v>Met</v>
      </c>
      <c r="L386" s="7" t="str">
        <f t="shared" si="17"/>
        <v>Jun</v>
      </c>
    </row>
    <row r="387" spans="1:12" x14ac:dyDescent="0.3">
      <c r="A387" s="8" t="s">
        <v>632</v>
      </c>
      <c r="B387" s="12" t="s">
        <v>13</v>
      </c>
      <c r="C387" s="12" t="s">
        <v>14</v>
      </c>
      <c r="D387" s="12" t="s">
        <v>35</v>
      </c>
      <c r="E387" s="12" t="s">
        <v>426</v>
      </c>
      <c r="F387" s="12" t="s">
        <v>24</v>
      </c>
      <c r="G387" s="12" t="s">
        <v>25</v>
      </c>
      <c r="H387" s="11">
        <v>45328</v>
      </c>
      <c r="I387" s="11">
        <v>45328</v>
      </c>
      <c r="J387" s="5">
        <f t="shared" ref="J387:J450" si="18">I387-H387</f>
        <v>0</v>
      </c>
      <c r="K387" s="5" t="str">
        <f t="shared" ref="K387:K450" si="19">IF(J387&gt;= 1, "Not Met","Met")</f>
        <v>Met</v>
      </c>
      <c r="L387" s="7" t="str">
        <f t="shared" ref="L387:L450" si="20">TEXT(H387,"MMM")</f>
        <v>Feb</v>
      </c>
    </row>
    <row r="388" spans="1:12" x14ac:dyDescent="0.3">
      <c r="A388" s="4" t="s">
        <v>633</v>
      </c>
      <c r="B388" s="13" t="s">
        <v>27</v>
      </c>
      <c r="C388" s="13" t="s">
        <v>47</v>
      </c>
      <c r="D388" s="13" t="s">
        <v>66</v>
      </c>
      <c r="E388" s="13" t="s">
        <v>428</v>
      </c>
      <c r="F388" s="13" t="s">
        <v>37</v>
      </c>
      <c r="G388" s="13" t="s">
        <v>31</v>
      </c>
      <c r="H388" s="7">
        <v>45450</v>
      </c>
      <c r="I388" s="6">
        <v>45450</v>
      </c>
      <c r="J388" s="5">
        <f t="shared" si="18"/>
        <v>0</v>
      </c>
      <c r="K388" s="5" t="str">
        <f t="shared" si="19"/>
        <v>Met</v>
      </c>
      <c r="L388" s="7" t="str">
        <f t="shared" si="20"/>
        <v>Jun</v>
      </c>
    </row>
    <row r="389" spans="1:12" x14ac:dyDescent="0.3">
      <c r="A389" s="8" t="s">
        <v>634</v>
      </c>
      <c r="B389" s="12" t="s">
        <v>27</v>
      </c>
      <c r="C389" s="12" t="s">
        <v>28</v>
      </c>
      <c r="D389" s="12" t="s">
        <v>35</v>
      </c>
      <c r="E389" s="12" t="s">
        <v>430</v>
      </c>
      <c r="F389" s="12" t="s">
        <v>24</v>
      </c>
      <c r="G389" s="12" t="s">
        <v>45</v>
      </c>
      <c r="H389" s="11">
        <v>45292</v>
      </c>
      <c r="I389" s="11">
        <v>45292</v>
      </c>
      <c r="J389" s="5">
        <f t="shared" si="18"/>
        <v>0</v>
      </c>
      <c r="K389" s="5" t="str">
        <f t="shared" si="19"/>
        <v>Met</v>
      </c>
      <c r="L389" s="7" t="str">
        <f t="shared" si="20"/>
        <v>Jan</v>
      </c>
    </row>
    <row r="390" spans="1:12" x14ac:dyDescent="0.3">
      <c r="A390" s="4" t="s">
        <v>635</v>
      </c>
      <c r="B390" s="13" t="s">
        <v>33</v>
      </c>
      <c r="C390" s="13" t="s">
        <v>69</v>
      </c>
      <c r="D390" s="13" t="s">
        <v>15</v>
      </c>
      <c r="E390" s="13" t="s">
        <v>432</v>
      </c>
      <c r="F390" s="13" t="s">
        <v>24</v>
      </c>
      <c r="G390" s="13" t="s">
        <v>45</v>
      </c>
      <c r="H390" s="7">
        <v>45354</v>
      </c>
      <c r="I390" s="7">
        <v>45354</v>
      </c>
      <c r="J390" s="5">
        <f t="shared" si="18"/>
        <v>0</v>
      </c>
      <c r="K390" s="5" t="str">
        <f t="shared" si="19"/>
        <v>Met</v>
      </c>
      <c r="L390" s="7" t="str">
        <f t="shared" si="20"/>
        <v>Mar</v>
      </c>
    </row>
    <row r="391" spans="1:12" x14ac:dyDescent="0.3">
      <c r="A391" s="8" t="s">
        <v>636</v>
      </c>
      <c r="B391" s="12" t="s">
        <v>27</v>
      </c>
      <c r="C391" s="12" t="s">
        <v>28</v>
      </c>
      <c r="D391" s="12" t="s">
        <v>35</v>
      </c>
      <c r="E391" s="12" t="s">
        <v>434</v>
      </c>
      <c r="F391" s="12" t="s">
        <v>17</v>
      </c>
      <c r="G391" s="12" t="s">
        <v>42</v>
      </c>
      <c r="H391" s="11">
        <v>45310</v>
      </c>
      <c r="I391" s="11">
        <v>45310</v>
      </c>
      <c r="J391" s="5">
        <f t="shared" si="18"/>
        <v>0</v>
      </c>
      <c r="K391" s="5" t="str">
        <f t="shared" si="19"/>
        <v>Met</v>
      </c>
      <c r="L391" s="7" t="str">
        <f t="shared" si="20"/>
        <v>Jan</v>
      </c>
    </row>
    <row r="392" spans="1:12" x14ac:dyDescent="0.3">
      <c r="A392" s="4" t="s">
        <v>637</v>
      </c>
      <c r="B392" s="13" t="s">
        <v>20</v>
      </c>
      <c r="C392" s="13" t="s">
        <v>76</v>
      </c>
      <c r="D392" s="13" t="s">
        <v>86</v>
      </c>
      <c r="E392" s="13" t="s">
        <v>436</v>
      </c>
      <c r="F392" s="13" t="s">
        <v>24</v>
      </c>
      <c r="G392" s="13" t="s">
        <v>25</v>
      </c>
      <c r="H392" s="7">
        <v>45407</v>
      </c>
      <c r="I392" s="7">
        <v>45407</v>
      </c>
      <c r="J392" s="5">
        <f t="shared" si="18"/>
        <v>0</v>
      </c>
      <c r="K392" s="5" t="str">
        <f t="shared" si="19"/>
        <v>Met</v>
      </c>
      <c r="L392" s="7" t="str">
        <f t="shared" si="20"/>
        <v>Apr</v>
      </c>
    </row>
    <row r="393" spans="1:12" x14ac:dyDescent="0.3">
      <c r="A393" s="8" t="s">
        <v>638</v>
      </c>
      <c r="B393" s="12" t="s">
        <v>20</v>
      </c>
      <c r="C393" s="12" t="s">
        <v>21</v>
      </c>
      <c r="D393" s="12" t="s">
        <v>66</v>
      </c>
      <c r="E393" s="12" t="s">
        <v>438</v>
      </c>
      <c r="F393" s="12" t="s">
        <v>24</v>
      </c>
      <c r="G393" s="12" t="s">
        <v>42</v>
      </c>
      <c r="H393" s="11">
        <v>45445</v>
      </c>
      <c r="I393" s="10">
        <v>45445</v>
      </c>
      <c r="J393" s="5">
        <f t="shared" si="18"/>
        <v>0</v>
      </c>
      <c r="K393" s="5" t="str">
        <f t="shared" si="19"/>
        <v>Met</v>
      </c>
      <c r="L393" s="7" t="str">
        <f t="shared" si="20"/>
        <v>Jun</v>
      </c>
    </row>
    <row r="394" spans="1:12" x14ac:dyDescent="0.3">
      <c r="A394" s="4" t="s">
        <v>639</v>
      </c>
      <c r="B394" s="13" t="s">
        <v>20</v>
      </c>
      <c r="C394" s="13" t="s">
        <v>76</v>
      </c>
      <c r="D394" s="13" t="s">
        <v>22</v>
      </c>
      <c r="E394" s="13" t="s">
        <v>440</v>
      </c>
      <c r="F394" s="13" t="s">
        <v>24</v>
      </c>
      <c r="G394" s="13" t="s">
        <v>18</v>
      </c>
      <c r="H394" s="7">
        <v>45415</v>
      </c>
      <c r="I394" s="6">
        <v>45415</v>
      </c>
      <c r="J394" s="5">
        <f t="shared" si="18"/>
        <v>0</v>
      </c>
      <c r="K394" s="5" t="str">
        <f t="shared" si="19"/>
        <v>Met</v>
      </c>
      <c r="L394" s="7" t="str">
        <f t="shared" si="20"/>
        <v>May</v>
      </c>
    </row>
    <row r="395" spans="1:12" x14ac:dyDescent="0.3">
      <c r="A395" s="8" t="s">
        <v>640</v>
      </c>
      <c r="B395" s="12" t="s">
        <v>39</v>
      </c>
      <c r="C395" s="12" t="s">
        <v>40</v>
      </c>
      <c r="D395" s="12" t="s">
        <v>35</v>
      </c>
      <c r="E395" s="12" t="s">
        <v>442</v>
      </c>
      <c r="F395" s="12" t="s">
        <v>24</v>
      </c>
      <c r="G395" s="12" t="s">
        <v>18</v>
      </c>
      <c r="H395" s="11">
        <v>45459</v>
      </c>
      <c r="I395" s="10">
        <v>45459</v>
      </c>
      <c r="J395" s="5">
        <f t="shared" si="18"/>
        <v>0</v>
      </c>
      <c r="K395" s="5" t="str">
        <f t="shared" si="19"/>
        <v>Met</v>
      </c>
      <c r="L395" s="7" t="str">
        <f t="shared" si="20"/>
        <v>Jun</v>
      </c>
    </row>
    <row r="396" spans="1:12" x14ac:dyDescent="0.3">
      <c r="A396" s="4" t="s">
        <v>641</v>
      </c>
      <c r="B396" s="13" t="s">
        <v>13</v>
      </c>
      <c r="C396" s="13" t="s">
        <v>61</v>
      </c>
      <c r="D396" s="13" t="s">
        <v>35</v>
      </c>
      <c r="E396" s="13" t="s">
        <v>220</v>
      </c>
      <c r="F396" s="13" t="s">
        <v>24</v>
      </c>
      <c r="G396" s="13" t="s">
        <v>18</v>
      </c>
      <c r="H396" s="7">
        <v>45438</v>
      </c>
      <c r="I396" s="6">
        <v>45438</v>
      </c>
      <c r="J396" s="5">
        <f t="shared" si="18"/>
        <v>0</v>
      </c>
      <c r="K396" s="5" t="str">
        <f t="shared" si="19"/>
        <v>Met</v>
      </c>
      <c r="L396" s="7" t="str">
        <f t="shared" si="20"/>
        <v>May</v>
      </c>
    </row>
    <row r="397" spans="1:12" x14ac:dyDescent="0.3">
      <c r="A397" s="8" t="s">
        <v>642</v>
      </c>
      <c r="B397" s="12" t="s">
        <v>27</v>
      </c>
      <c r="C397" s="12" t="s">
        <v>153</v>
      </c>
      <c r="D397" s="12" t="s">
        <v>35</v>
      </c>
      <c r="E397" s="12" t="s">
        <v>222</v>
      </c>
      <c r="F397" s="12" t="s">
        <v>24</v>
      </c>
      <c r="G397" s="12" t="s">
        <v>25</v>
      </c>
      <c r="H397" s="11">
        <v>45409</v>
      </c>
      <c r="I397" s="10">
        <v>45409</v>
      </c>
      <c r="J397" s="5">
        <f t="shared" si="18"/>
        <v>0</v>
      </c>
      <c r="K397" s="5" t="str">
        <f t="shared" si="19"/>
        <v>Met</v>
      </c>
      <c r="L397" s="7" t="str">
        <f t="shared" si="20"/>
        <v>Apr</v>
      </c>
    </row>
    <row r="398" spans="1:12" x14ac:dyDescent="0.3">
      <c r="A398" s="4" t="s">
        <v>643</v>
      </c>
      <c r="B398" s="13" t="s">
        <v>33</v>
      </c>
      <c r="C398" s="13" t="s">
        <v>69</v>
      </c>
      <c r="D398" s="13" t="s">
        <v>148</v>
      </c>
      <c r="E398" s="13" t="s">
        <v>224</v>
      </c>
      <c r="F398" s="13" t="s">
        <v>37</v>
      </c>
      <c r="G398" s="13" t="s">
        <v>45</v>
      </c>
      <c r="H398" s="7">
        <v>45421</v>
      </c>
      <c r="I398" s="6">
        <v>45421</v>
      </c>
      <c r="J398" s="5">
        <f t="shared" si="18"/>
        <v>0</v>
      </c>
      <c r="K398" s="5" t="str">
        <f t="shared" si="19"/>
        <v>Met</v>
      </c>
      <c r="L398" s="7" t="str">
        <f t="shared" si="20"/>
        <v>May</v>
      </c>
    </row>
    <row r="399" spans="1:12" x14ac:dyDescent="0.3">
      <c r="A399" s="8" t="s">
        <v>644</v>
      </c>
      <c r="B399" s="12" t="s">
        <v>13</v>
      </c>
      <c r="C399" s="12" t="s">
        <v>14</v>
      </c>
      <c r="D399" s="12" t="s">
        <v>86</v>
      </c>
      <c r="E399" s="12" t="s">
        <v>226</v>
      </c>
      <c r="F399" s="12" t="s">
        <v>24</v>
      </c>
      <c r="G399" s="12" t="s">
        <v>42</v>
      </c>
      <c r="H399" s="11">
        <v>45358</v>
      </c>
      <c r="I399" s="10">
        <v>45358</v>
      </c>
      <c r="J399" s="5">
        <f t="shared" si="18"/>
        <v>0</v>
      </c>
      <c r="K399" s="5" t="str">
        <f t="shared" si="19"/>
        <v>Met</v>
      </c>
      <c r="L399" s="7" t="str">
        <f t="shared" si="20"/>
        <v>Mar</v>
      </c>
    </row>
    <row r="400" spans="1:12" x14ac:dyDescent="0.3">
      <c r="A400" s="4" t="s">
        <v>645</v>
      </c>
      <c r="B400" s="13" t="s">
        <v>13</v>
      </c>
      <c r="C400" s="13" t="s">
        <v>61</v>
      </c>
      <c r="D400" s="13" t="s">
        <v>86</v>
      </c>
      <c r="E400" s="13" t="s">
        <v>228</v>
      </c>
      <c r="F400" s="13" t="s">
        <v>17</v>
      </c>
      <c r="G400" s="13" t="s">
        <v>42</v>
      </c>
      <c r="H400" s="7">
        <v>45401</v>
      </c>
      <c r="I400" s="7">
        <v>45401</v>
      </c>
      <c r="J400" s="5">
        <f t="shared" si="18"/>
        <v>0</v>
      </c>
      <c r="K400" s="5" t="str">
        <f t="shared" si="19"/>
        <v>Met</v>
      </c>
      <c r="L400" s="7" t="str">
        <f t="shared" si="20"/>
        <v>Apr</v>
      </c>
    </row>
    <row r="401" spans="1:12" x14ac:dyDescent="0.3">
      <c r="A401" s="8" t="s">
        <v>646</v>
      </c>
      <c r="B401" s="12" t="s">
        <v>39</v>
      </c>
      <c r="C401" s="12" t="s">
        <v>40</v>
      </c>
      <c r="D401" s="12" t="s">
        <v>148</v>
      </c>
      <c r="E401" s="12" t="s">
        <v>230</v>
      </c>
      <c r="F401" s="12" t="s">
        <v>24</v>
      </c>
      <c r="G401" s="12" t="s">
        <v>53</v>
      </c>
      <c r="H401" s="11">
        <v>45320</v>
      </c>
      <c r="I401" s="11">
        <v>45320</v>
      </c>
      <c r="J401" s="5">
        <f t="shared" si="18"/>
        <v>0</v>
      </c>
      <c r="K401" s="5" t="str">
        <f t="shared" si="19"/>
        <v>Met</v>
      </c>
      <c r="L401" s="7" t="str">
        <f t="shared" si="20"/>
        <v>Jan</v>
      </c>
    </row>
    <row r="402" spans="1:12" x14ac:dyDescent="0.3">
      <c r="A402" s="4" t="s">
        <v>647</v>
      </c>
      <c r="B402" s="13" t="s">
        <v>13</v>
      </c>
      <c r="C402" s="13" t="s">
        <v>14</v>
      </c>
      <c r="D402" s="5" t="s">
        <v>35</v>
      </c>
      <c r="E402" s="13" t="s">
        <v>232</v>
      </c>
      <c r="F402" s="13" t="s">
        <v>24</v>
      </c>
      <c r="G402" s="13" t="s">
        <v>45</v>
      </c>
      <c r="H402" s="7">
        <v>45366</v>
      </c>
      <c r="I402" s="6">
        <v>45367</v>
      </c>
      <c r="J402" s="5">
        <f t="shared" si="18"/>
        <v>1</v>
      </c>
      <c r="K402" s="5" t="str">
        <f t="shared" si="19"/>
        <v>Not Met</v>
      </c>
      <c r="L402" s="7" t="str">
        <f t="shared" si="20"/>
        <v>Mar</v>
      </c>
    </row>
    <row r="403" spans="1:12" x14ac:dyDescent="0.3">
      <c r="A403" s="8" t="s">
        <v>648</v>
      </c>
      <c r="B403" s="12" t="s">
        <v>27</v>
      </c>
      <c r="C403" s="12" t="s">
        <v>153</v>
      </c>
      <c r="D403" s="12" t="s">
        <v>35</v>
      </c>
      <c r="E403" s="12" t="s">
        <v>234</v>
      </c>
      <c r="F403" s="12" t="s">
        <v>37</v>
      </c>
      <c r="G403" s="12" t="s">
        <v>53</v>
      </c>
      <c r="H403" s="11">
        <v>45372</v>
      </c>
      <c r="I403" s="11">
        <v>45372</v>
      </c>
      <c r="J403" s="5">
        <f t="shared" si="18"/>
        <v>0</v>
      </c>
      <c r="K403" s="5" t="str">
        <f t="shared" si="19"/>
        <v>Met</v>
      </c>
      <c r="L403" s="7" t="str">
        <f t="shared" si="20"/>
        <v>Mar</v>
      </c>
    </row>
    <row r="404" spans="1:12" x14ac:dyDescent="0.3">
      <c r="A404" s="4" t="s">
        <v>649</v>
      </c>
      <c r="B404" s="13" t="s">
        <v>20</v>
      </c>
      <c r="C404" s="13" t="s">
        <v>21</v>
      </c>
      <c r="D404" s="13" t="s">
        <v>86</v>
      </c>
      <c r="E404" s="13" t="s">
        <v>236</v>
      </c>
      <c r="F404" s="13" t="s">
        <v>37</v>
      </c>
      <c r="G404" s="13" t="s">
        <v>25</v>
      </c>
      <c r="H404" s="7">
        <v>45414</v>
      </c>
      <c r="I404" s="6">
        <v>45414</v>
      </c>
      <c r="J404" s="5">
        <f t="shared" si="18"/>
        <v>0</v>
      </c>
      <c r="K404" s="5" t="str">
        <f t="shared" si="19"/>
        <v>Met</v>
      </c>
      <c r="L404" s="7" t="str">
        <f t="shared" si="20"/>
        <v>May</v>
      </c>
    </row>
    <row r="405" spans="1:12" x14ac:dyDescent="0.3">
      <c r="A405" s="8" t="s">
        <v>650</v>
      </c>
      <c r="B405" s="12" t="s">
        <v>33</v>
      </c>
      <c r="C405" s="12" t="s">
        <v>55</v>
      </c>
      <c r="D405" s="12" t="s">
        <v>79</v>
      </c>
      <c r="E405" s="12" t="s">
        <v>238</v>
      </c>
      <c r="F405" s="12" t="s">
        <v>24</v>
      </c>
      <c r="G405" s="12" t="s">
        <v>31</v>
      </c>
      <c r="H405" s="11">
        <v>45301</v>
      </c>
      <c r="I405" s="11">
        <v>45301</v>
      </c>
      <c r="J405" s="5">
        <f t="shared" si="18"/>
        <v>0</v>
      </c>
      <c r="K405" s="5" t="str">
        <f t="shared" si="19"/>
        <v>Met</v>
      </c>
      <c r="L405" s="7" t="str">
        <f t="shared" si="20"/>
        <v>Jan</v>
      </c>
    </row>
    <row r="406" spans="1:12" x14ac:dyDescent="0.3">
      <c r="A406" s="4" t="s">
        <v>651</v>
      </c>
      <c r="B406" s="5" t="s">
        <v>13</v>
      </c>
      <c r="C406" s="13" t="s">
        <v>14</v>
      </c>
      <c r="D406" s="13" t="s">
        <v>22</v>
      </c>
      <c r="E406" s="13" t="s">
        <v>240</v>
      </c>
      <c r="F406" s="13" t="s">
        <v>17</v>
      </c>
      <c r="G406" s="13" t="s">
        <v>18</v>
      </c>
      <c r="H406" s="7">
        <v>45399</v>
      </c>
      <c r="I406" s="7">
        <v>45399</v>
      </c>
      <c r="J406" s="5">
        <f t="shared" si="18"/>
        <v>0</v>
      </c>
      <c r="K406" s="5" t="str">
        <f t="shared" si="19"/>
        <v>Met</v>
      </c>
      <c r="L406" s="7" t="str">
        <f t="shared" si="20"/>
        <v>Apr</v>
      </c>
    </row>
    <row r="407" spans="1:12" x14ac:dyDescent="0.3">
      <c r="A407" s="8" t="s">
        <v>652</v>
      </c>
      <c r="B407" s="12" t="s">
        <v>20</v>
      </c>
      <c r="C407" s="12" t="s">
        <v>21</v>
      </c>
      <c r="D407" s="12" t="s">
        <v>66</v>
      </c>
      <c r="E407" s="12" t="s">
        <v>242</v>
      </c>
      <c r="F407" s="12" t="s">
        <v>24</v>
      </c>
      <c r="G407" s="12" t="s">
        <v>45</v>
      </c>
      <c r="H407" s="11">
        <v>45373</v>
      </c>
      <c r="I407" s="10">
        <v>45374</v>
      </c>
      <c r="J407" s="5">
        <f t="shared" si="18"/>
        <v>1</v>
      </c>
      <c r="K407" s="5" t="str">
        <f t="shared" si="19"/>
        <v>Not Met</v>
      </c>
      <c r="L407" s="7" t="str">
        <f t="shared" si="20"/>
        <v>Mar</v>
      </c>
    </row>
    <row r="408" spans="1:12" x14ac:dyDescent="0.3">
      <c r="A408" s="4" t="s">
        <v>653</v>
      </c>
      <c r="B408" s="13" t="s">
        <v>27</v>
      </c>
      <c r="C408" s="13" t="s">
        <v>28</v>
      </c>
      <c r="D408" s="13" t="s">
        <v>86</v>
      </c>
      <c r="E408" s="13" t="s">
        <v>244</v>
      </c>
      <c r="F408" s="13" t="s">
        <v>37</v>
      </c>
      <c r="G408" s="13" t="s">
        <v>18</v>
      </c>
      <c r="H408" s="7">
        <v>45356</v>
      </c>
      <c r="I408" s="7">
        <v>45356</v>
      </c>
      <c r="J408" s="5">
        <f t="shared" si="18"/>
        <v>0</v>
      </c>
      <c r="K408" s="5" t="str">
        <f t="shared" si="19"/>
        <v>Met</v>
      </c>
      <c r="L408" s="7" t="str">
        <f t="shared" si="20"/>
        <v>Mar</v>
      </c>
    </row>
    <row r="409" spans="1:12" x14ac:dyDescent="0.3">
      <c r="A409" s="8" t="s">
        <v>654</v>
      </c>
      <c r="B409" s="12" t="s">
        <v>20</v>
      </c>
      <c r="C409" s="12" t="s">
        <v>93</v>
      </c>
      <c r="D409" s="12" t="s">
        <v>66</v>
      </c>
      <c r="E409" s="12" t="s">
        <v>246</v>
      </c>
      <c r="F409" s="12" t="s">
        <v>24</v>
      </c>
      <c r="G409" s="12" t="s">
        <v>31</v>
      </c>
      <c r="H409" s="11">
        <v>45321</v>
      </c>
      <c r="I409" s="11">
        <v>45321</v>
      </c>
      <c r="J409" s="5">
        <f t="shared" si="18"/>
        <v>0</v>
      </c>
      <c r="K409" s="5" t="str">
        <f t="shared" si="19"/>
        <v>Met</v>
      </c>
      <c r="L409" s="7" t="str">
        <f t="shared" si="20"/>
        <v>Jan</v>
      </c>
    </row>
    <row r="410" spans="1:12" x14ac:dyDescent="0.3">
      <c r="A410" s="4" t="s">
        <v>655</v>
      </c>
      <c r="B410" s="13" t="s">
        <v>39</v>
      </c>
      <c r="C410" s="13" t="s">
        <v>96</v>
      </c>
      <c r="D410" s="13" t="s">
        <v>35</v>
      </c>
      <c r="E410" s="13" t="s">
        <v>248</v>
      </c>
      <c r="F410" s="13" t="s">
        <v>37</v>
      </c>
      <c r="G410" s="13" t="s">
        <v>53</v>
      </c>
      <c r="H410" s="7">
        <v>45303</v>
      </c>
      <c r="I410" s="7">
        <v>45303</v>
      </c>
      <c r="J410" s="5">
        <f t="shared" si="18"/>
        <v>0</v>
      </c>
      <c r="K410" s="5" t="str">
        <f t="shared" si="19"/>
        <v>Met</v>
      </c>
      <c r="L410" s="7" t="str">
        <f t="shared" si="20"/>
        <v>Jan</v>
      </c>
    </row>
    <row r="411" spans="1:12" x14ac:dyDescent="0.3">
      <c r="A411" s="8" t="s">
        <v>656</v>
      </c>
      <c r="B411" s="12" t="s">
        <v>39</v>
      </c>
      <c r="C411" s="12" t="s">
        <v>99</v>
      </c>
      <c r="D411" s="12" t="s">
        <v>86</v>
      </c>
      <c r="E411" s="12" t="s">
        <v>250</v>
      </c>
      <c r="F411" s="12" t="s">
        <v>24</v>
      </c>
      <c r="G411" s="12" t="s">
        <v>45</v>
      </c>
      <c r="H411" s="11">
        <v>45464</v>
      </c>
      <c r="I411" s="10">
        <v>45464</v>
      </c>
      <c r="J411" s="5">
        <f t="shared" si="18"/>
        <v>0</v>
      </c>
      <c r="K411" s="5" t="str">
        <f t="shared" si="19"/>
        <v>Met</v>
      </c>
      <c r="L411" s="7" t="str">
        <f t="shared" si="20"/>
        <v>Jun</v>
      </c>
    </row>
    <row r="412" spans="1:12" x14ac:dyDescent="0.3">
      <c r="A412" s="4" t="s">
        <v>657</v>
      </c>
      <c r="B412" s="13" t="s">
        <v>27</v>
      </c>
      <c r="C412" s="13" t="s">
        <v>47</v>
      </c>
      <c r="D412" s="13" t="s">
        <v>86</v>
      </c>
      <c r="E412" s="13" t="s">
        <v>252</v>
      </c>
      <c r="F412" s="13" t="s">
        <v>37</v>
      </c>
      <c r="G412" s="13" t="s">
        <v>25</v>
      </c>
      <c r="H412" s="7">
        <v>45415</v>
      </c>
      <c r="I412" s="6">
        <v>45415</v>
      </c>
      <c r="J412" s="5">
        <f t="shared" si="18"/>
        <v>0</v>
      </c>
      <c r="K412" s="5" t="str">
        <f t="shared" si="19"/>
        <v>Met</v>
      </c>
      <c r="L412" s="7" t="str">
        <f t="shared" si="20"/>
        <v>May</v>
      </c>
    </row>
    <row r="413" spans="1:12" x14ac:dyDescent="0.3">
      <c r="A413" s="8" t="s">
        <v>658</v>
      </c>
      <c r="B413" s="12" t="s">
        <v>39</v>
      </c>
      <c r="C413" s="12" t="s">
        <v>99</v>
      </c>
      <c r="D413" s="12" t="s">
        <v>29</v>
      </c>
      <c r="E413" s="12" t="s">
        <v>254</v>
      </c>
      <c r="F413" s="12" t="s">
        <v>37</v>
      </c>
      <c r="G413" s="12" t="s">
        <v>53</v>
      </c>
      <c r="H413" s="11">
        <v>45452</v>
      </c>
      <c r="I413" s="10">
        <v>45452</v>
      </c>
      <c r="J413" s="5">
        <f t="shared" si="18"/>
        <v>0</v>
      </c>
      <c r="K413" s="5" t="str">
        <f t="shared" si="19"/>
        <v>Met</v>
      </c>
      <c r="L413" s="7" t="str">
        <f t="shared" si="20"/>
        <v>Jun</v>
      </c>
    </row>
    <row r="414" spans="1:12" x14ac:dyDescent="0.3">
      <c r="A414" s="4" t="s">
        <v>659</v>
      </c>
      <c r="B414" s="13" t="s">
        <v>39</v>
      </c>
      <c r="C414" s="13" t="s">
        <v>40</v>
      </c>
      <c r="D414" s="13" t="s">
        <v>22</v>
      </c>
      <c r="E414" s="13" t="s">
        <v>256</v>
      </c>
      <c r="F414" s="13" t="s">
        <v>24</v>
      </c>
      <c r="G414" s="13" t="s">
        <v>53</v>
      </c>
      <c r="H414" s="7">
        <v>45461</v>
      </c>
      <c r="I414" s="6">
        <v>45461</v>
      </c>
      <c r="J414" s="5">
        <f t="shared" si="18"/>
        <v>0</v>
      </c>
      <c r="K414" s="5" t="str">
        <f t="shared" si="19"/>
        <v>Met</v>
      </c>
      <c r="L414" s="7" t="str">
        <f t="shared" si="20"/>
        <v>Jun</v>
      </c>
    </row>
    <row r="415" spans="1:12" x14ac:dyDescent="0.3">
      <c r="A415" s="8" t="s">
        <v>660</v>
      </c>
      <c r="B415" s="12" t="s">
        <v>27</v>
      </c>
      <c r="C415" s="12" t="s">
        <v>47</v>
      </c>
      <c r="D415" s="12" t="s">
        <v>148</v>
      </c>
      <c r="E415" s="12" t="s">
        <v>258</v>
      </c>
      <c r="F415" s="12" t="s">
        <v>17</v>
      </c>
      <c r="G415" s="12" t="s">
        <v>42</v>
      </c>
      <c r="H415" s="11">
        <v>45412</v>
      </c>
      <c r="I415" s="11">
        <v>45412</v>
      </c>
      <c r="J415" s="5">
        <f t="shared" si="18"/>
        <v>0</v>
      </c>
      <c r="K415" s="5" t="str">
        <f t="shared" si="19"/>
        <v>Met</v>
      </c>
      <c r="L415" s="7" t="str">
        <f t="shared" si="20"/>
        <v>Apr</v>
      </c>
    </row>
    <row r="416" spans="1:12" x14ac:dyDescent="0.3">
      <c r="A416" s="4" t="s">
        <v>661</v>
      </c>
      <c r="B416" s="13" t="s">
        <v>39</v>
      </c>
      <c r="C416" s="13" t="s">
        <v>99</v>
      </c>
      <c r="D416" s="13" t="s">
        <v>35</v>
      </c>
      <c r="E416" s="13" t="s">
        <v>260</v>
      </c>
      <c r="F416" s="13" t="s">
        <v>24</v>
      </c>
      <c r="G416" s="13" t="s">
        <v>31</v>
      </c>
      <c r="H416" s="7">
        <v>45391</v>
      </c>
      <c r="I416" s="7">
        <v>45391</v>
      </c>
      <c r="J416" s="5">
        <f t="shared" si="18"/>
        <v>0</v>
      </c>
      <c r="K416" s="5" t="str">
        <f t="shared" si="19"/>
        <v>Met</v>
      </c>
      <c r="L416" s="7" t="str">
        <f t="shared" si="20"/>
        <v>Apr</v>
      </c>
    </row>
    <row r="417" spans="1:12" x14ac:dyDescent="0.3">
      <c r="A417" s="8" t="s">
        <v>662</v>
      </c>
      <c r="B417" s="12" t="s">
        <v>33</v>
      </c>
      <c r="C417" s="12" t="s">
        <v>69</v>
      </c>
      <c r="D417" s="12" t="s">
        <v>22</v>
      </c>
      <c r="E417" s="12" t="s">
        <v>262</v>
      </c>
      <c r="F417" s="12" t="s">
        <v>37</v>
      </c>
      <c r="G417" s="12" t="s">
        <v>42</v>
      </c>
      <c r="H417" s="11">
        <v>45408</v>
      </c>
      <c r="I417" s="10">
        <v>45408</v>
      </c>
      <c r="J417" s="5">
        <f t="shared" si="18"/>
        <v>0</v>
      </c>
      <c r="K417" s="5" t="str">
        <f t="shared" si="19"/>
        <v>Met</v>
      </c>
      <c r="L417" s="7" t="str">
        <f t="shared" si="20"/>
        <v>Apr</v>
      </c>
    </row>
    <row r="418" spans="1:12" x14ac:dyDescent="0.3">
      <c r="A418" s="4" t="s">
        <v>663</v>
      </c>
      <c r="B418" s="13" t="s">
        <v>27</v>
      </c>
      <c r="C418" s="13" t="s">
        <v>47</v>
      </c>
      <c r="D418" s="13" t="s">
        <v>29</v>
      </c>
      <c r="E418" s="13" t="s">
        <v>264</v>
      </c>
      <c r="F418" s="13" t="s">
        <v>37</v>
      </c>
      <c r="G418" s="13" t="s">
        <v>25</v>
      </c>
      <c r="H418" s="7">
        <v>45356</v>
      </c>
      <c r="I418" s="6">
        <v>45356</v>
      </c>
      <c r="J418" s="5">
        <f t="shared" si="18"/>
        <v>0</v>
      </c>
      <c r="K418" s="5" t="str">
        <f t="shared" si="19"/>
        <v>Met</v>
      </c>
      <c r="L418" s="7" t="str">
        <f t="shared" si="20"/>
        <v>Mar</v>
      </c>
    </row>
    <row r="419" spans="1:12" x14ac:dyDescent="0.3">
      <c r="A419" s="8" t="s">
        <v>664</v>
      </c>
      <c r="B419" s="12" t="s">
        <v>27</v>
      </c>
      <c r="C419" s="12" t="s">
        <v>28</v>
      </c>
      <c r="D419" s="12" t="s">
        <v>35</v>
      </c>
      <c r="E419" s="12" t="s">
        <v>266</v>
      </c>
      <c r="F419" s="12" t="s">
        <v>37</v>
      </c>
      <c r="G419" s="12" t="s">
        <v>31</v>
      </c>
      <c r="H419" s="11">
        <v>45430</v>
      </c>
      <c r="I419" s="10">
        <v>45430</v>
      </c>
      <c r="J419" s="5">
        <f t="shared" si="18"/>
        <v>0</v>
      </c>
      <c r="K419" s="5" t="str">
        <f t="shared" si="19"/>
        <v>Met</v>
      </c>
      <c r="L419" s="7" t="str">
        <f t="shared" si="20"/>
        <v>May</v>
      </c>
    </row>
    <row r="420" spans="1:12" x14ac:dyDescent="0.3">
      <c r="A420" s="4" t="s">
        <v>665</v>
      </c>
      <c r="B420" s="5" t="s">
        <v>13</v>
      </c>
      <c r="C420" s="13" t="s">
        <v>61</v>
      </c>
      <c r="D420" s="13" t="s">
        <v>79</v>
      </c>
      <c r="E420" s="13" t="s">
        <v>268</v>
      </c>
      <c r="F420" s="13" t="s">
        <v>17</v>
      </c>
      <c r="G420" s="13" t="s">
        <v>53</v>
      </c>
      <c r="H420" s="7">
        <v>45360</v>
      </c>
      <c r="I420" s="7">
        <v>45360</v>
      </c>
      <c r="J420" s="5">
        <f t="shared" si="18"/>
        <v>0</v>
      </c>
      <c r="K420" s="5" t="str">
        <f t="shared" si="19"/>
        <v>Met</v>
      </c>
      <c r="L420" s="7" t="str">
        <f t="shared" si="20"/>
        <v>Mar</v>
      </c>
    </row>
    <row r="421" spans="1:12" x14ac:dyDescent="0.3">
      <c r="A421" s="8" t="s">
        <v>666</v>
      </c>
      <c r="B421" s="12" t="s">
        <v>39</v>
      </c>
      <c r="C421" s="12" t="s">
        <v>96</v>
      </c>
      <c r="D421" s="12" t="s">
        <v>15</v>
      </c>
      <c r="E421" s="12" t="s">
        <v>270</v>
      </c>
      <c r="F421" s="12" t="s">
        <v>37</v>
      </c>
      <c r="G421" s="12" t="s">
        <v>42</v>
      </c>
      <c r="H421" s="11">
        <v>45318</v>
      </c>
      <c r="I421" s="11">
        <v>45318</v>
      </c>
      <c r="J421" s="5">
        <f t="shared" si="18"/>
        <v>0</v>
      </c>
      <c r="K421" s="5" t="str">
        <f t="shared" si="19"/>
        <v>Met</v>
      </c>
      <c r="L421" s="7" t="str">
        <f t="shared" si="20"/>
        <v>Jan</v>
      </c>
    </row>
    <row r="422" spans="1:12" x14ac:dyDescent="0.3">
      <c r="A422" s="4" t="s">
        <v>667</v>
      </c>
      <c r="B422" s="13" t="s">
        <v>27</v>
      </c>
      <c r="C422" s="13" t="s">
        <v>153</v>
      </c>
      <c r="D422" s="13" t="s">
        <v>35</v>
      </c>
      <c r="E422" s="13" t="s">
        <v>272</v>
      </c>
      <c r="F422" s="13" t="s">
        <v>24</v>
      </c>
      <c r="G422" s="13" t="s">
        <v>45</v>
      </c>
      <c r="H422" s="7">
        <v>45313</v>
      </c>
      <c r="I422" s="7">
        <v>45313</v>
      </c>
      <c r="J422" s="5">
        <f t="shared" si="18"/>
        <v>0</v>
      </c>
      <c r="K422" s="5" t="str">
        <f t="shared" si="19"/>
        <v>Met</v>
      </c>
      <c r="L422" s="7" t="str">
        <f t="shared" si="20"/>
        <v>Jan</v>
      </c>
    </row>
    <row r="423" spans="1:12" x14ac:dyDescent="0.3">
      <c r="A423" s="8" t="s">
        <v>668</v>
      </c>
      <c r="B423" s="12" t="s">
        <v>20</v>
      </c>
      <c r="C423" s="12" t="s">
        <v>93</v>
      </c>
      <c r="D423" s="12" t="s">
        <v>29</v>
      </c>
      <c r="E423" s="12" t="s">
        <v>274</v>
      </c>
      <c r="F423" s="12" t="s">
        <v>24</v>
      </c>
      <c r="G423" s="12" t="s">
        <v>45</v>
      </c>
      <c r="H423" s="11">
        <v>45378</v>
      </c>
      <c r="I423" s="10">
        <v>45378</v>
      </c>
      <c r="J423" s="5">
        <f t="shared" si="18"/>
        <v>0</v>
      </c>
      <c r="K423" s="5" t="str">
        <f t="shared" si="19"/>
        <v>Met</v>
      </c>
      <c r="L423" s="7" t="str">
        <f t="shared" si="20"/>
        <v>Mar</v>
      </c>
    </row>
    <row r="424" spans="1:12" x14ac:dyDescent="0.3">
      <c r="A424" s="4" t="s">
        <v>669</v>
      </c>
      <c r="B424" s="13" t="s">
        <v>33</v>
      </c>
      <c r="C424" s="13" t="s">
        <v>34</v>
      </c>
      <c r="D424" s="13" t="s">
        <v>35</v>
      </c>
      <c r="E424" s="13" t="s">
        <v>276</v>
      </c>
      <c r="F424" s="13" t="s">
        <v>17</v>
      </c>
      <c r="G424" s="13" t="s">
        <v>25</v>
      </c>
      <c r="H424" s="7">
        <v>45365</v>
      </c>
      <c r="I424" s="7">
        <v>45365</v>
      </c>
      <c r="J424" s="5">
        <f t="shared" si="18"/>
        <v>0</v>
      </c>
      <c r="K424" s="5" t="str">
        <f t="shared" si="19"/>
        <v>Met</v>
      </c>
      <c r="L424" s="7" t="str">
        <f t="shared" si="20"/>
        <v>Mar</v>
      </c>
    </row>
    <row r="425" spans="1:12" x14ac:dyDescent="0.3">
      <c r="A425" s="8" t="s">
        <v>670</v>
      </c>
      <c r="B425" s="9" t="s">
        <v>13</v>
      </c>
      <c r="C425" s="12" t="s">
        <v>58</v>
      </c>
      <c r="D425" s="12" t="s">
        <v>66</v>
      </c>
      <c r="E425" s="12" t="s">
        <v>278</v>
      </c>
      <c r="F425" s="12" t="s">
        <v>17</v>
      </c>
      <c r="G425" s="12" t="s">
        <v>45</v>
      </c>
      <c r="H425" s="11">
        <v>45393</v>
      </c>
      <c r="I425" s="11">
        <v>45393</v>
      </c>
      <c r="J425" s="5">
        <f t="shared" si="18"/>
        <v>0</v>
      </c>
      <c r="K425" s="5" t="str">
        <f t="shared" si="19"/>
        <v>Met</v>
      </c>
      <c r="L425" s="7" t="str">
        <f t="shared" si="20"/>
        <v>Apr</v>
      </c>
    </row>
    <row r="426" spans="1:12" x14ac:dyDescent="0.3">
      <c r="A426" s="4" t="s">
        <v>671</v>
      </c>
      <c r="B426" s="13" t="s">
        <v>27</v>
      </c>
      <c r="C426" s="13" t="s">
        <v>28</v>
      </c>
      <c r="D426" s="13" t="s">
        <v>66</v>
      </c>
      <c r="E426" s="13" t="s">
        <v>280</v>
      </c>
      <c r="F426" s="13" t="s">
        <v>24</v>
      </c>
      <c r="G426" s="13" t="s">
        <v>25</v>
      </c>
      <c r="H426" s="7">
        <v>45432</v>
      </c>
      <c r="I426" s="6">
        <v>45432</v>
      </c>
      <c r="J426" s="5">
        <f t="shared" si="18"/>
        <v>0</v>
      </c>
      <c r="K426" s="5" t="str">
        <f t="shared" si="19"/>
        <v>Met</v>
      </c>
      <c r="L426" s="7" t="str">
        <f t="shared" si="20"/>
        <v>May</v>
      </c>
    </row>
    <row r="427" spans="1:12" x14ac:dyDescent="0.3">
      <c r="A427" s="8" t="s">
        <v>672</v>
      </c>
      <c r="B427" s="12" t="s">
        <v>27</v>
      </c>
      <c r="C427" s="12" t="s">
        <v>153</v>
      </c>
      <c r="D427" s="12" t="s">
        <v>79</v>
      </c>
      <c r="E427" s="12" t="s">
        <v>282</v>
      </c>
      <c r="F427" s="12" t="s">
        <v>37</v>
      </c>
      <c r="G427" s="12" t="s">
        <v>53</v>
      </c>
      <c r="H427" s="11">
        <v>45296</v>
      </c>
      <c r="I427" s="11">
        <v>45296</v>
      </c>
      <c r="J427" s="5">
        <f t="shared" si="18"/>
        <v>0</v>
      </c>
      <c r="K427" s="5" t="str">
        <f t="shared" si="19"/>
        <v>Met</v>
      </c>
      <c r="L427" s="7" t="str">
        <f t="shared" si="20"/>
        <v>Jan</v>
      </c>
    </row>
    <row r="428" spans="1:12" x14ac:dyDescent="0.3">
      <c r="A428" s="4" t="s">
        <v>673</v>
      </c>
      <c r="B428" s="13" t="s">
        <v>20</v>
      </c>
      <c r="C428" s="13" t="s">
        <v>76</v>
      </c>
      <c r="D428" s="13" t="s">
        <v>148</v>
      </c>
      <c r="E428" s="13" t="s">
        <v>284</v>
      </c>
      <c r="F428" s="13" t="s">
        <v>37</v>
      </c>
      <c r="G428" s="13" t="s">
        <v>53</v>
      </c>
      <c r="H428" s="7">
        <v>45386</v>
      </c>
      <c r="I428" s="7">
        <v>45386</v>
      </c>
      <c r="J428" s="5">
        <f t="shared" si="18"/>
        <v>0</v>
      </c>
      <c r="K428" s="5" t="str">
        <f t="shared" si="19"/>
        <v>Met</v>
      </c>
      <c r="L428" s="7" t="str">
        <f t="shared" si="20"/>
        <v>Apr</v>
      </c>
    </row>
    <row r="429" spans="1:12" x14ac:dyDescent="0.3">
      <c r="A429" s="8" t="s">
        <v>674</v>
      </c>
      <c r="B429" s="12" t="s">
        <v>39</v>
      </c>
      <c r="C429" s="12" t="s">
        <v>99</v>
      </c>
      <c r="D429" s="12" t="s">
        <v>79</v>
      </c>
      <c r="E429" s="12" t="s">
        <v>286</v>
      </c>
      <c r="F429" s="12" t="s">
        <v>24</v>
      </c>
      <c r="G429" s="12" t="s">
        <v>18</v>
      </c>
      <c r="H429" s="11">
        <v>45406</v>
      </c>
      <c r="I429" s="11">
        <v>45406</v>
      </c>
      <c r="J429" s="5">
        <f t="shared" si="18"/>
        <v>0</v>
      </c>
      <c r="K429" s="5" t="str">
        <f t="shared" si="19"/>
        <v>Met</v>
      </c>
      <c r="L429" s="7" t="str">
        <f t="shared" si="20"/>
        <v>Apr</v>
      </c>
    </row>
    <row r="430" spans="1:12" x14ac:dyDescent="0.3">
      <c r="A430" s="4" t="s">
        <v>675</v>
      </c>
      <c r="B430" s="13" t="s">
        <v>20</v>
      </c>
      <c r="C430" s="13" t="s">
        <v>21</v>
      </c>
      <c r="D430" s="5" t="s">
        <v>29</v>
      </c>
      <c r="E430" s="13" t="s">
        <v>288</v>
      </c>
      <c r="F430" s="13" t="s">
        <v>17</v>
      </c>
      <c r="G430" s="13" t="s">
        <v>53</v>
      </c>
      <c r="H430" s="7">
        <v>45338</v>
      </c>
      <c r="I430" s="7">
        <v>45338</v>
      </c>
      <c r="J430" s="5">
        <f t="shared" si="18"/>
        <v>0</v>
      </c>
      <c r="K430" s="5" t="str">
        <f t="shared" si="19"/>
        <v>Met</v>
      </c>
      <c r="L430" s="7" t="str">
        <f t="shared" si="20"/>
        <v>Feb</v>
      </c>
    </row>
    <row r="431" spans="1:12" x14ac:dyDescent="0.3">
      <c r="A431" s="8" t="s">
        <v>676</v>
      </c>
      <c r="B431" s="12" t="s">
        <v>13</v>
      </c>
      <c r="C431" s="12" t="s">
        <v>14</v>
      </c>
      <c r="D431" s="12" t="s">
        <v>22</v>
      </c>
      <c r="E431" s="12" t="s">
        <v>290</v>
      </c>
      <c r="F431" s="12" t="s">
        <v>24</v>
      </c>
      <c r="G431" s="12" t="s">
        <v>25</v>
      </c>
      <c r="H431" s="11">
        <v>45403</v>
      </c>
      <c r="I431" s="11">
        <v>45403</v>
      </c>
      <c r="J431" s="5">
        <f t="shared" si="18"/>
        <v>0</v>
      </c>
      <c r="K431" s="5" t="str">
        <f t="shared" si="19"/>
        <v>Met</v>
      </c>
      <c r="L431" s="7" t="str">
        <f t="shared" si="20"/>
        <v>Apr</v>
      </c>
    </row>
    <row r="432" spans="1:12" x14ac:dyDescent="0.3">
      <c r="A432" s="4" t="s">
        <v>677</v>
      </c>
      <c r="B432" s="13" t="s">
        <v>20</v>
      </c>
      <c r="C432" s="13" t="s">
        <v>76</v>
      </c>
      <c r="D432" s="13" t="s">
        <v>22</v>
      </c>
      <c r="E432" s="13" t="s">
        <v>292</v>
      </c>
      <c r="F432" s="13" t="s">
        <v>24</v>
      </c>
      <c r="G432" s="13" t="s">
        <v>42</v>
      </c>
      <c r="H432" s="7">
        <v>45450</v>
      </c>
      <c r="I432" s="6">
        <v>45450</v>
      </c>
      <c r="J432" s="5">
        <f t="shared" si="18"/>
        <v>0</v>
      </c>
      <c r="K432" s="5" t="str">
        <f t="shared" si="19"/>
        <v>Met</v>
      </c>
      <c r="L432" s="7" t="str">
        <f t="shared" si="20"/>
        <v>Jun</v>
      </c>
    </row>
    <row r="433" spans="1:12" x14ac:dyDescent="0.3">
      <c r="A433" s="8" t="s">
        <v>678</v>
      </c>
      <c r="B433" s="12" t="s">
        <v>33</v>
      </c>
      <c r="C433" s="12" t="s">
        <v>34</v>
      </c>
      <c r="D433" s="12" t="s">
        <v>79</v>
      </c>
      <c r="E433" s="12" t="s">
        <v>294</v>
      </c>
      <c r="F433" s="12" t="s">
        <v>37</v>
      </c>
      <c r="G433" s="12" t="s">
        <v>53</v>
      </c>
      <c r="H433" s="11">
        <v>45299</v>
      </c>
      <c r="I433" s="11">
        <v>45299</v>
      </c>
      <c r="J433" s="5">
        <f t="shared" si="18"/>
        <v>0</v>
      </c>
      <c r="K433" s="5" t="str">
        <f t="shared" si="19"/>
        <v>Met</v>
      </c>
      <c r="L433" s="7" t="str">
        <f t="shared" si="20"/>
        <v>Jan</v>
      </c>
    </row>
    <row r="434" spans="1:12" x14ac:dyDescent="0.3">
      <c r="A434" s="4" t="s">
        <v>679</v>
      </c>
      <c r="B434" s="13" t="s">
        <v>20</v>
      </c>
      <c r="C434" s="13" t="s">
        <v>76</v>
      </c>
      <c r="D434" s="13" t="s">
        <v>15</v>
      </c>
      <c r="E434" s="13" t="s">
        <v>680</v>
      </c>
      <c r="F434" s="13" t="s">
        <v>37</v>
      </c>
      <c r="G434" s="13" t="s">
        <v>45</v>
      </c>
      <c r="H434" s="7">
        <v>45305</v>
      </c>
      <c r="I434" s="7">
        <v>45306</v>
      </c>
      <c r="J434" s="5">
        <f t="shared" si="18"/>
        <v>1</v>
      </c>
      <c r="K434" s="5" t="str">
        <f t="shared" si="19"/>
        <v>Not Met</v>
      </c>
      <c r="L434" s="7" t="str">
        <f t="shared" si="20"/>
        <v>Jan</v>
      </c>
    </row>
    <row r="435" spans="1:12" x14ac:dyDescent="0.3">
      <c r="A435" s="8" t="s">
        <v>681</v>
      </c>
      <c r="B435" s="12" t="s">
        <v>33</v>
      </c>
      <c r="C435" s="12" t="s">
        <v>55</v>
      </c>
      <c r="D435" s="12" t="s">
        <v>148</v>
      </c>
      <c r="E435" s="12" t="s">
        <v>296</v>
      </c>
      <c r="F435" s="12" t="s">
        <v>17</v>
      </c>
      <c r="G435" s="12" t="s">
        <v>53</v>
      </c>
      <c r="H435" s="11">
        <v>45432</v>
      </c>
      <c r="I435" s="10">
        <v>45432</v>
      </c>
      <c r="J435" s="5">
        <f t="shared" si="18"/>
        <v>0</v>
      </c>
      <c r="K435" s="5" t="str">
        <f t="shared" si="19"/>
        <v>Met</v>
      </c>
      <c r="L435" s="7" t="str">
        <f t="shared" si="20"/>
        <v>May</v>
      </c>
    </row>
    <row r="436" spans="1:12" x14ac:dyDescent="0.3">
      <c r="A436" s="4" t="s">
        <v>682</v>
      </c>
      <c r="B436" s="13" t="s">
        <v>27</v>
      </c>
      <c r="C436" s="13" t="s">
        <v>28</v>
      </c>
      <c r="D436" s="13" t="s">
        <v>86</v>
      </c>
      <c r="E436" s="13" t="s">
        <v>298</v>
      </c>
      <c r="F436" s="13" t="s">
        <v>24</v>
      </c>
      <c r="G436" s="13" t="s">
        <v>18</v>
      </c>
      <c r="H436" s="7">
        <v>45405</v>
      </c>
      <c r="I436" s="6">
        <v>45405</v>
      </c>
      <c r="J436" s="5">
        <f t="shared" si="18"/>
        <v>0</v>
      </c>
      <c r="K436" s="5" t="str">
        <f t="shared" si="19"/>
        <v>Met</v>
      </c>
      <c r="L436" s="7" t="str">
        <f t="shared" si="20"/>
        <v>Apr</v>
      </c>
    </row>
    <row r="437" spans="1:12" x14ac:dyDescent="0.3">
      <c r="A437" s="8" t="s">
        <v>683</v>
      </c>
      <c r="B437" s="12" t="s">
        <v>39</v>
      </c>
      <c r="C437" s="12" t="s">
        <v>40</v>
      </c>
      <c r="D437" s="12" t="s">
        <v>15</v>
      </c>
      <c r="E437" s="12" t="s">
        <v>300</v>
      </c>
      <c r="F437" s="12" t="s">
        <v>24</v>
      </c>
      <c r="G437" s="12" t="s">
        <v>42</v>
      </c>
      <c r="H437" s="11">
        <v>45330</v>
      </c>
      <c r="I437" s="11">
        <v>45330</v>
      </c>
      <c r="J437" s="5">
        <f t="shared" si="18"/>
        <v>0</v>
      </c>
      <c r="K437" s="5" t="str">
        <f t="shared" si="19"/>
        <v>Met</v>
      </c>
      <c r="L437" s="7" t="str">
        <f t="shared" si="20"/>
        <v>Feb</v>
      </c>
    </row>
    <row r="438" spans="1:12" x14ac:dyDescent="0.3">
      <c r="A438" s="4" t="s">
        <v>684</v>
      </c>
      <c r="B438" s="13" t="s">
        <v>27</v>
      </c>
      <c r="C438" s="13" t="s">
        <v>28</v>
      </c>
      <c r="D438" s="13" t="s">
        <v>35</v>
      </c>
      <c r="E438" s="13" t="s">
        <v>302</v>
      </c>
      <c r="F438" s="13" t="s">
        <v>24</v>
      </c>
      <c r="G438" s="13" t="s">
        <v>45</v>
      </c>
      <c r="H438" s="7">
        <v>45414</v>
      </c>
      <c r="I438" s="6">
        <v>45414</v>
      </c>
      <c r="J438" s="5">
        <f t="shared" si="18"/>
        <v>0</v>
      </c>
      <c r="K438" s="5" t="str">
        <f t="shared" si="19"/>
        <v>Met</v>
      </c>
      <c r="L438" s="7" t="str">
        <f t="shared" si="20"/>
        <v>May</v>
      </c>
    </row>
    <row r="439" spans="1:12" x14ac:dyDescent="0.3">
      <c r="A439" s="8" t="s">
        <v>685</v>
      </c>
      <c r="B439" s="12" t="s">
        <v>13</v>
      </c>
      <c r="C439" s="12" t="s">
        <v>58</v>
      </c>
      <c r="D439" s="12" t="s">
        <v>86</v>
      </c>
      <c r="E439" s="12" t="s">
        <v>304</v>
      </c>
      <c r="F439" s="12" t="s">
        <v>37</v>
      </c>
      <c r="G439" s="12" t="s">
        <v>42</v>
      </c>
      <c r="H439" s="11">
        <v>45399</v>
      </c>
      <c r="I439" s="11">
        <v>45399</v>
      </c>
      <c r="J439" s="5">
        <f t="shared" si="18"/>
        <v>0</v>
      </c>
      <c r="K439" s="5" t="str">
        <f t="shared" si="19"/>
        <v>Met</v>
      </c>
      <c r="L439" s="7" t="str">
        <f t="shared" si="20"/>
        <v>Apr</v>
      </c>
    </row>
    <row r="440" spans="1:12" x14ac:dyDescent="0.3">
      <c r="A440" s="4" t="s">
        <v>686</v>
      </c>
      <c r="B440" s="13" t="s">
        <v>27</v>
      </c>
      <c r="C440" s="13" t="s">
        <v>47</v>
      </c>
      <c r="D440" s="13" t="s">
        <v>66</v>
      </c>
      <c r="E440" s="13" t="s">
        <v>306</v>
      </c>
      <c r="F440" s="13" t="s">
        <v>17</v>
      </c>
      <c r="G440" s="13" t="s">
        <v>18</v>
      </c>
      <c r="H440" s="7">
        <v>45304</v>
      </c>
      <c r="I440" s="7">
        <v>45304</v>
      </c>
      <c r="J440" s="5">
        <f t="shared" si="18"/>
        <v>0</v>
      </c>
      <c r="K440" s="5" t="str">
        <f t="shared" si="19"/>
        <v>Met</v>
      </c>
      <c r="L440" s="7" t="str">
        <f t="shared" si="20"/>
        <v>Jan</v>
      </c>
    </row>
    <row r="441" spans="1:12" x14ac:dyDescent="0.3">
      <c r="A441" s="8" t="s">
        <v>687</v>
      </c>
      <c r="B441" s="12" t="s">
        <v>20</v>
      </c>
      <c r="C441" s="12" t="s">
        <v>21</v>
      </c>
      <c r="D441" s="12" t="s">
        <v>35</v>
      </c>
      <c r="E441" s="12" t="s">
        <v>308</v>
      </c>
      <c r="F441" s="12" t="s">
        <v>17</v>
      </c>
      <c r="G441" s="12" t="s">
        <v>31</v>
      </c>
      <c r="H441" s="11">
        <v>45305</v>
      </c>
      <c r="I441" s="11">
        <v>45306</v>
      </c>
      <c r="J441" s="5">
        <f t="shared" si="18"/>
        <v>1</v>
      </c>
      <c r="K441" s="5" t="str">
        <f t="shared" si="19"/>
        <v>Not Met</v>
      </c>
      <c r="L441" s="7" t="str">
        <f t="shared" si="20"/>
        <v>Jan</v>
      </c>
    </row>
    <row r="442" spans="1:12" x14ac:dyDescent="0.3">
      <c r="A442" s="4" t="s">
        <v>688</v>
      </c>
      <c r="B442" s="13" t="s">
        <v>13</v>
      </c>
      <c r="C442" s="13" t="s">
        <v>58</v>
      </c>
      <c r="D442" s="13" t="s">
        <v>35</v>
      </c>
      <c r="E442" s="13" t="s">
        <v>310</v>
      </c>
      <c r="F442" s="13" t="s">
        <v>17</v>
      </c>
      <c r="G442" s="13" t="s">
        <v>53</v>
      </c>
      <c r="H442" s="7">
        <v>45337</v>
      </c>
      <c r="I442" s="7">
        <v>45337</v>
      </c>
      <c r="J442" s="5">
        <f t="shared" si="18"/>
        <v>0</v>
      </c>
      <c r="K442" s="5" t="str">
        <f t="shared" si="19"/>
        <v>Met</v>
      </c>
      <c r="L442" s="7" t="str">
        <f t="shared" si="20"/>
        <v>Feb</v>
      </c>
    </row>
    <row r="443" spans="1:12" x14ac:dyDescent="0.3">
      <c r="A443" s="8" t="s">
        <v>689</v>
      </c>
      <c r="B443" s="12" t="s">
        <v>27</v>
      </c>
      <c r="C443" s="12" t="s">
        <v>153</v>
      </c>
      <c r="D443" s="12" t="s">
        <v>15</v>
      </c>
      <c r="E443" s="12" t="s">
        <v>312</v>
      </c>
      <c r="F443" s="12" t="s">
        <v>24</v>
      </c>
      <c r="G443" s="12" t="s">
        <v>31</v>
      </c>
      <c r="H443" s="11">
        <v>45302</v>
      </c>
      <c r="I443" s="11">
        <v>45302</v>
      </c>
      <c r="J443" s="5">
        <f t="shared" si="18"/>
        <v>0</v>
      </c>
      <c r="K443" s="5" t="str">
        <f t="shared" si="19"/>
        <v>Met</v>
      </c>
      <c r="L443" s="7" t="str">
        <f t="shared" si="20"/>
        <v>Jan</v>
      </c>
    </row>
    <row r="444" spans="1:12" x14ac:dyDescent="0.3">
      <c r="A444" s="4" t="s">
        <v>690</v>
      </c>
      <c r="B444" s="13" t="s">
        <v>33</v>
      </c>
      <c r="C444" s="13" t="s">
        <v>69</v>
      </c>
      <c r="D444" s="13" t="s">
        <v>35</v>
      </c>
      <c r="E444" s="13" t="s">
        <v>314</v>
      </c>
      <c r="F444" s="13" t="s">
        <v>37</v>
      </c>
      <c r="G444" s="13" t="s">
        <v>53</v>
      </c>
      <c r="H444" s="7">
        <v>45381</v>
      </c>
      <c r="I444" s="7">
        <v>45381</v>
      </c>
      <c r="J444" s="5">
        <f t="shared" si="18"/>
        <v>0</v>
      </c>
      <c r="K444" s="5" t="str">
        <f t="shared" si="19"/>
        <v>Met</v>
      </c>
      <c r="L444" s="7" t="str">
        <f t="shared" si="20"/>
        <v>Mar</v>
      </c>
    </row>
    <row r="445" spans="1:12" x14ac:dyDescent="0.3">
      <c r="A445" s="8" t="s">
        <v>691</v>
      </c>
      <c r="B445" s="12" t="s">
        <v>13</v>
      </c>
      <c r="C445" s="12" t="s">
        <v>14</v>
      </c>
      <c r="D445" s="12" t="s">
        <v>148</v>
      </c>
      <c r="E445" s="12" t="s">
        <v>316</v>
      </c>
      <c r="F445" s="12" t="s">
        <v>17</v>
      </c>
      <c r="G445" s="12" t="s">
        <v>45</v>
      </c>
      <c r="H445" s="11">
        <v>45306</v>
      </c>
      <c r="I445" s="11">
        <v>45307</v>
      </c>
      <c r="J445" s="5">
        <f t="shared" si="18"/>
        <v>1</v>
      </c>
      <c r="K445" s="5" t="str">
        <f t="shared" si="19"/>
        <v>Not Met</v>
      </c>
      <c r="L445" s="7" t="str">
        <f t="shared" si="20"/>
        <v>Jan</v>
      </c>
    </row>
    <row r="446" spans="1:12" x14ac:dyDescent="0.3">
      <c r="A446" s="4" t="s">
        <v>692</v>
      </c>
      <c r="B446" s="5" t="s">
        <v>13</v>
      </c>
      <c r="C446" s="13" t="s">
        <v>61</v>
      </c>
      <c r="D446" s="13" t="s">
        <v>35</v>
      </c>
      <c r="E446" s="13" t="s">
        <v>318</v>
      </c>
      <c r="F446" s="13" t="s">
        <v>17</v>
      </c>
      <c r="G446" s="13" t="s">
        <v>42</v>
      </c>
      <c r="H446" s="7">
        <v>45386</v>
      </c>
      <c r="I446" s="7">
        <v>45386</v>
      </c>
      <c r="J446" s="5">
        <f t="shared" si="18"/>
        <v>0</v>
      </c>
      <c r="K446" s="5" t="str">
        <f t="shared" si="19"/>
        <v>Met</v>
      </c>
      <c r="L446" s="7" t="str">
        <f t="shared" si="20"/>
        <v>Apr</v>
      </c>
    </row>
    <row r="447" spans="1:12" x14ac:dyDescent="0.3">
      <c r="A447" s="8" t="s">
        <v>693</v>
      </c>
      <c r="B447" s="12" t="s">
        <v>13</v>
      </c>
      <c r="C447" s="12" t="s">
        <v>14</v>
      </c>
      <c r="D447" s="12" t="s">
        <v>29</v>
      </c>
      <c r="E447" s="12" t="s">
        <v>320</v>
      </c>
      <c r="F447" s="12" t="s">
        <v>24</v>
      </c>
      <c r="G447" s="12" t="s">
        <v>18</v>
      </c>
      <c r="H447" s="11">
        <v>45333</v>
      </c>
      <c r="I447" s="11">
        <v>45333</v>
      </c>
      <c r="J447" s="5">
        <f t="shared" si="18"/>
        <v>0</v>
      </c>
      <c r="K447" s="5" t="str">
        <f t="shared" si="19"/>
        <v>Met</v>
      </c>
      <c r="L447" s="7" t="str">
        <f t="shared" si="20"/>
        <v>Feb</v>
      </c>
    </row>
    <row r="448" spans="1:12" x14ac:dyDescent="0.3">
      <c r="A448" s="4" t="s">
        <v>694</v>
      </c>
      <c r="B448" s="13" t="s">
        <v>20</v>
      </c>
      <c r="C448" s="13" t="s">
        <v>93</v>
      </c>
      <c r="D448" s="13" t="s">
        <v>35</v>
      </c>
      <c r="E448" s="13" t="s">
        <v>322</v>
      </c>
      <c r="F448" s="13" t="s">
        <v>24</v>
      </c>
      <c r="G448" s="13" t="s">
        <v>53</v>
      </c>
      <c r="H448" s="7">
        <v>45353</v>
      </c>
      <c r="I448" s="7">
        <v>45353</v>
      </c>
      <c r="J448" s="5">
        <f t="shared" si="18"/>
        <v>0</v>
      </c>
      <c r="K448" s="5" t="str">
        <f t="shared" si="19"/>
        <v>Met</v>
      </c>
      <c r="L448" s="7" t="str">
        <f t="shared" si="20"/>
        <v>Mar</v>
      </c>
    </row>
    <row r="449" spans="1:12" x14ac:dyDescent="0.3">
      <c r="A449" s="8" t="s">
        <v>695</v>
      </c>
      <c r="B449" s="12" t="s">
        <v>39</v>
      </c>
      <c r="C449" s="12" t="s">
        <v>99</v>
      </c>
      <c r="D449" s="12" t="s">
        <v>35</v>
      </c>
      <c r="E449" s="12" t="s">
        <v>324</v>
      </c>
      <c r="F449" s="12" t="s">
        <v>24</v>
      </c>
      <c r="G449" s="12" t="s">
        <v>53</v>
      </c>
      <c r="H449" s="11">
        <v>45467</v>
      </c>
      <c r="I449" s="10">
        <v>45467</v>
      </c>
      <c r="J449" s="5">
        <f t="shared" si="18"/>
        <v>0</v>
      </c>
      <c r="K449" s="5" t="str">
        <f t="shared" si="19"/>
        <v>Met</v>
      </c>
      <c r="L449" s="7" t="str">
        <f t="shared" si="20"/>
        <v>Jun</v>
      </c>
    </row>
    <row r="450" spans="1:12" x14ac:dyDescent="0.3">
      <c r="A450" s="4" t="s">
        <v>696</v>
      </c>
      <c r="B450" s="13" t="s">
        <v>13</v>
      </c>
      <c r="C450" s="13" t="s">
        <v>61</v>
      </c>
      <c r="D450" s="13" t="s">
        <v>35</v>
      </c>
      <c r="E450" s="13" t="s">
        <v>326</v>
      </c>
      <c r="F450" s="13" t="s">
        <v>37</v>
      </c>
      <c r="G450" s="13" t="s">
        <v>42</v>
      </c>
      <c r="H450" s="7">
        <v>45352</v>
      </c>
      <c r="I450" s="7">
        <v>45352</v>
      </c>
      <c r="J450" s="5">
        <f t="shared" si="18"/>
        <v>0</v>
      </c>
      <c r="K450" s="5" t="str">
        <f t="shared" si="19"/>
        <v>Met</v>
      </c>
      <c r="L450" s="7" t="str">
        <f t="shared" si="20"/>
        <v>Mar</v>
      </c>
    </row>
    <row r="451" spans="1:12" x14ac:dyDescent="0.3">
      <c r="A451" s="8" t="s">
        <v>697</v>
      </c>
      <c r="B451" s="12" t="s">
        <v>20</v>
      </c>
      <c r="C451" s="12" t="s">
        <v>76</v>
      </c>
      <c r="D451" s="9" t="s">
        <v>22</v>
      </c>
      <c r="E451" s="12" t="s">
        <v>328</v>
      </c>
      <c r="F451" s="12" t="s">
        <v>17</v>
      </c>
      <c r="G451" s="12" t="s">
        <v>53</v>
      </c>
      <c r="H451" s="11">
        <v>45339</v>
      </c>
      <c r="I451" s="11">
        <v>45339</v>
      </c>
      <c r="J451" s="5">
        <f t="shared" ref="J451:J514" si="21">I451-H451</f>
        <v>0</v>
      </c>
      <c r="K451" s="5" t="str">
        <f t="shared" ref="K451:K514" si="22">IF(J451&gt;= 1, "Not Met","Met")</f>
        <v>Met</v>
      </c>
      <c r="L451" s="7" t="str">
        <f t="shared" ref="L451:L514" si="23">TEXT(H451,"MMM")</f>
        <v>Feb</v>
      </c>
    </row>
    <row r="452" spans="1:12" x14ac:dyDescent="0.3">
      <c r="A452" s="4" t="s">
        <v>698</v>
      </c>
      <c r="B452" s="13" t="s">
        <v>13</v>
      </c>
      <c r="C452" s="13" t="s">
        <v>14</v>
      </c>
      <c r="D452" s="13" t="s">
        <v>66</v>
      </c>
      <c r="E452" s="13" t="s">
        <v>330</v>
      </c>
      <c r="F452" s="13" t="s">
        <v>37</v>
      </c>
      <c r="G452" s="5" t="s">
        <v>45</v>
      </c>
      <c r="H452" s="7">
        <v>45304</v>
      </c>
      <c r="I452" s="7">
        <v>45305</v>
      </c>
      <c r="J452" s="5">
        <f t="shared" si="21"/>
        <v>1</v>
      </c>
      <c r="K452" s="5" t="str">
        <f t="shared" si="22"/>
        <v>Not Met</v>
      </c>
      <c r="L452" s="7" t="str">
        <f t="shared" si="23"/>
        <v>Jan</v>
      </c>
    </row>
    <row r="453" spans="1:12" x14ac:dyDescent="0.3">
      <c r="A453" s="8" t="s">
        <v>699</v>
      </c>
      <c r="B453" s="12" t="s">
        <v>20</v>
      </c>
      <c r="C453" s="12" t="s">
        <v>21</v>
      </c>
      <c r="D453" s="12" t="s">
        <v>15</v>
      </c>
      <c r="E453" s="12" t="s">
        <v>332</v>
      </c>
      <c r="F453" s="12" t="s">
        <v>24</v>
      </c>
      <c r="G453" s="12" t="s">
        <v>31</v>
      </c>
      <c r="H453" s="11">
        <v>45378</v>
      </c>
      <c r="I453" s="11">
        <v>45378</v>
      </c>
      <c r="J453" s="5">
        <f t="shared" si="21"/>
        <v>0</v>
      </c>
      <c r="K453" s="5" t="str">
        <f t="shared" si="22"/>
        <v>Met</v>
      </c>
      <c r="L453" s="7" t="str">
        <f t="shared" si="23"/>
        <v>Mar</v>
      </c>
    </row>
    <row r="454" spans="1:12" x14ac:dyDescent="0.3">
      <c r="A454" s="4" t="s">
        <v>700</v>
      </c>
      <c r="B454" s="13" t="s">
        <v>33</v>
      </c>
      <c r="C454" s="13" t="s">
        <v>34</v>
      </c>
      <c r="D454" s="13" t="s">
        <v>148</v>
      </c>
      <c r="E454" s="13" t="s">
        <v>334</v>
      </c>
      <c r="F454" s="13" t="s">
        <v>24</v>
      </c>
      <c r="G454" s="13" t="s">
        <v>53</v>
      </c>
      <c r="H454" s="7">
        <v>45360</v>
      </c>
      <c r="I454" s="7">
        <v>45360</v>
      </c>
      <c r="J454" s="5">
        <f t="shared" si="21"/>
        <v>0</v>
      </c>
      <c r="K454" s="5" t="str">
        <f t="shared" si="22"/>
        <v>Met</v>
      </c>
      <c r="L454" s="7" t="str">
        <f t="shared" si="23"/>
        <v>Mar</v>
      </c>
    </row>
    <row r="455" spans="1:12" x14ac:dyDescent="0.3">
      <c r="A455" s="8" t="s">
        <v>701</v>
      </c>
      <c r="B455" s="12" t="s">
        <v>20</v>
      </c>
      <c r="C455" s="12" t="s">
        <v>76</v>
      </c>
      <c r="D455" s="12" t="s">
        <v>15</v>
      </c>
      <c r="E455" s="12" t="s">
        <v>336</v>
      </c>
      <c r="F455" s="12" t="s">
        <v>37</v>
      </c>
      <c r="G455" s="12" t="s">
        <v>25</v>
      </c>
      <c r="H455" s="11">
        <v>45405</v>
      </c>
      <c r="I455" s="10">
        <v>45405</v>
      </c>
      <c r="J455" s="5">
        <f t="shared" si="21"/>
        <v>0</v>
      </c>
      <c r="K455" s="5" t="str">
        <f t="shared" si="22"/>
        <v>Met</v>
      </c>
      <c r="L455" s="7" t="str">
        <f t="shared" si="23"/>
        <v>Apr</v>
      </c>
    </row>
    <row r="456" spans="1:12" x14ac:dyDescent="0.3">
      <c r="A456" s="4" t="s">
        <v>702</v>
      </c>
      <c r="B456" s="13" t="s">
        <v>27</v>
      </c>
      <c r="C456" s="13" t="s">
        <v>153</v>
      </c>
      <c r="D456" s="13" t="s">
        <v>79</v>
      </c>
      <c r="E456" s="13" t="s">
        <v>338</v>
      </c>
      <c r="F456" s="13" t="s">
        <v>17</v>
      </c>
      <c r="G456" s="13" t="s">
        <v>18</v>
      </c>
      <c r="H456" s="7">
        <v>45393</v>
      </c>
      <c r="I456" s="6">
        <v>45393</v>
      </c>
      <c r="J456" s="5">
        <f t="shared" si="21"/>
        <v>0</v>
      </c>
      <c r="K456" s="5" t="str">
        <f t="shared" si="22"/>
        <v>Met</v>
      </c>
      <c r="L456" s="7" t="str">
        <f t="shared" si="23"/>
        <v>Apr</v>
      </c>
    </row>
    <row r="457" spans="1:12" x14ac:dyDescent="0.3">
      <c r="A457" s="8" t="s">
        <v>703</v>
      </c>
      <c r="B457" s="12" t="s">
        <v>20</v>
      </c>
      <c r="C457" s="12" t="s">
        <v>76</v>
      </c>
      <c r="D457" s="12" t="s">
        <v>79</v>
      </c>
      <c r="E457" s="12" t="s">
        <v>588</v>
      </c>
      <c r="F457" s="12" t="s">
        <v>24</v>
      </c>
      <c r="G457" s="12" t="s">
        <v>45</v>
      </c>
      <c r="H457" s="11">
        <v>45304</v>
      </c>
      <c r="I457" s="11">
        <v>45304</v>
      </c>
      <c r="J457" s="5">
        <f t="shared" si="21"/>
        <v>0</v>
      </c>
      <c r="K457" s="5" t="str">
        <f t="shared" si="22"/>
        <v>Met</v>
      </c>
      <c r="L457" s="7" t="str">
        <f t="shared" si="23"/>
        <v>Jan</v>
      </c>
    </row>
    <row r="458" spans="1:12" x14ac:dyDescent="0.3">
      <c r="A458" s="4" t="s">
        <v>704</v>
      </c>
      <c r="B458" s="13" t="s">
        <v>20</v>
      </c>
      <c r="C458" s="13" t="s">
        <v>76</v>
      </c>
      <c r="D458" s="13" t="s">
        <v>86</v>
      </c>
      <c r="E458" s="13" t="s">
        <v>340</v>
      </c>
      <c r="F458" s="13" t="s">
        <v>37</v>
      </c>
      <c r="G458" s="13" t="s">
        <v>31</v>
      </c>
      <c r="H458" s="7">
        <v>45375</v>
      </c>
      <c r="I458" s="7">
        <v>45375</v>
      </c>
      <c r="J458" s="5">
        <f t="shared" si="21"/>
        <v>0</v>
      </c>
      <c r="K458" s="5" t="str">
        <f t="shared" si="22"/>
        <v>Met</v>
      </c>
      <c r="L458" s="7" t="str">
        <f t="shared" si="23"/>
        <v>Mar</v>
      </c>
    </row>
    <row r="459" spans="1:12" x14ac:dyDescent="0.3">
      <c r="A459" s="8" t="s">
        <v>705</v>
      </c>
      <c r="B459" s="12" t="s">
        <v>13</v>
      </c>
      <c r="C459" s="12" t="s">
        <v>61</v>
      </c>
      <c r="D459" s="9" t="s">
        <v>22</v>
      </c>
      <c r="E459" s="12" t="s">
        <v>342</v>
      </c>
      <c r="F459" s="12" t="s">
        <v>17</v>
      </c>
      <c r="G459" s="12" t="s">
        <v>53</v>
      </c>
      <c r="H459" s="11">
        <v>45315</v>
      </c>
      <c r="I459" s="11">
        <v>45315</v>
      </c>
      <c r="J459" s="5">
        <f t="shared" si="21"/>
        <v>0</v>
      </c>
      <c r="K459" s="5" t="str">
        <f t="shared" si="22"/>
        <v>Met</v>
      </c>
      <c r="L459" s="7" t="str">
        <f t="shared" si="23"/>
        <v>Jan</v>
      </c>
    </row>
    <row r="460" spans="1:12" x14ac:dyDescent="0.3">
      <c r="A460" s="4" t="s">
        <v>706</v>
      </c>
      <c r="B460" s="13" t="s">
        <v>33</v>
      </c>
      <c r="C460" s="13" t="s">
        <v>69</v>
      </c>
      <c r="D460" s="13" t="s">
        <v>29</v>
      </c>
      <c r="E460" s="13" t="s">
        <v>344</v>
      </c>
      <c r="F460" s="13" t="s">
        <v>37</v>
      </c>
      <c r="G460" s="13" t="s">
        <v>25</v>
      </c>
      <c r="H460" s="7">
        <v>45399</v>
      </c>
      <c r="I460" s="7">
        <v>45399</v>
      </c>
      <c r="J460" s="5">
        <f t="shared" si="21"/>
        <v>0</v>
      </c>
      <c r="K460" s="5" t="str">
        <f t="shared" si="22"/>
        <v>Met</v>
      </c>
      <c r="L460" s="7" t="str">
        <f t="shared" si="23"/>
        <v>Apr</v>
      </c>
    </row>
    <row r="461" spans="1:12" x14ac:dyDescent="0.3">
      <c r="A461" s="8" t="s">
        <v>707</v>
      </c>
      <c r="B461" s="12" t="s">
        <v>33</v>
      </c>
      <c r="C461" s="12" t="s">
        <v>69</v>
      </c>
      <c r="D461" s="12" t="s">
        <v>35</v>
      </c>
      <c r="E461" s="12" t="s">
        <v>346</v>
      </c>
      <c r="F461" s="12" t="s">
        <v>37</v>
      </c>
      <c r="G461" s="12" t="s">
        <v>53</v>
      </c>
      <c r="H461" s="11">
        <v>45425</v>
      </c>
      <c r="I461" s="10">
        <v>45425</v>
      </c>
      <c r="J461" s="5">
        <f t="shared" si="21"/>
        <v>0</v>
      </c>
      <c r="K461" s="5" t="str">
        <f t="shared" si="22"/>
        <v>Met</v>
      </c>
      <c r="L461" s="7" t="str">
        <f t="shared" si="23"/>
        <v>May</v>
      </c>
    </row>
    <row r="462" spans="1:12" x14ac:dyDescent="0.3">
      <c r="A462" s="4" t="s">
        <v>708</v>
      </c>
      <c r="B462" s="13" t="s">
        <v>39</v>
      </c>
      <c r="C462" s="13" t="s">
        <v>40</v>
      </c>
      <c r="D462" s="13" t="s">
        <v>79</v>
      </c>
      <c r="E462" s="13" t="s">
        <v>348</v>
      </c>
      <c r="F462" s="13" t="s">
        <v>24</v>
      </c>
      <c r="G462" s="13" t="s">
        <v>45</v>
      </c>
      <c r="H462" s="7">
        <v>45405</v>
      </c>
      <c r="I462" s="7">
        <v>45405</v>
      </c>
      <c r="J462" s="5">
        <f t="shared" si="21"/>
        <v>0</v>
      </c>
      <c r="K462" s="5" t="str">
        <f t="shared" si="22"/>
        <v>Met</v>
      </c>
      <c r="L462" s="7" t="str">
        <f t="shared" si="23"/>
        <v>Apr</v>
      </c>
    </row>
    <row r="463" spans="1:12" x14ac:dyDescent="0.3">
      <c r="A463" s="8" t="s">
        <v>709</v>
      </c>
      <c r="B463" s="12" t="s">
        <v>13</v>
      </c>
      <c r="C463" s="12" t="s">
        <v>14</v>
      </c>
      <c r="D463" s="12" t="s">
        <v>15</v>
      </c>
      <c r="E463" s="12" t="s">
        <v>350</v>
      </c>
      <c r="F463" s="12" t="s">
        <v>37</v>
      </c>
      <c r="G463" s="12" t="s">
        <v>53</v>
      </c>
      <c r="H463" s="11">
        <v>45333</v>
      </c>
      <c r="I463" s="11">
        <v>45333</v>
      </c>
      <c r="J463" s="5">
        <f t="shared" si="21"/>
        <v>0</v>
      </c>
      <c r="K463" s="5" t="str">
        <f t="shared" si="22"/>
        <v>Met</v>
      </c>
      <c r="L463" s="7" t="str">
        <f t="shared" si="23"/>
        <v>Feb</v>
      </c>
    </row>
    <row r="464" spans="1:12" x14ac:dyDescent="0.3">
      <c r="A464" s="4" t="s">
        <v>710</v>
      </c>
      <c r="B464" s="13" t="s">
        <v>33</v>
      </c>
      <c r="C464" s="13" t="s">
        <v>34</v>
      </c>
      <c r="D464" s="13" t="s">
        <v>148</v>
      </c>
      <c r="E464" s="13" t="s">
        <v>352</v>
      </c>
      <c r="F464" s="13" t="s">
        <v>17</v>
      </c>
      <c r="G464" s="13" t="s">
        <v>18</v>
      </c>
      <c r="H464" s="7">
        <v>45379</v>
      </c>
      <c r="I464" s="7">
        <v>45379</v>
      </c>
      <c r="J464" s="5">
        <f t="shared" si="21"/>
        <v>0</v>
      </c>
      <c r="K464" s="5" t="str">
        <f t="shared" si="22"/>
        <v>Met</v>
      </c>
      <c r="L464" s="7" t="str">
        <f t="shared" si="23"/>
        <v>Mar</v>
      </c>
    </row>
    <row r="465" spans="1:12" x14ac:dyDescent="0.3">
      <c r="A465" s="8" t="s">
        <v>711</v>
      </c>
      <c r="B465" s="12" t="s">
        <v>20</v>
      </c>
      <c r="C465" s="12" t="s">
        <v>76</v>
      </c>
      <c r="D465" s="12" t="s">
        <v>79</v>
      </c>
      <c r="E465" s="12" t="s">
        <v>354</v>
      </c>
      <c r="F465" s="12" t="s">
        <v>17</v>
      </c>
      <c r="G465" s="12" t="s">
        <v>42</v>
      </c>
      <c r="H465" s="11">
        <v>45447</v>
      </c>
      <c r="I465" s="10">
        <v>45447</v>
      </c>
      <c r="J465" s="5">
        <f t="shared" si="21"/>
        <v>0</v>
      </c>
      <c r="K465" s="5" t="str">
        <f t="shared" si="22"/>
        <v>Met</v>
      </c>
      <c r="L465" s="7" t="str">
        <f t="shared" si="23"/>
        <v>Jun</v>
      </c>
    </row>
    <row r="466" spans="1:12" x14ac:dyDescent="0.3">
      <c r="A466" s="4" t="s">
        <v>712</v>
      </c>
      <c r="B466" s="5" t="s">
        <v>27</v>
      </c>
      <c r="C466" s="5" t="s">
        <v>28</v>
      </c>
      <c r="D466" s="5" t="s">
        <v>29</v>
      </c>
      <c r="E466" s="5" t="s">
        <v>30</v>
      </c>
      <c r="F466" s="5" t="s">
        <v>24</v>
      </c>
      <c r="G466" s="5" t="s">
        <v>31</v>
      </c>
      <c r="H466" s="6">
        <v>45331</v>
      </c>
      <c r="I466" s="6">
        <v>45331</v>
      </c>
      <c r="J466" s="5">
        <f t="shared" si="21"/>
        <v>0</v>
      </c>
      <c r="K466" s="5" t="str">
        <f t="shared" si="22"/>
        <v>Met</v>
      </c>
      <c r="L466" s="7" t="str">
        <f t="shared" si="23"/>
        <v>Feb</v>
      </c>
    </row>
    <row r="467" spans="1:12" x14ac:dyDescent="0.3">
      <c r="A467" s="8" t="s">
        <v>713</v>
      </c>
      <c r="B467" s="9" t="s">
        <v>27</v>
      </c>
      <c r="C467" s="9" t="s">
        <v>47</v>
      </c>
      <c r="D467" s="9" t="s">
        <v>15</v>
      </c>
      <c r="E467" s="9" t="s">
        <v>48</v>
      </c>
      <c r="F467" s="9" t="s">
        <v>37</v>
      </c>
      <c r="G467" s="9" t="s">
        <v>45</v>
      </c>
      <c r="H467" s="10">
        <v>45314</v>
      </c>
      <c r="I467" s="10">
        <v>45315</v>
      </c>
      <c r="J467" s="5">
        <f t="shared" si="21"/>
        <v>1</v>
      </c>
      <c r="K467" s="5" t="str">
        <f t="shared" si="22"/>
        <v>Not Met</v>
      </c>
      <c r="L467" s="7" t="str">
        <f t="shared" si="23"/>
        <v>Jan</v>
      </c>
    </row>
    <row r="468" spans="1:12" x14ac:dyDescent="0.3">
      <c r="A468" s="4" t="s">
        <v>714</v>
      </c>
      <c r="B468" s="5" t="s">
        <v>27</v>
      </c>
      <c r="C468" s="5" t="s">
        <v>47</v>
      </c>
      <c r="D468" s="5" t="s">
        <v>29</v>
      </c>
      <c r="E468" s="5" t="s">
        <v>50</v>
      </c>
      <c r="F468" s="5" t="s">
        <v>17</v>
      </c>
      <c r="G468" s="5" t="s">
        <v>31</v>
      </c>
      <c r="H468" s="6">
        <v>45400</v>
      </c>
      <c r="I468" s="6">
        <v>45400</v>
      </c>
      <c r="J468" s="5">
        <f t="shared" si="21"/>
        <v>0</v>
      </c>
      <c r="K468" s="5" t="str">
        <f t="shared" si="22"/>
        <v>Met</v>
      </c>
      <c r="L468" s="7" t="str">
        <f t="shared" si="23"/>
        <v>Apr</v>
      </c>
    </row>
    <row r="469" spans="1:12" x14ac:dyDescent="0.3">
      <c r="A469" s="8" t="s">
        <v>715</v>
      </c>
      <c r="B469" s="9" t="s">
        <v>27</v>
      </c>
      <c r="C469" s="9" t="s">
        <v>47</v>
      </c>
      <c r="D469" s="9" t="s">
        <v>35</v>
      </c>
      <c r="E469" s="9" t="s">
        <v>84</v>
      </c>
      <c r="F469" s="9" t="s">
        <v>37</v>
      </c>
      <c r="G469" s="9" t="s">
        <v>18</v>
      </c>
      <c r="H469" s="10">
        <v>45329</v>
      </c>
      <c r="I469" s="10">
        <v>45329</v>
      </c>
      <c r="J469" s="5">
        <f t="shared" si="21"/>
        <v>0</v>
      </c>
      <c r="K469" s="5" t="str">
        <f t="shared" si="22"/>
        <v>Met</v>
      </c>
      <c r="L469" s="7" t="str">
        <f t="shared" si="23"/>
        <v>Feb</v>
      </c>
    </row>
    <row r="470" spans="1:12" x14ac:dyDescent="0.3">
      <c r="A470" s="4" t="s">
        <v>716</v>
      </c>
      <c r="B470" s="5" t="s">
        <v>27</v>
      </c>
      <c r="C470" s="5" t="s">
        <v>47</v>
      </c>
      <c r="D470" s="5" t="s">
        <v>35</v>
      </c>
      <c r="E470" s="5" t="s">
        <v>108</v>
      </c>
      <c r="F470" s="5" t="s">
        <v>37</v>
      </c>
      <c r="G470" s="5" t="s">
        <v>18</v>
      </c>
      <c r="H470" s="6">
        <v>45430</v>
      </c>
      <c r="I470" s="6">
        <v>45430</v>
      </c>
      <c r="J470" s="5">
        <f t="shared" si="21"/>
        <v>0</v>
      </c>
      <c r="K470" s="5" t="str">
        <f t="shared" si="22"/>
        <v>Met</v>
      </c>
      <c r="L470" s="7" t="str">
        <f t="shared" si="23"/>
        <v>May</v>
      </c>
    </row>
    <row r="471" spans="1:12" x14ac:dyDescent="0.3">
      <c r="A471" s="8" t="s">
        <v>717</v>
      </c>
      <c r="B471" s="9" t="s">
        <v>27</v>
      </c>
      <c r="C471" s="9" t="s">
        <v>28</v>
      </c>
      <c r="D471" s="9" t="s">
        <v>29</v>
      </c>
      <c r="E471" s="9" t="s">
        <v>136</v>
      </c>
      <c r="F471" s="9" t="s">
        <v>37</v>
      </c>
      <c r="G471" s="9" t="s">
        <v>42</v>
      </c>
      <c r="H471" s="10">
        <v>45321</v>
      </c>
      <c r="I471" s="10">
        <v>45321</v>
      </c>
      <c r="J471" s="5">
        <f t="shared" si="21"/>
        <v>0</v>
      </c>
      <c r="K471" s="5" t="str">
        <f t="shared" si="22"/>
        <v>Met</v>
      </c>
      <c r="L471" s="7" t="str">
        <f t="shared" si="23"/>
        <v>Jan</v>
      </c>
    </row>
    <row r="472" spans="1:12" x14ac:dyDescent="0.3">
      <c r="A472" s="4" t="s">
        <v>718</v>
      </c>
      <c r="B472" s="5" t="s">
        <v>27</v>
      </c>
      <c r="C472" s="5" t="s">
        <v>28</v>
      </c>
      <c r="D472" s="5" t="s">
        <v>79</v>
      </c>
      <c r="E472" s="5" t="s">
        <v>138</v>
      </c>
      <c r="F472" s="5" t="s">
        <v>37</v>
      </c>
      <c r="G472" s="5" t="s">
        <v>25</v>
      </c>
      <c r="H472" s="6">
        <v>45418</v>
      </c>
      <c r="I472" s="6">
        <v>45418</v>
      </c>
      <c r="J472" s="5">
        <f t="shared" si="21"/>
        <v>0</v>
      </c>
      <c r="K472" s="5" t="str">
        <f t="shared" si="22"/>
        <v>Met</v>
      </c>
      <c r="L472" s="7" t="str">
        <f t="shared" si="23"/>
        <v>May</v>
      </c>
    </row>
    <row r="473" spans="1:12" x14ac:dyDescent="0.3">
      <c r="A473" s="8" t="s">
        <v>719</v>
      </c>
      <c r="B473" s="9" t="s">
        <v>27</v>
      </c>
      <c r="C473" s="9" t="s">
        <v>153</v>
      </c>
      <c r="D473" s="9" t="s">
        <v>22</v>
      </c>
      <c r="E473" s="9" t="s">
        <v>154</v>
      </c>
      <c r="F473" s="9" t="s">
        <v>17</v>
      </c>
      <c r="G473" s="9" t="s">
        <v>42</v>
      </c>
      <c r="H473" s="10">
        <v>45423</v>
      </c>
      <c r="I473" s="10">
        <v>45423</v>
      </c>
      <c r="J473" s="5">
        <f t="shared" si="21"/>
        <v>0</v>
      </c>
      <c r="K473" s="5" t="str">
        <f t="shared" si="22"/>
        <v>Met</v>
      </c>
      <c r="L473" s="7" t="str">
        <f t="shared" si="23"/>
        <v>May</v>
      </c>
    </row>
    <row r="474" spans="1:12" x14ac:dyDescent="0.3">
      <c r="A474" s="4" t="s">
        <v>720</v>
      </c>
      <c r="B474" s="5" t="s">
        <v>27</v>
      </c>
      <c r="C474" s="5" t="s">
        <v>47</v>
      </c>
      <c r="D474" s="5" t="s">
        <v>35</v>
      </c>
      <c r="E474" s="5" t="s">
        <v>172</v>
      </c>
      <c r="F474" s="5" t="s">
        <v>37</v>
      </c>
      <c r="G474" s="5" t="s">
        <v>31</v>
      </c>
      <c r="H474" s="6">
        <v>45430</v>
      </c>
      <c r="I474" s="6">
        <v>45430</v>
      </c>
      <c r="J474" s="5">
        <f t="shared" si="21"/>
        <v>0</v>
      </c>
      <c r="K474" s="5" t="str">
        <f t="shared" si="22"/>
        <v>Met</v>
      </c>
      <c r="L474" s="7" t="str">
        <f t="shared" si="23"/>
        <v>May</v>
      </c>
    </row>
    <row r="475" spans="1:12" x14ac:dyDescent="0.3">
      <c r="A475" s="8" t="s">
        <v>721</v>
      </c>
      <c r="B475" s="9" t="s">
        <v>27</v>
      </c>
      <c r="C475" s="9" t="s">
        <v>47</v>
      </c>
      <c r="D475" s="9" t="s">
        <v>35</v>
      </c>
      <c r="E475" s="9" t="s">
        <v>178</v>
      </c>
      <c r="F475" s="9" t="s">
        <v>37</v>
      </c>
      <c r="G475" s="9" t="s">
        <v>18</v>
      </c>
      <c r="H475" s="10">
        <v>45421</v>
      </c>
      <c r="I475" s="10">
        <v>45421</v>
      </c>
      <c r="J475" s="5">
        <f t="shared" si="21"/>
        <v>0</v>
      </c>
      <c r="K475" s="5" t="str">
        <f t="shared" si="22"/>
        <v>Met</v>
      </c>
      <c r="L475" s="7" t="str">
        <f t="shared" si="23"/>
        <v>May</v>
      </c>
    </row>
    <row r="476" spans="1:12" x14ac:dyDescent="0.3">
      <c r="A476" s="4" t="s">
        <v>722</v>
      </c>
      <c r="B476" s="5" t="s">
        <v>27</v>
      </c>
      <c r="C476" s="5" t="s">
        <v>153</v>
      </c>
      <c r="D476" s="5" t="s">
        <v>29</v>
      </c>
      <c r="E476" s="5" t="s">
        <v>180</v>
      </c>
      <c r="F476" s="5" t="s">
        <v>37</v>
      </c>
      <c r="G476" s="5" t="s">
        <v>18</v>
      </c>
      <c r="H476" s="6">
        <v>45309</v>
      </c>
      <c r="I476" s="6">
        <v>45309</v>
      </c>
      <c r="J476" s="5">
        <f t="shared" si="21"/>
        <v>0</v>
      </c>
      <c r="K476" s="5" t="str">
        <f t="shared" si="22"/>
        <v>Met</v>
      </c>
      <c r="L476" s="7" t="str">
        <f t="shared" si="23"/>
        <v>Jan</v>
      </c>
    </row>
    <row r="477" spans="1:12" x14ac:dyDescent="0.3">
      <c r="A477" s="8" t="s">
        <v>723</v>
      </c>
      <c r="B477" s="9" t="s">
        <v>27</v>
      </c>
      <c r="C477" s="9" t="s">
        <v>28</v>
      </c>
      <c r="D477" s="9" t="s">
        <v>22</v>
      </c>
      <c r="E477" s="9" t="s">
        <v>184</v>
      </c>
      <c r="F477" s="9" t="s">
        <v>24</v>
      </c>
      <c r="G477" s="9" t="s">
        <v>25</v>
      </c>
      <c r="H477" s="10">
        <v>45406</v>
      </c>
      <c r="I477" s="10">
        <v>45406</v>
      </c>
      <c r="J477" s="5">
        <f t="shared" si="21"/>
        <v>0</v>
      </c>
      <c r="K477" s="5" t="str">
        <f t="shared" si="22"/>
        <v>Met</v>
      </c>
      <c r="L477" s="7" t="str">
        <f t="shared" si="23"/>
        <v>Apr</v>
      </c>
    </row>
    <row r="478" spans="1:12" x14ac:dyDescent="0.3">
      <c r="A478" s="4" t="s">
        <v>724</v>
      </c>
      <c r="B478" s="5" t="s">
        <v>27</v>
      </c>
      <c r="C478" s="5" t="s">
        <v>153</v>
      </c>
      <c r="D478" s="5" t="s">
        <v>15</v>
      </c>
      <c r="E478" s="5" t="s">
        <v>188</v>
      </c>
      <c r="F478" s="5" t="s">
        <v>17</v>
      </c>
      <c r="G478" s="5" t="s">
        <v>42</v>
      </c>
      <c r="H478" s="6">
        <v>45408</v>
      </c>
      <c r="I478" s="6">
        <v>45408</v>
      </c>
      <c r="J478" s="5">
        <f t="shared" si="21"/>
        <v>0</v>
      </c>
      <c r="K478" s="5" t="str">
        <f t="shared" si="22"/>
        <v>Met</v>
      </c>
      <c r="L478" s="7" t="str">
        <f t="shared" si="23"/>
        <v>Apr</v>
      </c>
    </row>
    <row r="479" spans="1:12" x14ac:dyDescent="0.3">
      <c r="A479" s="8" t="s">
        <v>725</v>
      </c>
      <c r="B479" s="9" t="s">
        <v>27</v>
      </c>
      <c r="C479" s="9" t="s">
        <v>153</v>
      </c>
      <c r="D479" s="9" t="s">
        <v>22</v>
      </c>
      <c r="E479" s="9" t="s">
        <v>192</v>
      </c>
      <c r="F479" s="9" t="s">
        <v>17</v>
      </c>
      <c r="G479" s="9" t="s">
        <v>31</v>
      </c>
      <c r="H479" s="10">
        <v>45397</v>
      </c>
      <c r="I479" s="10">
        <v>45397</v>
      </c>
      <c r="J479" s="5">
        <f t="shared" si="21"/>
        <v>0</v>
      </c>
      <c r="K479" s="5" t="str">
        <f t="shared" si="22"/>
        <v>Met</v>
      </c>
      <c r="L479" s="7" t="str">
        <f t="shared" si="23"/>
        <v>Apr</v>
      </c>
    </row>
    <row r="480" spans="1:12" x14ac:dyDescent="0.3">
      <c r="A480" s="4" t="s">
        <v>726</v>
      </c>
      <c r="B480" s="5" t="s">
        <v>27</v>
      </c>
      <c r="C480" s="5" t="s">
        <v>28</v>
      </c>
      <c r="D480" s="5" t="s">
        <v>86</v>
      </c>
      <c r="E480" s="5" t="s">
        <v>206</v>
      </c>
      <c r="F480" s="5" t="s">
        <v>17</v>
      </c>
      <c r="G480" s="5" t="s">
        <v>31</v>
      </c>
      <c r="H480" s="6">
        <v>45416</v>
      </c>
      <c r="I480" s="6">
        <v>45416</v>
      </c>
      <c r="J480" s="5">
        <f t="shared" si="21"/>
        <v>0</v>
      </c>
      <c r="K480" s="5" t="str">
        <f t="shared" si="22"/>
        <v>Met</v>
      </c>
      <c r="L480" s="7" t="str">
        <f t="shared" si="23"/>
        <v>May</v>
      </c>
    </row>
    <row r="481" spans="1:12" x14ac:dyDescent="0.3">
      <c r="A481" s="8" t="s">
        <v>727</v>
      </c>
      <c r="B481" s="9" t="s">
        <v>27</v>
      </c>
      <c r="C481" s="9" t="s">
        <v>153</v>
      </c>
      <c r="D481" s="9" t="s">
        <v>66</v>
      </c>
      <c r="E481" s="9" t="s">
        <v>210</v>
      </c>
      <c r="F481" s="9" t="s">
        <v>17</v>
      </c>
      <c r="G481" s="9" t="s">
        <v>42</v>
      </c>
      <c r="H481" s="10">
        <v>45356</v>
      </c>
      <c r="I481" s="10">
        <v>45356</v>
      </c>
      <c r="J481" s="5">
        <f t="shared" si="21"/>
        <v>0</v>
      </c>
      <c r="K481" s="5" t="str">
        <f t="shared" si="22"/>
        <v>Met</v>
      </c>
      <c r="L481" s="7" t="str">
        <f t="shared" si="23"/>
        <v>Mar</v>
      </c>
    </row>
    <row r="482" spans="1:12" x14ac:dyDescent="0.3">
      <c r="A482" s="4" t="s">
        <v>728</v>
      </c>
      <c r="B482" s="5" t="s">
        <v>27</v>
      </c>
      <c r="C482" s="5" t="s">
        <v>47</v>
      </c>
      <c r="D482" s="5" t="s">
        <v>66</v>
      </c>
      <c r="E482" s="5" t="s">
        <v>218</v>
      </c>
      <c r="F482" s="5" t="s">
        <v>17</v>
      </c>
      <c r="G482" s="5" t="s">
        <v>31</v>
      </c>
      <c r="H482" s="6">
        <v>45377</v>
      </c>
      <c r="I482" s="6">
        <v>45377</v>
      </c>
      <c r="J482" s="5">
        <f t="shared" si="21"/>
        <v>0</v>
      </c>
      <c r="K482" s="5" t="str">
        <f t="shared" si="22"/>
        <v>Met</v>
      </c>
      <c r="L482" s="7" t="str">
        <f t="shared" si="23"/>
        <v>Mar</v>
      </c>
    </row>
    <row r="483" spans="1:12" x14ac:dyDescent="0.3">
      <c r="A483" s="8" t="s">
        <v>729</v>
      </c>
      <c r="B483" s="9" t="s">
        <v>27</v>
      </c>
      <c r="C483" s="9" t="s">
        <v>153</v>
      </c>
      <c r="D483" s="9" t="s">
        <v>35</v>
      </c>
      <c r="E483" s="9" t="s">
        <v>222</v>
      </c>
      <c r="F483" s="9" t="s">
        <v>24</v>
      </c>
      <c r="G483" s="9" t="s">
        <v>25</v>
      </c>
      <c r="H483" s="10">
        <v>45409</v>
      </c>
      <c r="I483" s="10">
        <v>45409</v>
      </c>
      <c r="J483" s="5">
        <f t="shared" si="21"/>
        <v>0</v>
      </c>
      <c r="K483" s="5" t="str">
        <f t="shared" si="22"/>
        <v>Met</v>
      </c>
      <c r="L483" s="7" t="str">
        <f t="shared" si="23"/>
        <v>Apr</v>
      </c>
    </row>
    <row r="484" spans="1:12" x14ac:dyDescent="0.3">
      <c r="A484" s="4" t="s">
        <v>730</v>
      </c>
      <c r="B484" s="5" t="s">
        <v>27</v>
      </c>
      <c r="C484" s="5" t="s">
        <v>153</v>
      </c>
      <c r="D484" s="5" t="s">
        <v>35</v>
      </c>
      <c r="E484" s="5" t="s">
        <v>234</v>
      </c>
      <c r="F484" s="5" t="s">
        <v>37</v>
      </c>
      <c r="G484" s="5" t="s">
        <v>53</v>
      </c>
      <c r="H484" s="6">
        <v>45372</v>
      </c>
      <c r="I484" s="6">
        <v>45372</v>
      </c>
      <c r="J484" s="5">
        <f t="shared" si="21"/>
        <v>0</v>
      </c>
      <c r="K484" s="5" t="str">
        <f t="shared" si="22"/>
        <v>Met</v>
      </c>
      <c r="L484" s="7" t="str">
        <f t="shared" si="23"/>
        <v>Mar</v>
      </c>
    </row>
    <row r="485" spans="1:12" x14ac:dyDescent="0.3">
      <c r="A485" s="8" t="s">
        <v>731</v>
      </c>
      <c r="B485" s="9" t="s">
        <v>27</v>
      </c>
      <c r="C485" s="9" t="s">
        <v>28</v>
      </c>
      <c r="D485" s="9" t="s">
        <v>86</v>
      </c>
      <c r="E485" s="9" t="s">
        <v>244</v>
      </c>
      <c r="F485" s="9" t="s">
        <v>37</v>
      </c>
      <c r="G485" s="9" t="s">
        <v>18</v>
      </c>
      <c r="H485" s="10">
        <v>45356</v>
      </c>
      <c r="I485" s="10">
        <v>45356</v>
      </c>
      <c r="J485" s="5">
        <f t="shared" si="21"/>
        <v>0</v>
      </c>
      <c r="K485" s="5" t="str">
        <f t="shared" si="22"/>
        <v>Met</v>
      </c>
      <c r="L485" s="7" t="str">
        <f t="shared" si="23"/>
        <v>Mar</v>
      </c>
    </row>
    <row r="486" spans="1:12" x14ac:dyDescent="0.3">
      <c r="A486" s="4" t="s">
        <v>732</v>
      </c>
      <c r="B486" s="5" t="s">
        <v>27</v>
      </c>
      <c r="C486" s="5" t="s">
        <v>47</v>
      </c>
      <c r="D486" s="5" t="s">
        <v>86</v>
      </c>
      <c r="E486" s="5" t="s">
        <v>252</v>
      </c>
      <c r="F486" s="5" t="s">
        <v>37</v>
      </c>
      <c r="G486" s="5" t="s">
        <v>25</v>
      </c>
      <c r="H486" s="6">
        <v>45415</v>
      </c>
      <c r="I486" s="6">
        <v>45415</v>
      </c>
      <c r="J486" s="5">
        <f t="shared" si="21"/>
        <v>0</v>
      </c>
      <c r="K486" s="5" t="str">
        <f t="shared" si="22"/>
        <v>Met</v>
      </c>
      <c r="L486" s="7" t="str">
        <f t="shared" si="23"/>
        <v>May</v>
      </c>
    </row>
    <row r="487" spans="1:12" x14ac:dyDescent="0.3">
      <c r="A487" s="8" t="s">
        <v>733</v>
      </c>
      <c r="B487" s="9" t="s">
        <v>27</v>
      </c>
      <c r="C487" s="9" t="s">
        <v>47</v>
      </c>
      <c r="D487" s="9" t="s">
        <v>148</v>
      </c>
      <c r="E487" s="9" t="s">
        <v>258</v>
      </c>
      <c r="F487" s="9" t="s">
        <v>17</v>
      </c>
      <c r="G487" s="9" t="s">
        <v>42</v>
      </c>
      <c r="H487" s="10">
        <v>45412</v>
      </c>
      <c r="I487" s="10">
        <v>45412</v>
      </c>
      <c r="J487" s="5">
        <f t="shared" si="21"/>
        <v>0</v>
      </c>
      <c r="K487" s="5" t="str">
        <f t="shared" si="22"/>
        <v>Met</v>
      </c>
      <c r="L487" s="7" t="str">
        <f t="shared" si="23"/>
        <v>Apr</v>
      </c>
    </row>
    <row r="488" spans="1:12" x14ac:dyDescent="0.3">
      <c r="A488" s="4" t="s">
        <v>734</v>
      </c>
      <c r="B488" s="5" t="s">
        <v>27</v>
      </c>
      <c r="C488" s="5" t="s">
        <v>47</v>
      </c>
      <c r="D488" s="5" t="s">
        <v>35</v>
      </c>
      <c r="E488" s="5" t="s">
        <v>264</v>
      </c>
      <c r="F488" s="5" t="s">
        <v>37</v>
      </c>
      <c r="G488" s="5" t="s">
        <v>25</v>
      </c>
      <c r="H488" s="6">
        <v>45356</v>
      </c>
      <c r="I488" s="6">
        <v>45357</v>
      </c>
      <c r="J488" s="5">
        <f t="shared" si="21"/>
        <v>1</v>
      </c>
      <c r="K488" s="5" t="str">
        <f t="shared" si="22"/>
        <v>Not Met</v>
      </c>
      <c r="L488" s="7" t="str">
        <f t="shared" si="23"/>
        <v>Mar</v>
      </c>
    </row>
    <row r="489" spans="1:12" x14ac:dyDescent="0.3">
      <c r="A489" s="8" t="s">
        <v>735</v>
      </c>
      <c r="B489" s="9" t="s">
        <v>27</v>
      </c>
      <c r="C489" s="9" t="s">
        <v>28</v>
      </c>
      <c r="D489" s="9" t="s">
        <v>35</v>
      </c>
      <c r="E489" s="9" t="s">
        <v>266</v>
      </c>
      <c r="F489" s="9" t="s">
        <v>37</v>
      </c>
      <c r="G489" s="9" t="s">
        <v>31</v>
      </c>
      <c r="H489" s="10">
        <v>45430</v>
      </c>
      <c r="I489" s="10">
        <v>45430</v>
      </c>
      <c r="J489" s="5">
        <f t="shared" si="21"/>
        <v>0</v>
      </c>
      <c r="K489" s="5" t="str">
        <f t="shared" si="22"/>
        <v>Met</v>
      </c>
      <c r="L489" s="7" t="str">
        <f t="shared" si="23"/>
        <v>May</v>
      </c>
    </row>
    <row r="490" spans="1:12" x14ac:dyDescent="0.3">
      <c r="A490" s="4" t="s">
        <v>736</v>
      </c>
      <c r="B490" s="5" t="s">
        <v>27</v>
      </c>
      <c r="C490" s="5" t="s">
        <v>153</v>
      </c>
      <c r="D490" s="5" t="s">
        <v>35</v>
      </c>
      <c r="E490" s="5" t="s">
        <v>272</v>
      </c>
      <c r="F490" s="5" t="s">
        <v>24</v>
      </c>
      <c r="G490" s="5" t="s">
        <v>45</v>
      </c>
      <c r="H490" s="6">
        <v>45313</v>
      </c>
      <c r="I490" s="6">
        <v>45313</v>
      </c>
      <c r="J490" s="5">
        <f t="shared" si="21"/>
        <v>0</v>
      </c>
      <c r="K490" s="5" t="str">
        <f t="shared" si="22"/>
        <v>Met</v>
      </c>
      <c r="L490" s="7" t="str">
        <f t="shared" si="23"/>
        <v>Jan</v>
      </c>
    </row>
    <row r="491" spans="1:12" x14ac:dyDescent="0.3">
      <c r="A491" s="8" t="s">
        <v>737</v>
      </c>
      <c r="B491" s="9" t="s">
        <v>27</v>
      </c>
      <c r="C491" s="9" t="s">
        <v>28</v>
      </c>
      <c r="D491" s="9" t="s">
        <v>66</v>
      </c>
      <c r="E491" s="9" t="s">
        <v>280</v>
      </c>
      <c r="F491" s="9" t="s">
        <v>24</v>
      </c>
      <c r="G491" s="9" t="s">
        <v>25</v>
      </c>
      <c r="H491" s="10">
        <v>45432</v>
      </c>
      <c r="I491" s="10">
        <v>45432</v>
      </c>
      <c r="J491" s="5">
        <f t="shared" si="21"/>
        <v>0</v>
      </c>
      <c r="K491" s="5" t="str">
        <f t="shared" si="22"/>
        <v>Met</v>
      </c>
      <c r="L491" s="7" t="str">
        <f t="shared" si="23"/>
        <v>May</v>
      </c>
    </row>
    <row r="492" spans="1:12" x14ac:dyDescent="0.3">
      <c r="A492" s="4" t="s">
        <v>738</v>
      </c>
      <c r="B492" s="5" t="s">
        <v>27</v>
      </c>
      <c r="C492" s="5" t="s">
        <v>153</v>
      </c>
      <c r="D492" s="5" t="s">
        <v>79</v>
      </c>
      <c r="E492" s="5" t="s">
        <v>282</v>
      </c>
      <c r="F492" s="5" t="s">
        <v>37</v>
      </c>
      <c r="G492" s="5" t="s">
        <v>53</v>
      </c>
      <c r="H492" s="6">
        <v>45296</v>
      </c>
      <c r="I492" s="6">
        <v>45296</v>
      </c>
      <c r="J492" s="5">
        <f t="shared" si="21"/>
        <v>0</v>
      </c>
      <c r="K492" s="5" t="str">
        <f t="shared" si="22"/>
        <v>Met</v>
      </c>
      <c r="L492" s="7" t="str">
        <f t="shared" si="23"/>
        <v>Jan</v>
      </c>
    </row>
    <row r="493" spans="1:12" x14ac:dyDescent="0.3">
      <c r="A493" s="8" t="s">
        <v>739</v>
      </c>
      <c r="B493" s="9" t="s">
        <v>27</v>
      </c>
      <c r="C493" s="9" t="s">
        <v>28</v>
      </c>
      <c r="D493" s="9" t="s">
        <v>86</v>
      </c>
      <c r="E493" s="9" t="s">
        <v>298</v>
      </c>
      <c r="F493" s="9" t="s">
        <v>24</v>
      </c>
      <c r="G493" s="9" t="s">
        <v>18</v>
      </c>
      <c r="H493" s="10">
        <v>45405</v>
      </c>
      <c r="I493" s="10">
        <v>45405</v>
      </c>
      <c r="J493" s="5">
        <f t="shared" si="21"/>
        <v>0</v>
      </c>
      <c r="K493" s="5" t="str">
        <f t="shared" si="22"/>
        <v>Met</v>
      </c>
      <c r="L493" s="7" t="str">
        <f t="shared" si="23"/>
        <v>Apr</v>
      </c>
    </row>
    <row r="494" spans="1:12" x14ac:dyDescent="0.3">
      <c r="A494" s="4" t="s">
        <v>740</v>
      </c>
      <c r="B494" s="5" t="s">
        <v>27</v>
      </c>
      <c r="C494" s="5" t="s">
        <v>28</v>
      </c>
      <c r="D494" s="5" t="s">
        <v>35</v>
      </c>
      <c r="E494" s="5" t="s">
        <v>302</v>
      </c>
      <c r="F494" s="5" t="s">
        <v>24</v>
      </c>
      <c r="G494" s="5" t="s">
        <v>45</v>
      </c>
      <c r="H494" s="6">
        <v>45414</v>
      </c>
      <c r="I494" s="6">
        <v>45414</v>
      </c>
      <c r="J494" s="5">
        <f t="shared" si="21"/>
        <v>0</v>
      </c>
      <c r="K494" s="5" t="str">
        <f t="shared" si="22"/>
        <v>Met</v>
      </c>
      <c r="L494" s="7" t="str">
        <f t="shared" si="23"/>
        <v>May</v>
      </c>
    </row>
    <row r="495" spans="1:12" x14ac:dyDescent="0.3">
      <c r="A495" s="8" t="s">
        <v>741</v>
      </c>
      <c r="B495" s="9" t="s">
        <v>27</v>
      </c>
      <c r="C495" s="9" t="s">
        <v>47</v>
      </c>
      <c r="D495" s="9" t="s">
        <v>66</v>
      </c>
      <c r="E495" s="9" t="s">
        <v>306</v>
      </c>
      <c r="F495" s="9" t="s">
        <v>17</v>
      </c>
      <c r="G495" s="9" t="s">
        <v>18</v>
      </c>
      <c r="H495" s="10">
        <v>45304</v>
      </c>
      <c r="I495" s="10">
        <v>45304</v>
      </c>
      <c r="J495" s="5">
        <f t="shared" si="21"/>
        <v>0</v>
      </c>
      <c r="K495" s="5" t="str">
        <f t="shared" si="22"/>
        <v>Met</v>
      </c>
      <c r="L495" s="7" t="str">
        <f t="shared" si="23"/>
        <v>Jan</v>
      </c>
    </row>
    <row r="496" spans="1:12" x14ac:dyDescent="0.3">
      <c r="A496" s="4" t="s">
        <v>742</v>
      </c>
      <c r="B496" s="5" t="s">
        <v>27</v>
      </c>
      <c r="C496" s="5" t="s">
        <v>153</v>
      </c>
      <c r="D496" s="5" t="s">
        <v>15</v>
      </c>
      <c r="E496" s="5" t="s">
        <v>312</v>
      </c>
      <c r="F496" s="5" t="s">
        <v>24</v>
      </c>
      <c r="G496" s="5" t="s">
        <v>31</v>
      </c>
      <c r="H496" s="6">
        <v>45302</v>
      </c>
      <c r="I496" s="6">
        <v>45302</v>
      </c>
      <c r="J496" s="5">
        <f t="shared" si="21"/>
        <v>0</v>
      </c>
      <c r="K496" s="5" t="str">
        <f t="shared" si="22"/>
        <v>Met</v>
      </c>
      <c r="L496" s="7" t="str">
        <f t="shared" si="23"/>
        <v>Jan</v>
      </c>
    </row>
    <row r="497" spans="1:12" x14ac:dyDescent="0.3">
      <c r="A497" s="8" t="s">
        <v>743</v>
      </c>
      <c r="B497" s="9" t="s">
        <v>27</v>
      </c>
      <c r="C497" s="9" t="s">
        <v>153</v>
      </c>
      <c r="D497" s="9" t="s">
        <v>79</v>
      </c>
      <c r="E497" s="9" t="s">
        <v>338</v>
      </c>
      <c r="F497" s="9" t="s">
        <v>17</v>
      </c>
      <c r="G497" s="9" t="s">
        <v>18</v>
      </c>
      <c r="H497" s="10">
        <v>45393</v>
      </c>
      <c r="I497" s="10">
        <v>45393</v>
      </c>
      <c r="J497" s="5">
        <f t="shared" si="21"/>
        <v>0</v>
      </c>
      <c r="K497" s="5" t="str">
        <f t="shared" si="22"/>
        <v>Met</v>
      </c>
      <c r="L497" s="7" t="str">
        <f t="shared" si="23"/>
        <v>Apr</v>
      </c>
    </row>
    <row r="498" spans="1:12" x14ac:dyDescent="0.3">
      <c r="A498" s="4" t="s">
        <v>744</v>
      </c>
      <c r="B498" s="5" t="s">
        <v>27</v>
      </c>
      <c r="C498" s="5" t="s">
        <v>47</v>
      </c>
      <c r="D498" s="5" t="s">
        <v>29</v>
      </c>
      <c r="E498" s="5" t="s">
        <v>370</v>
      </c>
      <c r="F498" s="5" t="s">
        <v>17</v>
      </c>
      <c r="G498" s="5" t="s">
        <v>18</v>
      </c>
      <c r="H498" s="6">
        <v>45362</v>
      </c>
      <c r="I498" s="6">
        <v>45362</v>
      </c>
      <c r="J498" s="5">
        <f t="shared" si="21"/>
        <v>0</v>
      </c>
      <c r="K498" s="5" t="str">
        <f t="shared" si="22"/>
        <v>Met</v>
      </c>
      <c r="L498" s="7" t="str">
        <f t="shared" si="23"/>
        <v>Mar</v>
      </c>
    </row>
    <row r="499" spans="1:12" x14ac:dyDescent="0.3">
      <c r="A499" s="8" t="s">
        <v>745</v>
      </c>
      <c r="B499" s="9" t="s">
        <v>27</v>
      </c>
      <c r="C499" s="9" t="s">
        <v>47</v>
      </c>
      <c r="D499" s="9" t="s">
        <v>15</v>
      </c>
      <c r="E499" s="9" t="s">
        <v>374</v>
      </c>
      <c r="F499" s="9" t="s">
        <v>37</v>
      </c>
      <c r="G499" s="9" t="s">
        <v>18</v>
      </c>
      <c r="H499" s="10">
        <v>45296</v>
      </c>
      <c r="I499" s="10">
        <v>45296</v>
      </c>
      <c r="J499" s="5">
        <f t="shared" si="21"/>
        <v>0</v>
      </c>
      <c r="K499" s="5" t="str">
        <f t="shared" si="22"/>
        <v>Met</v>
      </c>
      <c r="L499" s="7" t="str">
        <f t="shared" si="23"/>
        <v>Jan</v>
      </c>
    </row>
    <row r="500" spans="1:12" x14ac:dyDescent="0.3">
      <c r="A500" s="4" t="s">
        <v>746</v>
      </c>
      <c r="B500" s="5" t="s">
        <v>27</v>
      </c>
      <c r="C500" s="5" t="s">
        <v>47</v>
      </c>
      <c r="D500" s="5" t="s">
        <v>35</v>
      </c>
      <c r="E500" s="5" t="s">
        <v>382</v>
      </c>
      <c r="F500" s="5" t="s">
        <v>17</v>
      </c>
      <c r="G500" s="5" t="s">
        <v>53</v>
      </c>
      <c r="H500" s="6">
        <v>45381</v>
      </c>
      <c r="I500" s="6">
        <v>45381</v>
      </c>
      <c r="J500" s="5">
        <f t="shared" si="21"/>
        <v>0</v>
      </c>
      <c r="K500" s="5" t="str">
        <f t="shared" si="22"/>
        <v>Met</v>
      </c>
      <c r="L500" s="7" t="str">
        <f t="shared" si="23"/>
        <v>Mar</v>
      </c>
    </row>
    <row r="501" spans="1:12" x14ac:dyDescent="0.3">
      <c r="A501" s="8" t="s">
        <v>747</v>
      </c>
      <c r="B501" s="9" t="s">
        <v>27</v>
      </c>
      <c r="C501" s="9" t="s">
        <v>28</v>
      </c>
      <c r="D501" s="9" t="s">
        <v>35</v>
      </c>
      <c r="E501" s="9" t="s">
        <v>406</v>
      </c>
      <c r="F501" s="9" t="s">
        <v>37</v>
      </c>
      <c r="G501" s="9" t="s">
        <v>18</v>
      </c>
      <c r="H501" s="10">
        <v>45402</v>
      </c>
      <c r="I501" s="10">
        <v>45402</v>
      </c>
      <c r="J501" s="5">
        <f t="shared" si="21"/>
        <v>0</v>
      </c>
      <c r="K501" s="5" t="str">
        <f t="shared" si="22"/>
        <v>Met</v>
      </c>
      <c r="L501" s="7" t="str">
        <f t="shared" si="23"/>
        <v>Apr</v>
      </c>
    </row>
    <row r="502" spans="1:12" x14ac:dyDescent="0.3">
      <c r="A502" s="4" t="s">
        <v>748</v>
      </c>
      <c r="B502" s="5" t="s">
        <v>27</v>
      </c>
      <c r="C502" s="5" t="s">
        <v>28</v>
      </c>
      <c r="D502" s="5" t="s">
        <v>22</v>
      </c>
      <c r="E502" s="5" t="s">
        <v>408</v>
      </c>
      <c r="F502" s="5" t="s">
        <v>37</v>
      </c>
      <c r="G502" s="5" t="s">
        <v>25</v>
      </c>
      <c r="H502" s="6">
        <v>45431</v>
      </c>
      <c r="I502" s="6">
        <v>45431</v>
      </c>
      <c r="J502" s="5">
        <f t="shared" si="21"/>
        <v>0</v>
      </c>
      <c r="K502" s="5" t="str">
        <f t="shared" si="22"/>
        <v>Met</v>
      </c>
      <c r="L502" s="7" t="str">
        <f t="shared" si="23"/>
        <v>May</v>
      </c>
    </row>
    <row r="503" spans="1:12" x14ac:dyDescent="0.3">
      <c r="A503" s="8" t="s">
        <v>749</v>
      </c>
      <c r="B503" s="9" t="s">
        <v>27</v>
      </c>
      <c r="C503" s="9" t="s">
        <v>47</v>
      </c>
      <c r="D503" s="9" t="s">
        <v>79</v>
      </c>
      <c r="E503" s="9" t="s">
        <v>410</v>
      </c>
      <c r="F503" s="9" t="s">
        <v>24</v>
      </c>
      <c r="G503" s="9" t="s">
        <v>45</v>
      </c>
      <c r="H503" s="10">
        <v>45336</v>
      </c>
      <c r="I503" s="10">
        <v>45336</v>
      </c>
      <c r="J503" s="5">
        <f t="shared" si="21"/>
        <v>0</v>
      </c>
      <c r="K503" s="5" t="str">
        <f t="shared" si="22"/>
        <v>Met</v>
      </c>
      <c r="L503" s="7" t="str">
        <f t="shared" si="23"/>
        <v>Feb</v>
      </c>
    </row>
    <row r="504" spans="1:12" x14ac:dyDescent="0.3">
      <c r="A504" s="4" t="s">
        <v>750</v>
      </c>
      <c r="B504" s="5" t="s">
        <v>27</v>
      </c>
      <c r="C504" s="5" t="s">
        <v>153</v>
      </c>
      <c r="D504" s="5" t="s">
        <v>86</v>
      </c>
      <c r="E504" s="5" t="s">
        <v>414</v>
      </c>
      <c r="F504" s="5" t="s">
        <v>17</v>
      </c>
      <c r="G504" s="5" t="s">
        <v>18</v>
      </c>
      <c r="H504" s="6">
        <v>45445</v>
      </c>
      <c r="I504" s="6">
        <v>45445</v>
      </c>
      <c r="J504" s="5">
        <f t="shared" si="21"/>
        <v>0</v>
      </c>
      <c r="K504" s="5" t="str">
        <f t="shared" si="22"/>
        <v>Met</v>
      </c>
      <c r="L504" s="7" t="str">
        <f t="shared" si="23"/>
        <v>Jun</v>
      </c>
    </row>
    <row r="505" spans="1:12" x14ac:dyDescent="0.3">
      <c r="A505" s="8" t="s">
        <v>751</v>
      </c>
      <c r="B505" s="9" t="s">
        <v>27</v>
      </c>
      <c r="C505" s="9" t="s">
        <v>47</v>
      </c>
      <c r="D505" s="9" t="s">
        <v>66</v>
      </c>
      <c r="E505" s="9" t="s">
        <v>428</v>
      </c>
      <c r="F505" s="9" t="s">
        <v>37</v>
      </c>
      <c r="G505" s="9" t="s">
        <v>31</v>
      </c>
      <c r="H505" s="10">
        <v>45450</v>
      </c>
      <c r="I505" s="10">
        <v>45450</v>
      </c>
      <c r="J505" s="5">
        <f t="shared" si="21"/>
        <v>0</v>
      </c>
      <c r="K505" s="5" t="str">
        <f t="shared" si="22"/>
        <v>Met</v>
      </c>
      <c r="L505" s="7" t="str">
        <f t="shared" si="23"/>
        <v>Jun</v>
      </c>
    </row>
    <row r="506" spans="1:12" x14ac:dyDescent="0.3">
      <c r="A506" s="4" t="s">
        <v>752</v>
      </c>
      <c r="B506" s="5" t="s">
        <v>27</v>
      </c>
      <c r="C506" s="5" t="s">
        <v>28</v>
      </c>
      <c r="D506" s="5" t="s">
        <v>35</v>
      </c>
      <c r="E506" s="5" t="s">
        <v>430</v>
      </c>
      <c r="F506" s="5" t="s">
        <v>24</v>
      </c>
      <c r="G506" s="5" t="s">
        <v>45</v>
      </c>
      <c r="H506" s="6">
        <v>45292</v>
      </c>
      <c r="I506" s="6">
        <v>45292</v>
      </c>
      <c r="J506" s="5">
        <f t="shared" si="21"/>
        <v>0</v>
      </c>
      <c r="K506" s="5" t="str">
        <f t="shared" si="22"/>
        <v>Met</v>
      </c>
      <c r="L506" s="7" t="str">
        <f t="shared" si="23"/>
        <v>Jan</v>
      </c>
    </row>
    <row r="507" spans="1:12" x14ac:dyDescent="0.3">
      <c r="A507" s="8" t="s">
        <v>753</v>
      </c>
      <c r="B507" s="9" t="s">
        <v>27</v>
      </c>
      <c r="C507" s="9" t="s">
        <v>28</v>
      </c>
      <c r="D507" s="9" t="s">
        <v>35</v>
      </c>
      <c r="E507" s="9" t="s">
        <v>434</v>
      </c>
      <c r="F507" s="9" t="s">
        <v>17</v>
      </c>
      <c r="G507" s="9" t="s">
        <v>42</v>
      </c>
      <c r="H507" s="10">
        <v>45310</v>
      </c>
      <c r="I507" s="10">
        <v>45310</v>
      </c>
      <c r="J507" s="5">
        <f t="shared" si="21"/>
        <v>0</v>
      </c>
      <c r="K507" s="5" t="str">
        <f t="shared" si="22"/>
        <v>Met</v>
      </c>
      <c r="L507" s="7" t="str">
        <f t="shared" si="23"/>
        <v>Jan</v>
      </c>
    </row>
    <row r="508" spans="1:12" x14ac:dyDescent="0.3">
      <c r="A508" s="4" t="s">
        <v>754</v>
      </c>
      <c r="B508" s="13" t="s">
        <v>27</v>
      </c>
      <c r="C508" s="13" t="s">
        <v>28</v>
      </c>
      <c r="D508" s="13" t="s">
        <v>29</v>
      </c>
      <c r="E508" s="13" t="s">
        <v>30</v>
      </c>
      <c r="F508" s="13" t="s">
        <v>24</v>
      </c>
      <c r="G508" s="13" t="s">
        <v>31</v>
      </c>
      <c r="H508" s="7">
        <v>45331</v>
      </c>
      <c r="I508" s="7">
        <v>45331</v>
      </c>
      <c r="J508" s="5">
        <f t="shared" si="21"/>
        <v>0</v>
      </c>
      <c r="K508" s="5" t="str">
        <f t="shared" si="22"/>
        <v>Met</v>
      </c>
      <c r="L508" s="7" t="str">
        <f t="shared" si="23"/>
        <v>Feb</v>
      </c>
    </row>
    <row r="509" spans="1:12" x14ac:dyDescent="0.3">
      <c r="A509" s="8" t="s">
        <v>755</v>
      </c>
      <c r="B509" s="12" t="s">
        <v>27</v>
      </c>
      <c r="C509" s="12" t="s">
        <v>47</v>
      </c>
      <c r="D509" s="12" t="s">
        <v>15</v>
      </c>
      <c r="E509" s="12" t="s">
        <v>48</v>
      </c>
      <c r="F509" s="12" t="s">
        <v>37</v>
      </c>
      <c r="G509" s="12" t="s">
        <v>45</v>
      </c>
      <c r="H509" s="11">
        <v>45314</v>
      </c>
      <c r="I509" s="11">
        <v>45315</v>
      </c>
      <c r="J509" s="5">
        <f t="shared" si="21"/>
        <v>1</v>
      </c>
      <c r="K509" s="5" t="str">
        <f t="shared" si="22"/>
        <v>Not Met</v>
      </c>
      <c r="L509" s="7" t="str">
        <f t="shared" si="23"/>
        <v>Jan</v>
      </c>
    </row>
    <row r="510" spans="1:12" x14ac:dyDescent="0.3">
      <c r="A510" s="4" t="s">
        <v>756</v>
      </c>
      <c r="B510" s="13" t="s">
        <v>27</v>
      </c>
      <c r="C510" s="13" t="s">
        <v>47</v>
      </c>
      <c r="D510" s="13" t="s">
        <v>29</v>
      </c>
      <c r="E510" s="13" t="s">
        <v>50</v>
      </c>
      <c r="F510" s="13" t="s">
        <v>17</v>
      </c>
      <c r="G510" s="13" t="s">
        <v>31</v>
      </c>
      <c r="H510" s="7">
        <v>45400</v>
      </c>
      <c r="I510" s="6">
        <v>45400</v>
      </c>
      <c r="J510" s="5">
        <f t="shared" si="21"/>
        <v>0</v>
      </c>
      <c r="K510" s="5" t="str">
        <f t="shared" si="22"/>
        <v>Met</v>
      </c>
      <c r="L510" s="7" t="str">
        <f t="shared" si="23"/>
        <v>Apr</v>
      </c>
    </row>
    <row r="511" spans="1:12" x14ac:dyDescent="0.3">
      <c r="A511" s="8" t="s">
        <v>757</v>
      </c>
      <c r="B511" s="12" t="s">
        <v>27</v>
      </c>
      <c r="C511" s="12" t="s">
        <v>47</v>
      </c>
      <c r="D511" s="12" t="s">
        <v>35</v>
      </c>
      <c r="E511" s="12" t="s">
        <v>84</v>
      </c>
      <c r="F511" s="12" t="s">
        <v>37</v>
      </c>
      <c r="G511" s="12" t="s">
        <v>18</v>
      </c>
      <c r="H511" s="11">
        <v>45329</v>
      </c>
      <c r="I511" s="11">
        <v>45329</v>
      </c>
      <c r="J511" s="5">
        <f t="shared" si="21"/>
        <v>0</v>
      </c>
      <c r="K511" s="5" t="str">
        <f t="shared" si="22"/>
        <v>Met</v>
      </c>
      <c r="L511" s="7" t="str">
        <f t="shared" si="23"/>
        <v>Feb</v>
      </c>
    </row>
    <row r="512" spans="1:12" x14ac:dyDescent="0.3">
      <c r="A512" s="4" t="s">
        <v>758</v>
      </c>
      <c r="B512" s="13" t="s">
        <v>27</v>
      </c>
      <c r="C512" s="13" t="s">
        <v>47</v>
      </c>
      <c r="D512" s="13" t="s">
        <v>35</v>
      </c>
      <c r="E512" s="13" t="s">
        <v>108</v>
      </c>
      <c r="F512" s="13" t="s">
        <v>37</v>
      </c>
      <c r="G512" s="13" t="s">
        <v>18</v>
      </c>
      <c r="H512" s="7">
        <v>45430</v>
      </c>
      <c r="I512" s="6">
        <v>45430</v>
      </c>
      <c r="J512" s="5">
        <f t="shared" si="21"/>
        <v>0</v>
      </c>
      <c r="K512" s="5" t="str">
        <f t="shared" si="22"/>
        <v>Met</v>
      </c>
      <c r="L512" s="7" t="str">
        <f t="shared" si="23"/>
        <v>May</v>
      </c>
    </row>
    <row r="513" spans="1:12" x14ac:dyDescent="0.3">
      <c r="A513" s="8" t="s">
        <v>759</v>
      </c>
      <c r="B513" s="12" t="s">
        <v>27</v>
      </c>
      <c r="C513" s="12" t="s">
        <v>28</v>
      </c>
      <c r="D513" s="9" t="s">
        <v>35</v>
      </c>
      <c r="E513" s="12" t="s">
        <v>136</v>
      </c>
      <c r="F513" s="12" t="s">
        <v>37</v>
      </c>
      <c r="G513" s="12" t="s">
        <v>42</v>
      </c>
      <c r="H513" s="11">
        <v>45321</v>
      </c>
      <c r="I513" s="11">
        <v>45321</v>
      </c>
      <c r="J513" s="5">
        <f t="shared" si="21"/>
        <v>0</v>
      </c>
      <c r="K513" s="5" t="str">
        <f t="shared" si="22"/>
        <v>Met</v>
      </c>
      <c r="L513" s="7" t="str">
        <f t="shared" si="23"/>
        <v>Jan</v>
      </c>
    </row>
    <row r="514" spans="1:12" x14ac:dyDescent="0.3">
      <c r="A514" s="4" t="s">
        <v>760</v>
      </c>
      <c r="B514" s="13" t="s">
        <v>27</v>
      </c>
      <c r="C514" s="13" t="s">
        <v>28</v>
      </c>
      <c r="D514" s="13" t="s">
        <v>79</v>
      </c>
      <c r="E514" s="13" t="s">
        <v>138</v>
      </c>
      <c r="F514" s="13" t="s">
        <v>37</v>
      </c>
      <c r="G514" s="13" t="s">
        <v>25</v>
      </c>
      <c r="H514" s="7">
        <v>45418</v>
      </c>
      <c r="I514" s="6">
        <v>45418</v>
      </c>
      <c r="J514" s="5">
        <f t="shared" si="21"/>
        <v>0</v>
      </c>
      <c r="K514" s="5" t="str">
        <f t="shared" si="22"/>
        <v>Met</v>
      </c>
      <c r="L514" s="7" t="str">
        <f t="shared" si="23"/>
        <v>May</v>
      </c>
    </row>
    <row r="515" spans="1:12" x14ac:dyDescent="0.3">
      <c r="A515" s="8" t="s">
        <v>761</v>
      </c>
      <c r="B515" s="12" t="s">
        <v>27</v>
      </c>
      <c r="C515" s="12" t="s">
        <v>153</v>
      </c>
      <c r="D515" s="12" t="s">
        <v>22</v>
      </c>
      <c r="E515" s="12" t="s">
        <v>154</v>
      </c>
      <c r="F515" s="12" t="s">
        <v>17</v>
      </c>
      <c r="G515" s="12" t="s">
        <v>42</v>
      </c>
      <c r="H515" s="11">
        <v>45423</v>
      </c>
      <c r="I515" s="10">
        <v>45423</v>
      </c>
      <c r="J515" s="5">
        <f t="shared" ref="J515:J578" si="24">I515-H515</f>
        <v>0</v>
      </c>
      <c r="K515" s="5" t="str">
        <f t="shared" ref="K515:K578" si="25">IF(J515&gt;= 1, "Not Met","Met")</f>
        <v>Met</v>
      </c>
      <c r="L515" s="7" t="str">
        <f t="shared" ref="L515:L578" si="26">TEXT(H515,"MMM")</f>
        <v>May</v>
      </c>
    </row>
    <row r="516" spans="1:12" x14ac:dyDescent="0.3">
      <c r="A516" s="4" t="s">
        <v>762</v>
      </c>
      <c r="B516" s="13" t="s">
        <v>27</v>
      </c>
      <c r="C516" s="13" t="s">
        <v>47</v>
      </c>
      <c r="D516" s="13" t="s">
        <v>35</v>
      </c>
      <c r="E516" s="13" t="s">
        <v>172</v>
      </c>
      <c r="F516" s="13" t="s">
        <v>37</v>
      </c>
      <c r="G516" s="13" t="s">
        <v>31</v>
      </c>
      <c r="H516" s="7">
        <v>45430</v>
      </c>
      <c r="I516" s="6">
        <v>45430</v>
      </c>
      <c r="J516" s="5">
        <f t="shared" si="24"/>
        <v>0</v>
      </c>
      <c r="K516" s="5" t="str">
        <f t="shared" si="25"/>
        <v>Met</v>
      </c>
      <c r="L516" s="7" t="str">
        <f t="shared" si="26"/>
        <v>May</v>
      </c>
    </row>
    <row r="517" spans="1:12" x14ac:dyDescent="0.3">
      <c r="A517" s="8" t="s">
        <v>763</v>
      </c>
      <c r="B517" s="12" t="s">
        <v>27</v>
      </c>
      <c r="C517" s="12" t="s">
        <v>47</v>
      </c>
      <c r="D517" s="12" t="s">
        <v>35</v>
      </c>
      <c r="E517" s="12" t="s">
        <v>178</v>
      </c>
      <c r="F517" s="12" t="s">
        <v>37</v>
      </c>
      <c r="G517" s="12" t="s">
        <v>18</v>
      </c>
      <c r="H517" s="11">
        <v>45421</v>
      </c>
      <c r="I517" s="10">
        <v>45421</v>
      </c>
      <c r="J517" s="5">
        <f t="shared" si="24"/>
        <v>0</v>
      </c>
      <c r="K517" s="5" t="str">
        <f t="shared" si="25"/>
        <v>Met</v>
      </c>
      <c r="L517" s="7" t="str">
        <f t="shared" si="26"/>
        <v>May</v>
      </c>
    </row>
    <row r="518" spans="1:12" x14ac:dyDescent="0.3">
      <c r="A518" s="4" t="s">
        <v>764</v>
      </c>
      <c r="B518" s="13" t="s">
        <v>27</v>
      </c>
      <c r="C518" s="13" t="s">
        <v>153</v>
      </c>
      <c r="D518" s="13" t="s">
        <v>29</v>
      </c>
      <c r="E518" s="13" t="s">
        <v>180</v>
      </c>
      <c r="F518" s="13" t="s">
        <v>37</v>
      </c>
      <c r="G518" s="13" t="s">
        <v>18</v>
      </c>
      <c r="H518" s="7">
        <v>45309</v>
      </c>
      <c r="I518" s="7">
        <v>45309</v>
      </c>
      <c r="J518" s="5">
        <f t="shared" si="24"/>
        <v>0</v>
      </c>
      <c r="K518" s="5" t="str">
        <f t="shared" si="25"/>
        <v>Met</v>
      </c>
      <c r="L518" s="7" t="str">
        <f t="shared" si="26"/>
        <v>Jan</v>
      </c>
    </row>
    <row r="519" spans="1:12" x14ac:dyDescent="0.3">
      <c r="A519" s="8" t="s">
        <v>765</v>
      </c>
      <c r="B519" s="12" t="s">
        <v>27</v>
      </c>
      <c r="C519" s="12" t="s">
        <v>28</v>
      </c>
      <c r="D519" s="12" t="s">
        <v>22</v>
      </c>
      <c r="E519" s="12" t="s">
        <v>184</v>
      </c>
      <c r="F519" s="12" t="s">
        <v>24</v>
      </c>
      <c r="G519" s="12" t="s">
        <v>25</v>
      </c>
      <c r="H519" s="11">
        <v>45406</v>
      </c>
      <c r="I519" s="10">
        <v>45406</v>
      </c>
      <c r="J519" s="5">
        <f t="shared" si="24"/>
        <v>0</v>
      </c>
      <c r="K519" s="5" t="str">
        <f t="shared" si="25"/>
        <v>Met</v>
      </c>
      <c r="L519" s="7" t="str">
        <f t="shared" si="26"/>
        <v>Apr</v>
      </c>
    </row>
    <row r="520" spans="1:12" x14ac:dyDescent="0.3">
      <c r="A520" s="4" t="s">
        <v>766</v>
      </c>
      <c r="B520" s="13" t="s">
        <v>27</v>
      </c>
      <c r="C520" s="13" t="s">
        <v>153</v>
      </c>
      <c r="D520" s="13" t="s">
        <v>15</v>
      </c>
      <c r="E520" s="13" t="s">
        <v>188</v>
      </c>
      <c r="F520" s="13" t="s">
        <v>17</v>
      </c>
      <c r="G520" s="13" t="s">
        <v>42</v>
      </c>
      <c r="H520" s="7">
        <v>45408</v>
      </c>
      <c r="I520" s="6">
        <v>45408</v>
      </c>
      <c r="J520" s="5">
        <f t="shared" si="24"/>
        <v>0</v>
      </c>
      <c r="K520" s="5" t="str">
        <f t="shared" si="25"/>
        <v>Met</v>
      </c>
      <c r="L520" s="7" t="str">
        <f t="shared" si="26"/>
        <v>Apr</v>
      </c>
    </row>
    <row r="521" spans="1:12" x14ac:dyDescent="0.3">
      <c r="A521" s="8" t="s">
        <v>767</v>
      </c>
      <c r="B521" s="12" t="s">
        <v>27</v>
      </c>
      <c r="C521" s="12" t="s">
        <v>153</v>
      </c>
      <c r="D521" s="12" t="s">
        <v>22</v>
      </c>
      <c r="E521" s="12" t="s">
        <v>192</v>
      </c>
      <c r="F521" s="12" t="s">
        <v>17</v>
      </c>
      <c r="G521" s="12" t="s">
        <v>31</v>
      </c>
      <c r="H521" s="11">
        <v>45397</v>
      </c>
      <c r="I521" s="11">
        <v>45397</v>
      </c>
      <c r="J521" s="5">
        <f t="shared" si="24"/>
        <v>0</v>
      </c>
      <c r="K521" s="5" t="str">
        <f t="shared" si="25"/>
        <v>Met</v>
      </c>
      <c r="L521" s="7" t="str">
        <f t="shared" si="26"/>
        <v>Apr</v>
      </c>
    </row>
    <row r="522" spans="1:12" x14ac:dyDescent="0.3">
      <c r="A522" s="4" t="s">
        <v>768</v>
      </c>
      <c r="B522" s="13" t="s">
        <v>27</v>
      </c>
      <c r="C522" s="13" t="s">
        <v>28</v>
      </c>
      <c r="D522" s="13" t="s">
        <v>86</v>
      </c>
      <c r="E522" s="13" t="s">
        <v>206</v>
      </c>
      <c r="F522" s="13" t="s">
        <v>17</v>
      </c>
      <c r="G522" s="13" t="s">
        <v>31</v>
      </c>
      <c r="H522" s="7">
        <v>45416</v>
      </c>
      <c r="I522" s="6">
        <v>45416</v>
      </c>
      <c r="J522" s="5">
        <f t="shared" si="24"/>
        <v>0</v>
      </c>
      <c r="K522" s="5" t="str">
        <f t="shared" si="25"/>
        <v>Met</v>
      </c>
      <c r="L522" s="7" t="str">
        <f t="shared" si="26"/>
        <v>May</v>
      </c>
    </row>
    <row r="523" spans="1:12" x14ac:dyDescent="0.3">
      <c r="A523" s="8" t="s">
        <v>769</v>
      </c>
      <c r="B523" s="12" t="s">
        <v>27</v>
      </c>
      <c r="C523" s="12" t="s">
        <v>153</v>
      </c>
      <c r="D523" s="12" t="s">
        <v>66</v>
      </c>
      <c r="E523" s="12" t="s">
        <v>210</v>
      </c>
      <c r="F523" s="12" t="s">
        <v>17</v>
      </c>
      <c r="G523" s="12" t="s">
        <v>42</v>
      </c>
      <c r="H523" s="11">
        <v>45356</v>
      </c>
      <c r="I523" s="11">
        <v>45356</v>
      </c>
      <c r="J523" s="5">
        <f t="shared" si="24"/>
        <v>0</v>
      </c>
      <c r="K523" s="5" t="str">
        <f t="shared" si="25"/>
        <v>Met</v>
      </c>
      <c r="L523" s="7" t="str">
        <f t="shared" si="26"/>
        <v>Mar</v>
      </c>
    </row>
    <row r="524" spans="1:12" x14ac:dyDescent="0.3">
      <c r="A524" s="4" t="s">
        <v>770</v>
      </c>
      <c r="B524" s="13" t="s">
        <v>27</v>
      </c>
      <c r="C524" s="13" t="s">
        <v>47</v>
      </c>
      <c r="D524" s="13" t="s">
        <v>66</v>
      </c>
      <c r="E524" s="13" t="s">
        <v>218</v>
      </c>
      <c r="F524" s="13" t="s">
        <v>17</v>
      </c>
      <c r="G524" s="13" t="s">
        <v>31</v>
      </c>
      <c r="H524" s="7">
        <v>45377</v>
      </c>
      <c r="I524" s="7">
        <v>45377</v>
      </c>
      <c r="J524" s="5">
        <f t="shared" si="24"/>
        <v>0</v>
      </c>
      <c r="K524" s="5" t="str">
        <f t="shared" si="25"/>
        <v>Met</v>
      </c>
      <c r="L524" s="7" t="str">
        <f t="shared" si="26"/>
        <v>Mar</v>
      </c>
    </row>
    <row r="525" spans="1:12" x14ac:dyDescent="0.3">
      <c r="A525" s="8" t="s">
        <v>771</v>
      </c>
      <c r="B525" s="12" t="s">
        <v>27</v>
      </c>
      <c r="C525" s="12" t="s">
        <v>153</v>
      </c>
      <c r="D525" s="12" t="s">
        <v>35</v>
      </c>
      <c r="E525" s="12" t="s">
        <v>222</v>
      </c>
      <c r="F525" s="12" t="s">
        <v>24</v>
      </c>
      <c r="G525" s="12" t="s">
        <v>25</v>
      </c>
      <c r="H525" s="11">
        <v>45409</v>
      </c>
      <c r="I525" s="10">
        <v>45409</v>
      </c>
      <c r="J525" s="5">
        <f t="shared" si="24"/>
        <v>0</v>
      </c>
      <c r="K525" s="5" t="str">
        <f t="shared" si="25"/>
        <v>Met</v>
      </c>
      <c r="L525" s="7" t="str">
        <f t="shared" si="26"/>
        <v>Apr</v>
      </c>
    </row>
    <row r="526" spans="1:12" x14ac:dyDescent="0.3">
      <c r="A526" s="4" t="s">
        <v>772</v>
      </c>
      <c r="B526" s="13" t="s">
        <v>27</v>
      </c>
      <c r="C526" s="13" t="s">
        <v>153</v>
      </c>
      <c r="D526" s="13" t="s">
        <v>35</v>
      </c>
      <c r="E526" s="13" t="s">
        <v>234</v>
      </c>
      <c r="F526" s="13" t="s">
        <v>37</v>
      </c>
      <c r="G526" s="13" t="s">
        <v>53</v>
      </c>
      <c r="H526" s="7">
        <v>45372</v>
      </c>
      <c r="I526" s="7">
        <v>45372</v>
      </c>
      <c r="J526" s="5">
        <f t="shared" si="24"/>
        <v>0</v>
      </c>
      <c r="K526" s="5" t="str">
        <f t="shared" si="25"/>
        <v>Met</v>
      </c>
      <c r="L526" s="7" t="str">
        <f t="shared" si="26"/>
        <v>Mar</v>
      </c>
    </row>
    <row r="527" spans="1:12" x14ac:dyDescent="0.3">
      <c r="A527" s="8" t="s">
        <v>773</v>
      </c>
      <c r="B527" s="12" t="s">
        <v>27</v>
      </c>
      <c r="C527" s="12" t="s">
        <v>28</v>
      </c>
      <c r="D527" s="12" t="s">
        <v>86</v>
      </c>
      <c r="E527" s="12" t="s">
        <v>244</v>
      </c>
      <c r="F527" s="12" t="s">
        <v>37</v>
      </c>
      <c r="G527" s="12" t="s">
        <v>18</v>
      </c>
      <c r="H527" s="11">
        <v>45356</v>
      </c>
      <c r="I527" s="11">
        <v>45356</v>
      </c>
      <c r="J527" s="5">
        <f t="shared" si="24"/>
        <v>0</v>
      </c>
      <c r="K527" s="5" t="str">
        <f t="shared" si="25"/>
        <v>Met</v>
      </c>
      <c r="L527" s="7" t="str">
        <f t="shared" si="26"/>
        <v>Mar</v>
      </c>
    </row>
    <row r="528" spans="1:12" x14ac:dyDescent="0.3">
      <c r="A528" s="4" t="s">
        <v>774</v>
      </c>
      <c r="B528" s="13" t="s">
        <v>27</v>
      </c>
      <c r="C528" s="13" t="s">
        <v>47</v>
      </c>
      <c r="D528" s="13" t="s">
        <v>86</v>
      </c>
      <c r="E528" s="13" t="s">
        <v>252</v>
      </c>
      <c r="F528" s="13" t="s">
        <v>37</v>
      </c>
      <c r="G528" s="13" t="s">
        <v>25</v>
      </c>
      <c r="H528" s="7">
        <v>45415</v>
      </c>
      <c r="I528" s="6">
        <v>45415</v>
      </c>
      <c r="J528" s="5">
        <f t="shared" si="24"/>
        <v>0</v>
      </c>
      <c r="K528" s="5" t="str">
        <f t="shared" si="25"/>
        <v>Met</v>
      </c>
      <c r="L528" s="7" t="str">
        <f t="shared" si="26"/>
        <v>May</v>
      </c>
    </row>
    <row r="529" spans="1:12" x14ac:dyDescent="0.3">
      <c r="A529" s="8" t="s">
        <v>775</v>
      </c>
      <c r="B529" s="12" t="s">
        <v>27</v>
      </c>
      <c r="C529" s="12" t="s">
        <v>47</v>
      </c>
      <c r="D529" s="12" t="s">
        <v>148</v>
      </c>
      <c r="E529" s="12" t="s">
        <v>258</v>
      </c>
      <c r="F529" s="12" t="s">
        <v>17</v>
      </c>
      <c r="G529" s="12" t="s">
        <v>42</v>
      </c>
      <c r="H529" s="11">
        <v>45412</v>
      </c>
      <c r="I529" s="11">
        <v>45412</v>
      </c>
      <c r="J529" s="5">
        <f t="shared" si="24"/>
        <v>0</v>
      </c>
      <c r="K529" s="5" t="str">
        <f t="shared" si="25"/>
        <v>Met</v>
      </c>
      <c r="L529" s="7" t="str">
        <f t="shared" si="26"/>
        <v>Apr</v>
      </c>
    </row>
    <row r="530" spans="1:12" x14ac:dyDescent="0.3">
      <c r="A530" s="4" t="s">
        <v>776</v>
      </c>
      <c r="B530" s="13" t="s">
        <v>27</v>
      </c>
      <c r="C530" s="13" t="s">
        <v>47</v>
      </c>
      <c r="D530" s="5" t="s">
        <v>35</v>
      </c>
      <c r="E530" s="13" t="s">
        <v>264</v>
      </c>
      <c r="F530" s="13" t="s">
        <v>37</v>
      </c>
      <c r="G530" s="13" t="s">
        <v>25</v>
      </c>
      <c r="H530" s="7">
        <v>45356</v>
      </c>
      <c r="I530" s="6">
        <v>45356</v>
      </c>
      <c r="J530" s="5">
        <f t="shared" si="24"/>
        <v>0</v>
      </c>
      <c r="K530" s="5" t="str">
        <f t="shared" si="25"/>
        <v>Met</v>
      </c>
      <c r="L530" s="7" t="str">
        <f t="shared" si="26"/>
        <v>Mar</v>
      </c>
    </row>
    <row r="531" spans="1:12" x14ac:dyDescent="0.3">
      <c r="A531" s="8" t="s">
        <v>777</v>
      </c>
      <c r="B531" s="12" t="s">
        <v>27</v>
      </c>
      <c r="C531" s="12" t="s">
        <v>28</v>
      </c>
      <c r="D531" s="12" t="s">
        <v>35</v>
      </c>
      <c r="E531" s="12" t="s">
        <v>266</v>
      </c>
      <c r="F531" s="12" t="s">
        <v>37</v>
      </c>
      <c r="G531" s="12" t="s">
        <v>31</v>
      </c>
      <c r="H531" s="11">
        <v>45430</v>
      </c>
      <c r="I531" s="10">
        <v>45430</v>
      </c>
      <c r="J531" s="5">
        <f t="shared" si="24"/>
        <v>0</v>
      </c>
      <c r="K531" s="5" t="str">
        <f t="shared" si="25"/>
        <v>Met</v>
      </c>
      <c r="L531" s="7" t="str">
        <f t="shared" si="26"/>
        <v>May</v>
      </c>
    </row>
    <row r="532" spans="1:12" x14ac:dyDescent="0.3">
      <c r="A532" s="4" t="s">
        <v>778</v>
      </c>
      <c r="B532" s="13" t="s">
        <v>27</v>
      </c>
      <c r="C532" s="13" t="s">
        <v>153</v>
      </c>
      <c r="D532" s="13" t="s">
        <v>35</v>
      </c>
      <c r="E532" s="13" t="s">
        <v>272</v>
      </c>
      <c r="F532" s="13" t="s">
        <v>24</v>
      </c>
      <c r="G532" s="13" t="s">
        <v>45</v>
      </c>
      <c r="H532" s="7">
        <v>45313</v>
      </c>
      <c r="I532" s="7">
        <v>45313</v>
      </c>
      <c r="J532" s="5">
        <f t="shared" si="24"/>
        <v>0</v>
      </c>
      <c r="K532" s="5" t="str">
        <f t="shared" si="25"/>
        <v>Met</v>
      </c>
      <c r="L532" s="7" t="str">
        <f t="shared" si="26"/>
        <v>Jan</v>
      </c>
    </row>
    <row r="533" spans="1:12" x14ac:dyDescent="0.3">
      <c r="A533" s="8" t="s">
        <v>779</v>
      </c>
      <c r="B533" s="12" t="s">
        <v>27</v>
      </c>
      <c r="C533" s="12" t="s">
        <v>28</v>
      </c>
      <c r="D533" s="12" t="s">
        <v>66</v>
      </c>
      <c r="E533" s="12" t="s">
        <v>280</v>
      </c>
      <c r="F533" s="12" t="s">
        <v>24</v>
      </c>
      <c r="G533" s="12" t="s">
        <v>25</v>
      </c>
      <c r="H533" s="11">
        <v>45432</v>
      </c>
      <c r="I533" s="10">
        <v>45432</v>
      </c>
      <c r="J533" s="5">
        <f t="shared" si="24"/>
        <v>0</v>
      </c>
      <c r="K533" s="5" t="str">
        <f t="shared" si="25"/>
        <v>Met</v>
      </c>
      <c r="L533" s="7" t="str">
        <f t="shared" si="26"/>
        <v>May</v>
      </c>
    </row>
    <row r="534" spans="1:12" x14ac:dyDescent="0.3">
      <c r="A534" s="4" t="s">
        <v>780</v>
      </c>
      <c r="B534" s="13" t="s">
        <v>27</v>
      </c>
      <c r="C534" s="13" t="s">
        <v>153</v>
      </c>
      <c r="D534" s="13" t="s">
        <v>79</v>
      </c>
      <c r="E534" s="13" t="s">
        <v>282</v>
      </c>
      <c r="F534" s="13" t="s">
        <v>37</v>
      </c>
      <c r="G534" s="13" t="s">
        <v>53</v>
      </c>
      <c r="H534" s="7">
        <v>45296</v>
      </c>
      <c r="I534" s="7">
        <v>45296</v>
      </c>
      <c r="J534" s="5">
        <f t="shared" si="24"/>
        <v>0</v>
      </c>
      <c r="K534" s="5" t="str">
        <f t="shared" si="25"/>
        <v>Met</v>
      </c>
      <c r="L534" s="7" t="str">
        <f t="shared" si="26"/>
        <v>Jan</v>
      </c>
    </row>
    <row r="535" spans="1:12" x14ac:dyDescent="0.3">
      <c r="A535" s="8" t="s">
        <v>781</v>
      </c>
      <c r="B535" s="12" t="s">
        <v>27</v>
      </c>
      <c r="C535" s="12" t="s">
        <v>28</v>
      </c>
      <c r="D535" s="12" t="s">
        <v>86</v>
      </c>
      <c r="E535" s="12" t="s">
        <v>298</v>
      </c>
      <c r="F535" s="12" t="s">
        <v>24</v>
      </c>
      <c r="G535" s="12" t="s">
        <v>18</v>
      </c>
      <c r="H535" s="11">
        <v>45405</v>
      </c>
      <c r="I535" s="10">
        <v>45405</v>
      </c>
      <c r="J535" s="5">
        <f t="shared" si="24"/>
        <v>0</v>
      </c>
      <c r="K535" s="5" t="str">
        <f t="shared" si="25"/>
        <v>Met</v>
      </c>
      <c r="L535" s="7" t="str">
        <f t="shared" si="26"/>
        <v>Apr</v>
      </c>
    </row>
    <row r="536" spans="1:12" x14ac:dyDescent="0.3">
      <c r="A536" s="4" t="s">
        <v>782</v>
      </c>
      <c r="B536" s="13" t="s">
        <v>27</v>
      </c>
      <c r="C536" s="13" t="s">
        <v>28</v>
      </c>
      <c r="D536" s="13" t="s">
        <v>35</v>
      </c>
      <c r="E536" s="13" t="s">
        <v>302</v>
      </c>
      <c r="F536" s="13" t="s">
        <v>24</v>
      </c>
      <c r="G536" s="13" t="s">
        <v>45</v>
      </c>
      <c r="H536" s="7">
        <v>45414</v>
      </c>
      <c r="I536" s="6">
        <v>45414</v>
      </c>
      <c r="J536" s="5">
        <f t="shared" si="24"/>
        <v>0</v>
      </c>
      <c r="K536" s="5" t="str">
        <f t="shared" si="25"/>
        <v>Met</v>
      </c>
      <c r="L536" s="7" t="str">
        <f t="shared" si="26"/>
        <v>May</v>
      </c>
    </row>
    <row r="537" spans="1:12" x14ac:dyDescent="0.3">
      <c r="A537" s="8" t="s">
        <v>783</v>
      </c>
      <c r="B537" s="12" t="s">
        <v>27</v>
      </c>
      <c r="C537" s="12" t="s">
        <v>47</v>
      </c>
      <c r="D537" s="12" t="s">
        <v>66</v>
      </c>
      <c r="E537" s="12" t="s">
        <v>306</v>
      </c>
      <c r="F537" s="12" t="s">
        <v>17</v>
      </c>
      <c r="G537" s="12" t="s">
        <v>18</v>
      </c>
      <c r="H537" s="11">
        <v>45304</v>
      </c>
      <c r="I537" s="11">
        <v>45304</v>
      </c>
      <c r="J537" s="5">
        <f t="shared" si="24"/>
        <v>0</v>
      </c>
      <c r="K537" s="5" t="str">
        <f t="shared" si="25"/>
        <v>Met</v>
      </c>
      <c r="L537" s="7" t="str">
        <f t="shared" si="26"/>
        <v>Jan</v>
      </c>
    </row>
    <row r="538" spans="1:12" x14ac:dyDescent="0.3">
      <c r="A538" s="4" t="s">
        <v>784</v>
      </c>
      <c r="B538" s="13" t="s">
        <v>27</v>
      </c>
      <c r="C538" s="13" t="s">
        <v>153</v>
      </c>
      <c r="D538" s="13" t="s">
        <v>15</v>
      </c>
      <c r="E538" s="13" t="s">
        <v>312</v>
      </c>
      <c r="F538" s="13" t="s">
        <v>24</v>
      </c>
      <c r="G538" s="13" t="s">
        <v>31</v>
      </c>
      <c r="H538" s="7">
        <v>45302</v>
      </c>
      <c r="I538" s="7">
        <v>45302</v>
      </c>
      <c r="J538" s="5">
        <f t="shared" si="24"/>
        <v>0</v>
      </c>
      <c r="K538" s="5" t="str">
        <f t="shared" si="25"/>
        <v>Met</v>
      </c>
      <c r="L538" s="7" t="str">
        <f t="shared" si="26"/>
        <v>Jan</v>
      </c>
    </row>
    <row r="539" spans="1:12" x14ac:dyDescent="0.3">
      <c r="A539" s="8" t="s">
        <v>785</v>
      </c>
      <c r="B539" s="12" t="s">
        <v>27</v>
      </c>
      <c r="C539" s="12" t="s">
        <v>153</v>
      </c>
      <c r="D539" s="12" t="s">
        <v>79</v>
      </c>
      <c r="E539" s="12" t="s">
        <v>338</v>
      </c>
      <c r="F539" s="12" t="s">
        <v>17</v>
      </c>
      <c r="G539" s="12" t="s">
        <v>18</v>
      </c>
      <c r="H539" s="11">
        <v>45393</v>
      </c>
      <c r="I539" s="10">
        <v>45393</v>
      </c>
      <c r="J539" s="5">
        <f t="shared" si="24"/>
        <v>0</v>
      </c>
      <c r="K539" s="5" t="str">
        <f t="shared" si="25"/>
        <v>Met</v>
      </c>
      <c r="L539" s="7" t="str">
        <f t="shared" si="26"/>
        <v>Apr</v>
      </c>
    </row>
    <row r="540" spans="1:12" x14ac:dyDescent="0.3">
      <c r="A540" s="4" t="s">
        <v>786</v>
      </c>
      <c r="B540" s="13" t="s">
        <v>27</v>
      </c>
      <c r="C540" s="13" t="s">
        <v>47</v>
      </c>
      <c r="D540" s="13" t="s">
        <v>29</v>
      </c>
      <c r="E540" s="13" t="s">
        <v>370</v>
      </c>
      <c r="F540" s="13" t="s">
        <v>17</v>
      </c>
      <c r="G540" s="13" t="s">
        <v>18</v>
      </c>
      <c r="H540" s="7">
        <v>45362</v>
      </c>
      <c r="I540" s="7">
        <v>45362</v>
      </c>
      <c r="J540" s="5">
        <f t="shared" si="24"/>
        <v>0</v>
      </c>
      <c r="K540" s="5" t="str">
        <f t="shared" si="25"/>
        <v>Met</v>
      </c>
      <c r="L540" s="7" t="str">
        <f t="shared" si="26"/>
        <v>Mar</v>
      </c>
    </row>
    <row r="541" spans="1:12" x14ac:dyDescent="0.3">
      <c r="A541" s="8" t="s">
        <v>787</v>
      </c>
      <c r="B541" s="12" t="s">
        <v>27</v>
      </c>
      <c r="C541" s="12" t="s">
        <v>47</v>
      </c>
      <c r="D541" s="12" t="s">
        <v>15</v>
      </c>
      <c r="E541" s="12" t="s">
        <v>374</v>
      </c>
      <c r="F541" s="12" t="s">
        <v>37</v>
      </c>
      <c r="G541" s="12" t="s">
        <v>18</v>
      </c>
      <c r="H541" s="11">
        <v>45296</v>
      </c>
      <c r="I541" s="11">
        <v>45296</v>
      </c>
      <c r="J541" s="5">
        <f t="shared" si="24"/>
        <v>0</v>
      </c>
      <c r="K541" s="5" t="str">
        <f t="shared" si="25"/>
        <v>Met</v>
      </c>
      <c r="L541" s="7" t="str">
        <f t="shared" si="26"/>
        <v>Jan</v>
      </c>
    </row>
    <row r="542" spans="1:12" x14ac:dyDescent="0.3">
      <c r="A542" s="4" t="s">
        <v>788</v>
      </c>
      <c r="B542" s="13" t="s">
        <v>27</v>
      </c>
      <c r="C542" s="13" t="s">
        <v>47</v>
      </c>
      <c r="D542" s="13" t="s">
        <v>35</v>
      </c>
      <c r="E542" s="13" t="s">
        <v>382</v>
      </c>
      <c r="F542" s="13" t="s">
        <v>17</v>
      </c>
      <c r="G542" s="13" t="s">
        <v>53</v>
      </c>
      <c r="H542" s="7">
        <v>45381</v>
      </c>
      <c r="I542" s="7">
        <v>45381</v>
      </c>
      <c r="J542" s="5">
        <f t="shared" si="24"/>
        <v>0</v>
      </c>
      <c r="K542" s="5" t="str">
        <f t="shared" si="25"/>
        <v>Met</v>
      </c>
      <c r="L542" s="7" t="str">
        <f t="shared" si="26"/>
        <v>Mar</v>
      </c>
    </row>
    <row r="543" spans="1:12" x14ac:dyDescent="0.3">
      <c r="A543" s="8" t="s">
        <v>789</v>
      </c>
      <c r="B543" s="12" t="s">
        <v>27</v>
      </c>
      <c r="C543" s="12" t="s">
        <v>28</v>
      </c>
      <c r="D543" s="12" t="s">
        <v>35</v>
      </c>
      <c r="E543" s="12" t="s">
        <v>406</v>
      </c>
      <c r="F543" s="12" t="s">
        <v>37</v>
      </c>
      <c r="G543" s="12" t="s">
        <v>18</v>
      </c>
      <c r="H543" s="11">
        <v>45402</v>
      </c>
      <c r="I543" s="11">
        <v>45402</v>
      </c>
      <c r="J543" s="5">
        <f t="shared" si="24"/>
        <v>0</v>
      </c>
      <c r="K543" s="5" t="str">
        <f t="shared" si="25"/>
        <v>Met</v>
      </c>
      <c r="L543" s="7" t="str">
        <f t="shared" si="26"/>
        <v>Apr</v>
      </c>
    </row>
    <row r="544" spans="1:12" x14ac:dyDescent="0.3">
      <c r="A544" s="4" t="s">
        <v>790</v>
      </c>
      <c r="B544" s="13" t="s">
        <v>27</v>
      </c>
      <c r="C544" s="13" t="s">
        <v>28</v>
      </c>
      <c r="D544" s="13" t="s">
        <v>22</v>
      </c>
      <c r="E544" s="13" t="s">
        <v>408</v>
      </c>
      <c r="F544" s="13" t="s">
        <v>37</v>
      </c>
      <c r="G544" s="13" t="s">
        <v>25</v>
      </c>
      <c r="H544" s="7">
        <v>45431</v>
      </c>
      <c r="I544" s="6">
        <v>45431</v>
      </c>
      <c r="J544" s="5">
        <f t="shared" si="24"/>
        <v>0</v>
      </c>
      <c r="K544" s="5" t="str">
        <f t="shared" si="25"/>
        <v>Met</v>
      </c>
      <c r="L544" s="7" t="str">
        <f t="shared" si="26"/>
        <v>May</v>
      </c>
    </row>
    <row r="545" spans="1:12" x14ac:dyDescent="0.3">
      <c r="A545" s="8" t="s">
        <v>791</v>
      </c>
      <c r="B545" s="12" t="s">
        <v>27</v>
      </c>
      <c r="C545" s="12" t="s">
        <v>47</v>
      </c>
      <c r="D545" s="12" t="s">
        <v>79</v>
      </c>
      <c r="E545" s="12" t="s">
        <v>410</v>
      </c>
      <c r="F545" s="12" t="s">
        <v>24</v>
      </c>
      <c r="G545" s="12" t="s">
        <v>45</v>
      </c>
      <c r="H545" s="11">
        <v>45336</v>
      </c>
      <c r="I545" s="11">
        <v>45336</v>
      </c>
      <c r="J545" s="5">
        <f t="shared" si="24"/>
        <v>0</v>
      </c>
      <c r="K545" s="5" t="str">
        <f t="shared" si="25"/>
        <v>Met</v>
      </c>
      <c r="L545" s="7" t="str">
        <f t="shared" si="26"/>
        <v>Feb</v>
      </c>
    </row>
    <row r="546" spans="1:12" x14ac:dyDescent="0.3">
      <c r="A546" s="4" t="s">
        <v>792</v>
      </c>
      <c r="B546" s="13" t="s">
        <v>27</v>
      </c>
      <c r="C546" s="13" t="s">
        <v>153</v>
      </c>
      <c r="D546" s="13" t="s">
        <v>86</v>
      </c>
      <c r="E546" s="13" t="s">
        <v>414</v>
      </c>
      <c r="F546" s="13" t="s">
        <v>17</v>
      </c>
      <c r="G546" s="13" t="s">
        <v>18</v>
      </c>
      <c r="H546" s="7">
        <v>45445</v>
      </c>
      <c r="I546" s="6">
        <v>45445</v>
      </c>
      <c r="J546" s="5">
        <f t="shared" si="24"/>
        <v>0</v>
      </c>
      <c r="K546" s="5" t="str">
        <f t="shared" si="25"/>
        <v>Met</v>
      </c>
      <c r="L546" s="7" t="str">
        <f t="shared" si="26"/>
        <v>Jun</v>
      </c>
    </row>
    <row r="547" spans="1:12" x14ac:dyDescent="0.3">
      <c r="A547" s="8" t="s">
        <v>793</v>
      </c>
      <c r="B547" s="12" t="s">
        <v>27</v>
      </c>
      <c r="C547" s="12" t="s">
        <v>47</v>
      </c>
      <c r="D547" s="12" t="s">
        <v>66</v>
      </c>
      <c r="E547" s="12" t="s">
        <v>428</v>
      </c>
      <c r="F547" s="12" t="s">
        <v>37</v>
      </c>
      <c r="G547" s="12" t="s">
        <v>31</v>
      </c>
      <c r="H547" s="11">
        <v>45450</v>
      </c>
      <c r="I547" s="10">
        <v>45450</v>
      </c>
      <c r="J547" s="5">
        <f t="shared" si="24"/>
        <v>0</v>
      </c>
      <c r="K547" s="5" t="str">
        <f t="shared" si="25"/>
        <v>Met</v>
      </c>
      <c r="L547" s="7" t="str">
        <f t="shared" si="26"/>
        <v>Jun</v>
      </c>
    </row>
    <row r="548" spans="1:12" x14ac:dyDescent="0.3">
      <c r="A548" s="4" t="s">
        <v>794</v>
      </c>
      <c r="B548" s="13" t="s">
        <v>27</v>
      </c>
      <c r="C548" s="13" t="s">
        <v>28</v>
      </c>
      <c r="D548" s="13" t="s">
        <v>35</v>
      </c>
      <c r="E548" s="13" t="s">
        <v>430</v>
      </c>
      <c r="F548" s="13" t="s">
        <v>24</v>
      </c>
      <c r="G548" s="13" t="s">
        <v>45</v>
      </c>
      <c r="H548" s="7">
        <v>45292</v>
      </c>
      <c r="I548" s="7">
        <v>45292</v>
      </c>
      <c r="J548" s="5">
        <f t="shared" si="24"/>
        <v>0</v>
      </c>
      <c r="K548" s="5" t="str">
        <f t="shared" si="25"/>
        <v>Met</v>
      </c>
      <c r="L548" s="7" t="str">
        <f t="shared" si="26"/>
        <v>Jan</v>
      </c>
    </row>
    <row r="549" spans="1:12" x14ac:dyDescent="0.3">
      <c r="A549" s="8" t="s">
        <v>795</v>
      </c>
      <c r="B549" s="12" t="s">
        <v>27</v>
      </c>
      <c r="C549" s="12" t="s">
        <v>28</v>
      </c>
      <c r="D549" s="12" t="s">
        <v>35</v>
      </c>
      <c r="E549" s="12" t="s">
        <v>434</v>
      </c>
      <c r="F549" s="12" t="s">
        <v>17</v>
      </c>
      <c r="G549" s="12" t="s">
        <v>42</v>
      </c>
      <c r="H549" s="11">
        <v>45310</v>
      </c>
      <c r="I549" s="11">
        <v>45310</v>
      </c>
      <c r="J549" s="5">
        <f t="shared" si="24"/>
        <v>0</v>
      </c>
      <c r="K549" s="5" t="str">
        <f t="shared" si="25"/>
        <v>Met</v>
      </c>
      <c r="L549" s="7" t="str">
        <f t="shared" si="26"/>
        <v>Jan</v>
      </c>
    </row>
    <row r="550" spans="1:12" x14ac:dyDescent="0.3">
      <c r="A550" s="4" t="s">
        <v>796</v>
      </c>
      <c r="B550" s="13" t="s">
        <v>27</v>
      </c>
      <c r="C550" s="13" t="s">
        <v>153</v>
      </c>
      <c r="D550" s="13" t="s">
        <v>35</v>
      </c>
      <c r="E550" s="13" t="s">
        <v>222</v>
      </c>
      <c r="F550" s="13" t="s">
        <v>24</v>
      </c>
      <c r="G550" s="13" t="s">
        <v>25</v>
      </c>
      <c r="H550" s="7">
        <v>45409</v>
      </c>
      <c r="I550" s="6">
        <v>45409</v>
      </c>
      <c r="J550" s="5">
        <f t="shared" si="24"/>
        <v>0</v>
      </c>
      <c r="K550" s="5" t="str">
        <f t="shared" si="25"/>
        <v>Met</v>
      </c>
      <c r="L550" s="7" t="str">
        <f t="shared" si="26"/>
        <v>Apr</v>
      </c>
    </row>
    <row r="551" spans="1:12" x14ac:dyDescent="0.3">
      <c r="A551" s="8" t="s">
        <v>797</v>
      </c>
      <c r="B551" s="12" t="s">
        <v>27</v>
      </c>
      <c r="C551" s="12" t="s">
        <v>153</v>
      </c>
      <c r="D551" s="12" t="s">
        <v>35</v>
      </c>
      <c r="E551" s="12" t="s">
        <v>234</v>
      </c>
      <c r="F551" s="12" t="s">
        <v>37</v>
      </c>
      <c r="G551" s="12" t="s">
        <v>53</v>
      </c>
      <c r="H551" s="11">
        <v>45372</v>
      </c>
      <c r="I551" s="11">
        <v>45372</v>
      </c>
      <c r="J551" s="5">
        <f t="shared" si="24"/>
        <v>0</v>
      </c>
      <c r="K551" s="5" t="str">
        <f t="shared" si="25"/>
        <v>Met</v>
      </c>
      <c r="L551" s="7" t="str">
        <f t="shared" si="26"/>
        <v>Mar</v>
      </c>
    </row>
    <row r="552" spans="1:12" x14ac:dyDescent="0.3">
      <c r="A552" s="4" t="s">
        <v>798</v>
      </c>
      <c r="B552" s="13" t="s">
        <v>27</v>
      </c>
      <c r="C552" s="13" t="s">
        <v>28</v>
      </c>
      <c r="D552" s="13" t="s">
        <v>86</v>
      </c>
      <c r="E552" s="13" t="s">
        <v>244</v>
      </c>
      <c r="F552" s="13" t="s">
        <v>37</v>
      </c>
      <c r="G552" s="13" t="s">
        <v>18</v>
      </c>
      <c r="H552" s="7">
        <v>45356</v>
      </c>
      <c r="I552" s="7">
        <v>45356</v>
      </c>
      <c r="J552" s="5">
        <f t="shared" si="24"/>
        <v>0</v>
      </c>
      <c r="K552" s="5" t="str">
        <f t="shared" si="25"/>
        <v>Met</v>
      </c>
      <c r="L552" s="7" t="str">
        <f t="shared" si="26"/>
        <v>Mar</v>
      </c>
    </row>
    <row r="553" spans="1:12" x14ac:dyDescent="0.3">
      <c r="A553" s="8" t="s">
        <v>799</v>
      </c>
      <c r="B553" s="12" t="s">
        <v>27</v>
      </c>
      <c r="C553" s="12" t="s">
        <v>47</v>
      </c>
      <c r="D553" s="12" t="s">
        <v>86</v>
      </c>
      <c r="E553" s="12" t="s">
        <v>252</v>
      </c>
      <c r="F553" s="12" t="s">
        <v>37</v>
      </c>
      <c r="G553" s="12" t="s">
        <v>25</v>
      </c>
      <c r="H553" s="11">
        <v>45415</v>
      </c>
      <c r="I553" s="10">
        <v>45415</v>
      </c>
      <c r="J553" s="5">
        <f t="shared" si="24"/>
        <v>0</v>
      </c>
      <c r="K553" s="5" t="str">
        <f t="shared" si="25"/>
        <v>Met</v>
      </c>
      <c r="L553" s="7" t="str">
        <f t="shared" si="26"/>
        <v>May</v>
      </c>
    </row>
    <row r="554" spans="1:12" x14ac:dyDescent="0.3">
      <c r="A554" s="4" t="s">
        <v>800</v>
      </c>
      <c r="B554" s="13" t="s">
        <v>27</v>
      </c>
      <c r="C554" s="13" t="s">
        <v>47</v>
      </c>
      <c r="D554" s="13" t="s">
        <v>148</v>
      </c>
      <c r="E554" s="13" t="s">
        <v>258</v>
      </c>
      <c r="F554" s="13" t="s">
        <v>17</v>
      </c>
      <c r="G554" s="13" t="s">
        <v>42</v>
      </c>
      <c r="H554" s="7">
        <v>45412</v>
      </c>
      <c r="I554" s="7">
        <v>45412</v>
      </c>
      <c r="J554" s="5">
        <f t="shared" si="24"/>
        <v>0</v>
      </c>
      <c r="K554" s="5" t="str">
        <f t="shared" si="25"/>
        <v>Met</v>
      </c>
      <c r="L554" s="7" t="str">
        <f t="shared" si="26"/>
        <v>Apr</v>
      </c>
    </row>
    <row r="555" spans="1:12" x14ac:dyDescent="0.3">
      <c r="A555" s="8" t="s">
        <v>801</v>
      </c>
      <c r="B555" s="12" t="s">
        <v>27</v>
      </c>
      <c r="C555" s="12" t="s">
        <v>47</v>
      </c>
      <c r="D555" s="12" t="s">
        <v>29</v>
      </c>
      <c r="E555" s="12" t="s">
        <v>264</v>
      </c>
      <c r="F555" s="12" t="s">
        <v>37</v>
      </c>
      <c r="G555" s="12" t="s">
        <v>25</v>
      </c>
      <c r="H555" s="11">
        <v>45356</v>
      </c>
      <c r="I555" s="10">
        <v>45356</v>
      </c>
      <c r="J555" s="5">
        <f t="shared" si="24"/>
        <v>0</v>
      </c>
      <c r="K555" s="5" t="str">
        <f t="shared" si="25"/>
        <v>Met</v>
      </c>
      <c r="L555" s="7" t="str">
        <f t="shared" si="26"/>
        <v>Mar</v>
      </c>
    </row>
    <row r="556" spans="1:12" x14ac:dyDescent="0.3">
      <c r="A556" s="4" t="s">
        <v>802</v>
      </c>
      <c r="B556" s="13" t="s">
        <v>27</v>
      </c>
      <c r="C556" s="13" t="s">
        <v>28</v>
      </c>
      <c r="D556" s="13" t="s">
        <v>35</v>
      </c>
      <c r="E556" s="13" t="s">
        <v>266</v>
      </c>
      <c r="F556" s="13" t="s">
        <v>37</v>
      </c>
      <c r="G556" s="13" t="s">
        <v>31</v>
      </c>
      <c r="H556" s="7">
        <v>45430</v>
      </c>
      <c r="I556" s="6">
        <v>45430</v>
      </c>
      <c r="J556" s="5">
        <f t="shared" si="24"/>
        <v>0</v>
      </c>
      <c r="K556" s="5" t="str">
        <f t="shared" si="25"/>
        <v>Met</v>
      </c>
      <c r="L556" s="7" t="str">
        <f t="shared" si="26"/>
        <v>May</v>
      </c>
    </row>
    <row r="557" spans="1:12" x14ac:dyDescent="0.3">
      <c r="A557" s="8" t="s">
        <v>803</v>
      </c>
      <c r="B557" s="12" t="s">
        <v>27</v>
      </c>
      <c r="C557" s="12" t="s">
        <v>153</v>
      </c>
      <c r="D557" s="12" t="s">
        <v>35</v>
      </c>
      <c r="E557" s="12" t="s">
        <v>272</v>
      </c>
      <c r="F557" s="12" t="s">
        <v>24</v>
      </c>
      <c r="G557" s="12" t="s">
        <v>45</v>
      </c>
      <c r="H557" s="11">
        <v>45313</v>
      </c>
      <c r="I557" s="11">
        <v>45313</v>
      </c>
      <c r="J557" s="5">
        <f t="shared" si="24"/>
        <v>0</v>
      </c>
      <c r="K557" s="5" t="str">
        <f t="shared" si="25"/>
        <v>Met</v>
      </c>
      <c r="L557" s="7" t="str">
        <f t="shared" si="26"/>
        <v>Jan</v>
      </c>
    </row>
    <row r="558" spans="1:12" x14ac:dyDescent="0.3">
      <c r="A558" s="4" t="s">
        <v>804</v>
      </c>
      <c r="B558" s="13" t="s">
        <v>27</v>
      </c>
      <c r="C558" s="13" t="s">
        <v>28</v>
      </c>
      <c r="D558" s="13" t="s">
        <v>66</v>
      </c>
      <c r="E558" s="13" t="s">
        <v>280</v>
      </c>
      <c r="F558" s="13" t="s">
        <v>24</v>
      </c>
      <c r="G558" s="13" t="s">
        <v>25</v>
      </c>
      <c r="H558" s="7">
        <v>45432</v>
      </c>
      <c r="I558" s="6">
        <v>45432</v>
      </c>
      <c r="J558" s="5">
        <f t="shared" si="24"/>
        <v>0</v>
      </c>
      <c r="K558" s="5" t="str">
        <f t="shared" si="25"/>
        <v>Met</v>
      </c>
      <c r="L558" s="7" t="str">
        <f t="shared" si="26"/>
        <v>May</v>
      </c>
    </row>
    <row r="559" spans="1:12" x14ac:dyDescent="0.3">
      <c r="A559" s="8" t="s">
        <v>805</v>
      </c>
      <c r="B559" s="12" t="s">
        <v>27</v>
      </c>
      <c r="C559" s="12" t="s">
        <v>153</v>
      </c>
      <c r="D559" s="12" t="s">
        <v>79</v>
      </c>
      <c r="E559" s="12" t="s">
        <v>282</v>
      </c>
      <c r="F559" s="12" t="s">
        <v>37</v>
      </c>
      <c r="G559" s="12" t="s">
        <v>53</v>
      </c>
      <c r="H559" s="11">
        <v>45296</v>
      </c>
      <c r="I559" s="11">
        <v>45296</v>
      </c>
      <c r="J559" s="5">
        <f t="shared" si="24"/>
        <v>0</v>
      </c>
      <c r="K559" s="5" t="str">
        <f t="shared" si="25"/>
        <v>Met</v>
      </c>
      <c r="L559" s="7" t="str">
        <f t="shared" si="26"/>
        <v>Jan</v>
      </c>
    </row>
    <row r="560" spans="1:12" x14ac:dyDescent="0.3">
      <c r="A560" s="4" t="s">
        <v>806</v>
      </c>
      <c r="B560" s="13" t="s">
        <v>27</v>
      </c>
      <c r="C560" s="13" t="s">
        <v>28</v>
      </c>
      <c r="D560" s="5" t="s">
        <v>22</v>
      </c>
      <c r="E560" s="13" t="s">
        <v>298</v>
      </c>
      <c r="F560" s="13" t="s">
        <v>24</v>
      </c>
      <c r="G560" s="13" t="s">
        <v>18</v>
      </c>
      <c r="H560" s="7">
        <v>45405</v>
      </c>
      <c r="I560" s="6">
        <v>45405</v>
      </c>
      <c r="J560" s="5">
        <f t="shared" si="24"/>
        <v>0</v>
      </c>
      <c r="K560" s="5" t="str">
        <f t="shared" si="25"/>
        <v>Met</v>
      </c>
      <c r="L560" s="7" t="str">
        <f t="shared" si="26"/>
        <v>Apr</v>
      </c>
    </row>
    <row r="561" spans="1:12" x14ac:dyDescent="0.3">
      <c r="A561" s="8" t="s">
        <v>807</v>
      </c>
      <c r="B561" s="12" t="s">
        <v>27</v>
      </c>
      <c r="C561" s="12" t="s">
        <v>28</v>
      </c>
      <c r="D561" s="12" t="s">
        <v>35</v>
      </c>
      <c r="E561" s="12" t="s">
        <v>302</v>
      </c>
      <c r="F561" s="12" t="s">
        <v>24</v>
      </c>
      <c r="G561" s="12" t="s">
        <v>45</v>
      </c>
      <c r="H561" s="11">
        <v>45414</v>
      </c>
      <c r="I561" s="10">
        <v>45414</v>
      </c>
      <c r="J561" s="5">
        <f t="shared" si="24"/>
        <v>0</v>
      </c>
      <c r="K561" s="5" t="str">
        <f t="shared" si="25"/>
        <v>Met</v>
      </c>
      <c r="L561" s="7" t="str">
        <f t="shared" si="26"/>
        <v>May</v>
      </c>
    </row>
    <row r="562" spans="1:12" x14ac:dyDescent="0.3">
      <c r="A562" s="4" t="s">
        <v>808</v>
      </c>
      <c r="B562" s="13" t="s">
        <v>27</v>
      </c>
      <c r="C562" s="13" t="s">
        <v>47</v>
      </c>
      <c r="D562" s="13" t="s">
        <v>66</v>
      </c>
      <c r="E562" s="13" t="s">
        <v>306</v>
      </c>
      <c r="F562" s="13" t="s">
        <v>17</v>
      </c>
      <c r="G562" s="13" t="s">
        <v>18</v>
      </c>
      <c r="H562" s="7">
        <v>45304</v>
      </c>
      <c r="I562" s="7">
        <v>45304</v>
      </c>
      <c r="J562" s="5">
        <f t="shared" si="24"/>
        <v>0</v>
      </c>
      <c r="K562" s="5" t="str">
        <f t="shared" si="25"/>
        <v>Met</v>
      </c>
      <c r="L562" s="7" t="str">
        <f t="shared" si="26"/>
        <v>Jan</v>
      </c>
    </row>
    <row r="563" spans="1:12" x14ac:dyDescent="0.3">
      <c r="A563" s="8" t="s">
        <v>809</v>
      </c>
      <c r="B563" s="12" t="s">
        <v>27</v>
      </c>
      <c r="C563" s="12" t="s">
        <v>153</v>
      </c>
      <c r="D563" s="12" t="s">
        <v>15</v>
      </c>
      <c r="E563" s="12" t="s">
        <v>312</v>
      </c>
      <c r="F563" s="12" t="s">
        <v>24</v>
      </c>
      <c r="G563" s="12" t="s">
        <v>31</v>
      </c>
      <c r="H563" s="11">
        <v>45302</v>
      </c>
      <c r="I563" s="11">
        <v>45302</v>
      </c>
      <c r="J563" s="5">
        <f t="shared" si="24"/>
        <v>0</v>
      </c>
      <c r="K563" s="5" t="str">
        <f t="shared" si="25"/>
        <v>Met</v>
      </c>
      <c r="L563" s="7" t="str">
        <f t="shared" si="26"/>
        <v>Jan</v>
      </c>
    </row>
    <row r="564" spans="1:12" x14ac:dyDescent="0.3">
      <c r="A564" s="4" t="s">
        <v>810</v>
      </c>
      <c r="B564" s="13" t="s">
        <v>27</v>
      </c>
      <c r="C564" s="13" t="s">
        <v>153</v>
      </c>
      <c r="D564" s="13" t="s">
        <v>79</v>
      </c>
      <c r="E564" s="13" t="s">
        <v>338</v>
      </c>
      <c r="F564" s="13" t="s">
        <v>17</v>
      </c>
      <c r="G564" s="13" t="s">
        <v>18</v>
      </c>
      <c r="H564" s="7">
        <v>45393</v>
      </c>
      <c r="I564" s="6">
        <v>45393</v>
      </c>
      <c r="J564" s="5">
        <f t="shared" si="24"/>
        <v>0</v>
      </c>
      <c r="K564" s="5" t="str">
        <f t="shared" si="25"/>
        <v>Met</v>
      </c>
      <c r="L564" s="7" t="str">
        <f t="shared" si="26"/>
        <v>Apr</v>
      </c>
    </row>
    <row r="565" spans="1:12" x14ac:dyDescent="0.3">
      <c r="A565" s="8" t="s">
        <v>811</v>
      </c>
      <c r="B565" s="9" t="s">
        <v>13</v>
      </c>
      <c r="C565" s="5" t="s">
        <v>14</v>
      </c>
      <c r="D565" s="9" t="s">
        <v>15</v>
      </c>
      <c r="E565" s="9" t="s">
        <v>16</v>
      </c>
      <c r="F565" s="9" t="s">
        <v>17</v>
      </c>
      <c r="G565" s="9" t="s">
        <v>18</v>
      </c>
      <c r="H565" s="10">
        <v>45524</v>
      </c>
      <c r="I565" s="10">
        <v>45524</v>
      </c>
      <c r="J565" s="5">
        <f t="shared" si="24"/>
        <v>0</v>
      </c>
      <c r="K565" s="5" t="str">
        <f t="shared" si="25"/>
        <v>Met</v>
      </c>
      <c r="L565" s="7" t="str">
        <f t="shared" si="26"/>
        <v>Aug</v>
      </c>
    </row>
    <row r="566" spans="1:12" x14ac:dyDescent="0.3">
      <c r="A566" s="4" t="s">
        <v>812</v>
      </c>
      <c r="B566" s="5" t="s">
        <v>20</v>
      </c>
      <c r="C566" s="5" t="s">
        <v>21</v>
      </c>
      <c r="D566" s="5" t="s">
        <v>22</v>
      </c>
      <c r="E566" s="5" t="s">
        <v>23</v>
      </c>
      <c r="F566" s="5" t="s">
        <v>24</v>
      </c>
      <c r="G566" s="5" t="s">
        <v>25</v>
      </c>
      <c r="H566" s="6">
        <v>45628</v>
      </c>
      <c r="I566" s="6">
        <v>45628</v>
      </c>
      <c r="J566" s="5">
        <f t="shared" si="24"/>
        <v>0</v>
      </c>
      <c r="K566" s="5" t="str">
        <f t="shared" si="25"/>
        <v>Met</v>
      </c>
      <c r="L566" s="7" t="str">
        <f t="shared" si="26"/>
        <v>Dec</v>
      </c>
    </row>
    <row r="567" spans="1:12" x14ac:dyDescent="0.3">
      <c r="A567" s="8" t="s">
        <v>813</v>
      </c>
      <c r="B567" s="9" t="s">
        <v>27</v>
      </c>
      <c r="C567" s="9" t="s">
        <v>28</v>
      </c>
      <c r="D567" s="9" t="s">
        <v>29</v>
      </c>
      <c r="E567" s="9" t="s">
        <v>30</v>
      </c>
      <c r="F567" s="9" t="s">
        <v>24</v>
      </c>
      <c r="G567" s="9" t="s">
        <v>31</v>
      </c>
      <c r="H567" s="10">
        <v>45513</v>
      </c>
      <c r="I567" s="10">
        <v>45513</v>
      </c>
      <c r="J567" s="5">
        <f t="shared" si="24"/>
        <v>0</v>
      </c>
      <c r="K567" s="5" t="str">
        <f t="shared" si="25"/>
        <v>Met</v>
      </c>
      <c r="L567" s="7" t="str">
        <f t="shared" si="26"/>
        <v>Aug</v>
      </c>
    </row>
    <row r="568" spans="1:12" x14ac:dyDescent="0.3">
      <c r="A568" s="4" t="s">
        <v>814</v>
      </c>
      <c r="B568" s="5" t="s">
        <v>33</v>
      </c>
      <c r="C568" s="5" t="s">
        <v>34</v>
      </c>
      <c r="D568" s="5" t="s">
        <v>35</v>
      </c>
      <c r="E568" s="5" t="s">
        <v>36</v>
      </c>
      <c r="F568" s="5" t="s">
        <v>37</v>
      </c>
      <c r="G568" s="5" t="s">
        <v>18</v>
      </c>
      <c r="H568" s="6">
        <v>45627</v>
      </c>
      <c r="I568" s="6">
        <v>45627</v>
      </c>
      <c r="J568" s="5">
        <f t="shared" si="24"/>
        <v>0</v>
      </c>
      <c r="K568" s="5" t="str">
        <f t="shared" si="25"/>
        <v>Met</v>
      </c>
      <c r="L568" s="7" t="str">
        <f t="shared" si="26"/>
        <v>Dec</v>
      </c>
    </row>
    <row r="569" spans="1:12" x14ac:dyDescent="0.3">
      <c r="A569" s="8" t="s">
        <v>815</v>
      </c>
      <c r="B569" s="9" t="s">
        <v>39</v>
      </c>
      <c r="C569" s="9" t="s">
        <v>40</v>
      </c>
      <c r="D569" s="9" t="s">
        <v>22</v>
      </c>
      <c r="E569" s="9" t="s">
        <v>41</v>
      </c>
      <c r="F569" s="9" t="s">
        <v>37</v>
      </c>
      <c r="G569" s="9" t="s">
        <v>42</v>
      </c>
      <c r="H569" s="10">
        <v>45486</v>
      </c>
      <c r="I569" s="10">
        <v>45486</v>
      </c>
      <c r="J569" s="5">
        <f t="shared" si="24"/>
        <v>0</v>
      </c>
      <c r="K569" s="5" t="str">
        <f t="shared" si="25"/>
        <v>Met</v>
      </c>
      <c r="L569" s="7" t="str">
        <f t="shared" si="26"/>
        <v>Jul</v>
      </c>
    </row>
    <row r="570" spans="1:12" x14ac:dyDescent="0.3">
      <c r="A570" s="4" t="s">
        <v>816</v>
      </c>
      <c r="B570" s="5" t="s">
        <v>20</v>
      </c>
      <c r="C570" s="5" t="s">
        <v>21</v>
      </c>
      <c r="D570" s="5" t="s">
        <v>15</v>
      </c>
      <c r="E570" s="5" t="s">
        <v>44</v>
      </c>
      <c r="F570" s="5" t="s">
        <v>37</v>
      </c>
      <c r="G570" s="5" t="s">
        <v>45</v>
      </c>
      <c r="H570" s="6">
        <v>45520</v>
      </c>
      <c r="I570" s="6">
        <v>45520</v>
      </c>
      <c r="J570" s="5">
        <f t="shared" si="24"/>
        <v>0</v>
      </c>
      <c r="K570" s="5" t="str">
        <f t="shared" si="25"/>
        <v>Met</v>
      </c>
      <c r="L570" s="7" t="str">
        <f t="shared" si="26"/>
        <v>Aug</v>
      </c>
    </row>
    <row r="571" spans="1:12" x14ac:dyDescent="0.3">
      <c r="A571" s="8" t="s">
        <v>817</v>
      </c>
      <c r="B571" s="9" t="s">
        <v>27</v>
      </c>
      <c r="C571" s="9" t="s">
        <v>47</v>
      </c>
      <c r="D571" s="9" t="s">
        <v>15</v>
      </c>
      <c r="E571" s="9" t="s">
        <v>48</v>
      </c>
      <c r="F571" s="9" t="s">
        <v>37</v>
      </c>
      <c r="G571" s="9" t="s">
        <v>42</v>
      </c>
      <c r="H571" s="10">
        <v>45496</v>
      </c>
      <c r="I571" s="10">
        <f>[1]!Table1[[#This Row],[Open Date]]</f>
        <v>45496</v>
      </c>
      <c r="J571" s="5">
        <f t="shared" si="24"/>
        <v>0</v>
      </c>
      <c r="K571" s="5" t="str">
        <f t="shared" si="25"/>
        <v>Met</v>
      </c>
      <c r="L571" s="7" t="str">
        <f t="shared" si="26"/>
        <v>Jul</v>
      </c>
    </row>
    <row r="572" spans="1:12" x14ac:dyDescent="0.3">
      <c r="A572" s="4" t="s">
        <v>818</v>
      </c>
      <c r="B572" s="5" t="s">
        <v>27</v>
      </c>
      <c r="C572" s="5" t="s">
        <v>47</v>
      </c>
      <c r="D572" s="5" t="s">
        <v>35</v>
      </c>
      <c r="E572" s="5" t="s">
        <v>50</v>
      </c>
      <c r="F572" s="5" t="s">
        <v>17</v>
      </c>
      <c r="G572" s="5" t="s">
        <v>31</v>
      </c>
      <c r="H572" s="6">
        <v>45583</v>
      </c>
      <c r="I572" s="6">
        <v>45583</v>
      </c>
      <c r="J572" s="5">
        <f t="shared" si="24"/>
        <v>0</v>
      </c>
      <c r="K572" s="5" t="str">
        <f t="shared" si="25"/>
        <v>Met</v>
      </c>
      <c r="L572" s="7" t="str">
        <f t="shared" si="26"/>
        <v>Oct</v>
      </c>
    </row>
    <row r="573" spans="1:12" x14ac:dyDescent="0.3">
      <c r="A573" s="8" t="s">
        <v>819</v>
      </c>
      <c r="B573" s="9" t="s">
        <v>13</v>
      </c>
      <c r="C573" s="9" t="s">
        <v>14</v>
      </c>
      <c r="D573" s="9" t="s">
        <v>35</v>
      </c>
      <c r="E573" s="9" t="s">
        <v>52</v>
      </c>
      <c r="F573" s="9" t="s">
        <v>37</v>
      </c>
      <c r="G573" s="9" t="s">
        <v>53</v>
      </c>
      <c r="H573" s="10">
        <v>45612</v>
      </c>
      <c r="I573" s="10">
        <v>45613</v>
      </c>
      <c r="J573" s="5">
        <f t="shared" si="24"/>
        <v>1</v>
      </c>
      <c r="K573" s="5" t="str">
        <f t="shared" si="25"/>
        <v>Not Met</v>
      </c>
      <c r="L573" s="7" t="str">
        <f t="shared" si="26"/>
        <v>Nov</v>
      </c>
    </row>
    <row r="574" spans="1:12" x14ac:dyDescent="0.3">
      <c r="A574" s="4" t="s">
        <v>820</v>
      </c>
      <c r="B574" s="5" t="s">
        <v>33</v>
      </c>
      <c r="C574" s="5" t="s">
        <v>55</v>
      </c>
      <c r="D574" s="5" t="s">
        <v>35</v>
      </c>
      <c r="E574" s="5" t="s">
        <v>56</v>
      </c>
      <c r="F574" s="5" t="s">
        <v>24</v>
      </c>
      <c r="G574" s="5" t="s">
        <v>42</v>
      </c>
      <c r="H574" s="6">
        <v>45567</v>
      </c>
      <c r="I574" s="6">
        <v>45567</v>
      </c>
      <c r="J574" s="5">
        <f t="shared" si="24"/>
        <v>0</v>
      </c>
      <c r="K574" s="5" t="str">
        <f t="shared" si="25"/>
        <v>Met</v>
      </c>
      <c r="L574" s="7" t="str">
        <f t="shared" si="26"/>
        <v>Oct</v>
      </c>
    </row>
    <row r="575" spans="1:12" x14ac:dyDescent="0.3">
      <c r="A575" s="8" t="s">
        <v>821</v>
      </c>
      <c r="B575" s="9" t="s">
        <v>13</v>
      </c>
      <c r="C575" s="9" t="s">
        <v>58</v>
      </c>
      <c r="D575" s="9" t="s">
        <v>22</v>
      </c>
      <c r="E575" s="9" t="s">
        <v>59</v>
      </c>
      <c r="F575" s="9" t="s">
        <v>24</v>
      </c>
      <c r="G575" s="9" t="s">
        <v>31</v>
      </c>
      <c r="H575" s="10">
        <v>45621</v>
      </c>
      <c r="I575" s="10">
        <v>45622</v>
      </c>
      <c r="J575" s="5">
        <f t="shared" si="24"/>
        <v>1</v>
      </c>
      <c r="K575" s="5" t="str">
        <f t="shared" si="25"/>
        <v>Not Met</v>
      </c>
      <c r="L575" s="7" t="str">
        <f t="shared" si="26"/>
        <v>Nov</v>
      </c>
    </row>
    <row r="576" spans="1:12" x14ac:dyDescent="0.3">
      <c r="A576" s="4" t="s">
        <v>822</v>
      </c>
      <c r="B576" s="5" t="s">
        <v>13</v>
      </c>
      <c r="C576" s="5" t="s">
        <v>61</v>
      </c>
      <c r="D576" s="5" t="s">
        <v>35</v>
      </c>
      <c r="E576" s="5" t="s">
        <v>62</v>
      </c>
      <c r="F576" s="5" t="s">
        <v>37</v>
      </c>
      <c r="G576" s="5" t="s">
        <v>45</v>
      </c>
      <c r="H576" s="6">
        <v>45634</v>
      </c>
      <c r="I576" s="6">
        <v>45634</v>
      </c>
      <c r="J576" s="5">
        <f t="shared" si="24"/>
        <v>0</v>
      </c>
      <c r="K576" s="5" t="str">
        <f t="shared" si="25"/>
        <v>Met</v>
      </c>
      <c r="L576" s="7" t="str">
        <f t="shared" si="26"/>
        <v>Dec</v>
      </c>
    </row>
    <row r="577" spans="1:12" x14ac:dyDescent="0.3">
      <c r="A577" s="8" t="s">
        <v>823</v>
      </c>
      <c r="B577" s="9" t="s">
        <v>33</v>
      </c>
      <c r="C577" s="9" t="s">
        <v>34</v>
      </c>
      <c r="D577" s="9" t="s">
        <v>35</v>
      </c>
      <c r="E577" s="9" t="s">
        <v>64</v>
      </c>
      <c r="F577" s="9" t="s">
        <v>24</v>
      </c>
      <c r="G577" s="9" t="s">
        <v>53</v>
      </c>
      <c r="H577" s="10">
        <v>45526</v>
      </c>
      <c r="I577" s="10">
        <v>45526</v>
      </c>
      <c r="J577" s="5">
        <f t="shared" si="24"/>
        <v>0</v>
      </c>
      <c r="K577" s="5" t="str">
        <f t="shared" si="25"/>
        <v>Met</v>
      </c>
      <c r="L577" s="7" t="str">
        <f t="shared" si="26"/>
        <v>Aug</v>
      </c>
    </row>
    <row r="578" spans="1:12" x14ac:dyDescent="0.3">
      <c r="A578" s="4" t="s">
        <v>824</v>
      </c>
      <c r="B578" s="5" t="s">
        <v>13</v>
      </c>
      <c r="C578" s="5" t="s">
        <v>14</v>
      </c>
      <c r="D578" s="5" t="s">
        <v>66</v>
      </c>
      <c r="E578" s="5" t="s">
        <v>67</v>
      </c>
      <c r="F578" s="5" t="s">
        <v>17</v>
      </c>
      <c r="G578" s="5" t="s">
        <v>31</v>
      </c>
      <c r="H578" s="6">
        <v>45524</v>
      </c>
      <c r="I578" s="6">
        <v>45524</v>
      </c>
      <c r="J578" s="5">
        <f t="shared" si="24"/>
        <v>0</v>
      </c>
      <c r="K578" s="5" t="str">
        <f t="shared" si="25"/>
        <v>Met</v>
      </c>
      <c r="L578" s="7" t="str">
        <f t="shared" si="26"/>
        <v>Aug</v>
      </c>
    </row>
    <row r="579" spans="1:12" x14ac:dyDescent="0.3">
      <c r="A579" s="8" t="s">
        <v>825</v>
      </c>
      <c r="B579" s="9" t="s">
        <v>33</v>
      </c>
      <c r="C579" s="9" t="s">
        <v>69</v>
      </c>
      <c r="D579" s="9" t="s">
        <v>66</v>
      </c>
      <c r="E579" s="9" t="s">
        <v>70</v>
      </c>
      <c r="F579" s="9" t="s">
        <v>17</v>
      </c>
      <c r="G579" s="9" t="s">
        <v>18</v>
      </c>
      <c r="H579" s="10">
        <v>45635</v>
      </c>
      <c r="I579" s="10">
        <v>45635</v>
      </c>
      <c r="J579" s="5">
        <f t="shared" ref="J579:J642" si="27">I579-H579</f>
        <v>0</v>
      </c>
      <c r="K579" s="5" t="str">
        <f t="shared" ref="K579:K642" si="28">IF(J579&gt;= 1, "Not Met","Met")</f>
        <v>Met</v>
      </c>
      <c r="L579" s="7" t="str">
        <f t="shared" ref="L579:L642" si="29">TEXT(H579,"MMM")</f>
        <v>Dec</v>
      </c>
    </row>
    <row r="580" spans="1:12" x14ac:dyDescent="0.3">
      <c r="A580" s="4" t="s">
        <v>826</v>
      </c>
      <c r="B580" s="5" t="s">
        <v>13</v>
      </c>
      <c r="C580" s="5" t="s">
        <v>61</v>
      </c>
      <c r="D580" s="5" t="s">
        <v>29</v>
      </c>
      <c r="E580" s="5" t="s">
        <v>72</v>
      </c>
      <c r="F580" s="5" t="s">
        <v>37</v>
      </c>
      <c r="G580" s="5" t="s">
        <v>25</v>
      </c>
      <c r="H580" s="6">
        <v>45478</v>
      </c>
      <c r="I580" s="6">
        <f>[1]!Table1[[#This Row],[Open Date]]</f>
        <v>45478</v>
      </c>
      <c r="J580" s="5">
        <f t="shared" si="27"/>
        <v>0</v>
      </c>
      <c r="K580" s="5" t="str">
        <f t="shared" si="28"/>
        <v>Met</v>
      </c>
      <c r="L580" s="7" t="str">
        <f t="shared" si="29"/>
        <v>Jul</v>
      </c>
    </row>
    <row r="581" spans="1:12" x14ac:dyDescent="0.3">
      <c r="A581" s="8" t="s">
        <v>827</v>
      </c>
      <c r="B581" s="9" t="s">
        <v>13</v>
      </c>
      <c r="C581" s="9" t="s">
        <v>58</v>
      </c>
      <c r="D581" s="9" t="s">
        <v>35</v>
      </c>
      <c r="E581" s="9" t="s">
        <v>74</v>
      </c>
      <c r="F581" s="9" t="s">
        <v>17</v>
      </c>
      <c r="G581" s="9" t="s">
        <v>18</v>
      </c>
      <c r="H581" s="10">
        <v>45545</v>
      </c>
      <c r="I581" s="10">
        <v>45545</v>
      </c>
      <c r="J581" s="5">
        <f t="shared" si="27"/>
        <v>0</v>
      </c>
      <c r="K581" s="5" t="str">
        <f t="shared" si="28"/>
        <v>Met</v>
      </c>
      <c r="L581" s="7" t="str">
        <f t="shared" si="29"/>
        <v>Sep</v>
      </c>
    </row>
    <row r="582" spans="1:12" x14ac:dyDescent="0.3">
      <c r="A582" s="4" t="s">
        <v>828</v>
      </c>
      <c r="B582" s="5" t="s">
        <v>20</v>
      </c>
      <c r="C582" s="5" t="s">
        <v>76</v>
      </c>
      <c r="D582" s="5" t="s">
        <v>35</v>
      </c>
      <c r="E582" s="5" t="s">
        <v>77</v>
      </c>
      <c r="F582" s="5" t="s">
        <v>37</v>
      </c>
      <c r="G582" s="5" t="s">
        <v>18</v>
      </c>
      <c r="H582" s="6">
        <v>45588</v>
      </c>
      <c r="I582" s="6">
        <v>45588</v>
      </c>
      <c r="J582" s="5">
        <f t="shared" si="27"/>
        <v>0</v>
      </c>
      <c r="K582" s="5" t="str">
        <f t="shared" si="28"/>
        <v>Met</v>
      </c>
      <c r="L582" s="7" t="str">
        <f t="shared" si="29"/>
        <v>Oct</v>
      </c>
    </row>
    <row r="583" spans="1:12" x14ac:dyDescent="0.3">
      <c r="A583" s="8" t="s">
        <v>829</v>
      </c>
      <c r="B583" s="9" t="s">
        <v>13</v>
      </c>
      <c r="C583" s="9" t="s">
        <v>14</v>
      </c>
      <c r="D583" s="9" t="s">
        <v>79</v>
      </c>
      <c r="E583" s="9" t="s">
        <v>80</v>
      </c>
      <c r="F583" s="9" t="s">
        <v>17</v>
      </c>
      <c r="G583" s="9" t="s">
        <v>42</v>
      </c>
      <c r="H583" s="10">
        <v>45478</v>
      </c>
      <c r="I583" s="10">
        <v>45478</v>
      </c>
      <c r="J583" s="5">
        <f t="shared" si="27"/>
        <v>0</v>
      </c>
      <c r="K583" s="5" t="str">
        <f t="shared" si="28"/>
        <v>Met</v>
      </c>
      <c r="L583" s="7" t="str">
        <f t="shared" si="29"/>
        <v>Jul</v>
      </c>
    </row>
    <row r="584" spans="1:12" x14ac:dyDescent="0.3">
      <c r="A584" s="4" t="s">
        <v>830</v>
      </c>
      <c r="B584" s="5" t="s">
        <v>13</v>
      </c>
      <c r="C584" s="5" t="s">
        <v>58</v>
      </c>
      <c r="D584" s="5" t="s">
        <v>35</v>
      </c>
      <c r="E584" s="5" t="s">
        <v>82</v>
      </c>
      <c r="F584" s="5" t="s">
        <v>17</v>
      </c>
      <c r="G584" s="5" t="s">
        <v>42</v>
      </c>
      <c r="H584" s="6">
        <v>45508</v>
      </c>
      <c r="I584" s="6">
        <v>45508</v>
      </c>
      <c r="J584" s="5">
        <f t="shared" si="27"/>
        <v>0</v>
      </c>
      <c r="K584" s="5" t="str">
        <f t="shared" si="28"/>
        <v>Met</v>
      </c>
      <c r="L584" s="7" t="str">
        <f t="shared" si="29"/>
        <v>Aug</v>
      </c>
    </row>
    <row r="585" spans="1:12" x14ac:dyDescent="0.3">
      <c r="A585" s="8" t="s">
        <v>831</v>
      </c>
      <c r="B585" s="9" t="s">
        <v>27</v>
      </c>
      <c r="C585" s="9" t="s">
        <v>47</v>
      </c>
      <c r="D585" s="9" t="s">
        <v>35</v>
      </c>
      <c r="E585" s="9" t="s">
        <v>84</v>
      </c>
      <c r="F585" s="9" t="s">
        <v>37</v>
      </c>
      <c r="G585" s="9" t="s">
        <v>18</v>
      </c>
      <c r="H585" s="10">
        <v>45511</v>
      </c>
      <c r="I585" s="10">
        <v>45511</v>
      </c>
      <c r="J585" s="5">
        <f t="shared" si="27"/>
        <v>0</v>
      </c>
      <c r="K585" s="5" t="str">
        <f t="shared" si="28"/>
        <v>Met</v>
      </c>
      <c r="L585" s="7" t="str">
        <f t="shared" si="29"/>
        <v>Aug</v>
      </c>
    </row>
    <row r="586" spans="1:12" x14ac:dyDescent="0.3">
      <c r="A586" s="4" t="s">
        <v>832</v>
      </c>
      <c r="B586" s="5" t="s">
        <v>33</v>
      </c>
      <c r="C586" s="5" t="s">
        <v>34</v>
      </c>
      <c r="D586" s="5" t="s">
        <v>86</v>
      </c>
      <c r="E586" s="5" t="s">
        <v>87</v>
      </c>
      <c r="F586" s="5" t="s">
        <v>37</v>
      </c>
      <c r="G586" s="5" t="s">
        <v>18</v>
      </c>
      <c r="H586" s="6">
        <v>45483</v>
      </c>
      <c r="I586" s="6">
        <v>45483</v>
      </c>
      <c r="J586" s="5">
        <f t="shared" si="27"/>
        <v>0</v>
      </c>
      <c r="K586" s="5" t="str">
        <f t="shared" si="28"/>
        <v>Met</v>
      </c>
      <c r="L586" s="7" t="str">
        <f t="shared" si="29"/>
        <v>Jul</v>
      </c>
    </row>
    <row r="587" spans="1:12" x14ac:dyDescent="0.3">
      <c r="A587" s="8" t="s">
        <v>833</v>
      </c>
      <c r="B587" s="9" t="s">
        <v>33</v>
      </c>
      <c r="C587" s="9" t="s">
        <v>69</v>
      </c>
      <c r="D587" s="9" t="s">
        <v>35</v>
      </c>
      <c r="E587" s="9" t="s">
        <v>89</v>
      </c>
      <c r="F587" s="9" t="s">
        <v>24</v>
      </c>
      <c r="G587" s="9" t="s">
        <v>53</v>
      </c>
      <c r="H587" s="10">
        <v>45597</v>
      </c>
      <c r="I587" s="10">
        <v>45598</v>
      </c>
      <c r="J587" s="5">
        <f t="shared" si="27"/>
        <v>1</v>
      </c>
      <c r="K587" s="5" t="str">
        <f t="shared" si="28"/>
        <v>Not Met</v>
      </c>
      <c r="L587" s="7" t="str">
        <f t="shared" si="29"/>
        <v>Nov</v>
      </c>
    </row>
    <row r="588" spans="1:12" x14ac:dyDescent="0.3">
      <c r="A588" s="4" t="s">
        <v>834</v>
      </c>
      <c r="B588" s="5" t="s">
        <v>13</v>
      </c>
      <c r="C588" s="5" t="s">
        <v>14</v>
      </c>
      <c r="D588" s="5" t="s">
        <v>15</v>
      </c>
      <c r="E588" s="5" t="s">
        <v>91</v>
      </c>
      <c r="F588" s="5" t="s">
        <v>17</v>
      </c>
      <c r="G588" s="5" t="s">
        <v>31</v>
      </c>
      <c r="H588" s="6">
        <v>45561</v>
      </c>
      <c r="I588" s="6">
        <f>[1]!Table1[[#This Row],[Open Date]]+1</f>
        <v>45562</v>
      </c>
      <c r="J588" s="5">
        <f t="shared" si="27"/>
        <v>1</v>
      </c>
      <c r="K588" s="5" t="str">
        <f t="shared" si="28"/>
        <v>Not Met</v>
      </c>
      <c r="L588" s="7" t="str">
        <f t="shared" si="29"/>
        <v>Sep</v>
      </c>
    </row>
    <row r="589" spans="1:12" x14ac:dyDescent="0.3">
      <c r="A589" s="8" t="s">
        <v>835</v>
      </c>
      <c r="B589" s="9" t="s">
        <v>20</v>
      </c>
      <c r="C589" s="9" t="s">
        <v>93</v>
      </c>
      <c r="D589" s="9" t="s">
        <v>66</v>
      </c>
      <c r="E589" s="9" t="s">
        <v>94</v>
      </c>
      <c r="F589" s="9" t="s">
        <v>24</v>
      </c>
      <c r="G589" s="9" t="s">
        <v>25</v>
      </c>
      <c r="H589" s="10">
        <v>45504</v>
      </c>
      <c r="I589" s="10">
        <v>45504</v>
      </c>
      <c r="J589" s="5">
        <f t="shared" si="27"/>
        <v>0</v>
      </c>
      <c r="K589" s="5" t="str">
        <f t="shared" si="28"/>
        <v>Met</v>
      </c>
      <c r="L589" s="7" t="str">
        <f t="shared" si="29"/>
        <v>Jul</v>
      </c>
    </row>
    <row r="590" spans="1:12" x14ac:dyDescent="0.3">
      <c r="A590" s="4" t="s">
        <v>836</v>
      </c>
      <c r="B590" s="5" t="s">
        <v>39</v>
      </c>
      <c r="C590" s="5" t="s">
        <v>96</v>
      </c>
      <c r="D590" s="5" t="s">
        <v>22</v>
      </c>
      <c r="E590" s="5" t="s">
        <v>97</v>
      </c>
      <c r="F590" s="5" t="s">
        <v>37</v>
      </c>
      <c r="G590" s="5" t="s">
        <v>53</v>
      </c>
      <c r="H590" s="6">
        <v>45575</v>
      </c>
      <c r="I590" s="6">
        <v>45575</v>
      </c>
      <c r="J590" s="5">
        <f t="shared" si="27"/>
        <v>0</v>
      </c>
      <c r="K590" s="5" t="str">
        <f t="shared" si="28"/>
        <v>Met</v>
      </c>
      <c r="L590" s="7" t="str">
        <f t="shared" si="29"/>
        <v>Oct</v>
      </c>
    </row>
    <row r="591" spans="1:12" x14ac:dyDescent="0.3">
      <c r="A591" s="8" t="s">
        <v>837</v>
      </c>
      <c r="B591" s="9" t="s">
        <v>39</v>
      </c>
      <c r="C591" s="9" t="s">
        <v>99</v>
      </c>
      <c r="D591" s="9" t="s">
        <v>22</v>
      </c>
      <c r="E591" s="9" t="s">
        <v>100</v>
      </c>
      <c r="F591" s="9" t="s">
        <v>24</v>
      </c>
      <c r="G591" s="9" t="s">
        <v>31</v>
      </c>
      <c r="H591" s="10">
        <v>45497</v>
      </c>
      <c r="I591" s="10">
        <f>[1]!Table1[[#This Row],[Open Date]]</f>
        <v>45497</v>
      </c>
      <c r="J591" s="5">
        <f t="shared" si="27"/>
        <v>0</v>
      </c>
      <c r="K591" s="5" t="str">
        <f t="shared" si="28"/>
        <v>Met</v>
      </c>
      <c r="L591" s="7" t="str">
        <f t="shared" si="29"/>
        <v>Jul</v>
      </c>
    </row>
    <row r="592" spans="1:12" x14ac:dyDescent="0.3">
      <c r="A592" s="4" t="s">
        <v>838</v>
      </c>
      <c r="B592" s="5" t="s">
        <v>20</v>
      </c>
      <c r="C592" s="5" t="s">
        <v>21</v>
      </c>
      <c r="D592" s="5" t="s">
        <v>22</v>
      </c>
      <c r="E592" s="5" t="s">
        <v>102</v>
      </c>
      <c r="F592" s="5" t="s">
        <v>17</v>
      </c>
      <c r="G592" s="5" t="s">
        <v>42</v>
      </c>
      <c r="H592" s="6">
        <v>45483</v>
      </c>
      <c r="I592" s="6">
        <v>45483</v>
      </c>
      <c r="J592" s="5">
        <f t="shared" si="27"/>
        <v>0</v>
      </c>
      <c r="K592" s="5" t="str">
        <f t="shared" si="28"/>
        <v>Met</v>
      </c>
      <c r="L592" s="7" t="str">
        <f t="shared" si="29"/>
        <v>Jul</v>
      </c>
    </row>
    <row r="593" spans="1:12" x14ac:dyDescent="0.3">
      <c r="A593" s="8" t="s">
        <v>839</v>
      </c>
      <c r="B593" s="9" t="s">
        <v>20</v>
      </c>
      <c r="C593" s="9" t="s">
        <v>76</v>
      </c>
      <c r="D593" s="9" t="s">
        <v>29</v>
      </c>
      <c r="E593" s="9" t="s">
        <v>104</v>
      </c>
      <c r="F593" s="9" t="s">
        <v>37</v>
      </c>
      <c r="G593" s="9" t="s">
        <v>45</v>
      </c>
      <c r="H593" s="10">
        <v>45496</v>
      </c>
      <c r="I593" s="10">
        <v>45496</v>
      </c>
      <c r="J593" s="5">
        <f t="shared" si="27"/>
        <v>0</v>
      </c>
      <c r="K593" s="5" t="str">
        <f t="shared" si="28"/>
        <v>Met</v>
      </c>
      <c r="L593" s="7" t="str">
        <f t="shared" si="29"/>
        <v>Jul</v>
      </c>
    </row>
    <row r="594" spans="1:12" x14ac:dyDescent="0.3">
      <c r="A594" s="4" t="s">
        <v>840</v>
      </c>
      <c r="B594" s="5" t="s">
        <v>13</v>
      </c>
      <c r="C594" s="5" t="s">
        <v>14</v>
      </c>
      <c r="D594" s="5" t="s">
        <v>35</v>
      </c>
      <c r="E594" s="5" t="s">
        <v>106</v>
      </c>
      <c r="F594" s="5" t="s">
        <v>17</v>
      </c>
      <c r="G594" s="5" t="s">
        <v>25</v>
      </c>
      <c r="H594" s="6">
        <v>45504</v>
      </c>
      <c r="I594" s="6">
        <v>45504</v>
      </c>
      <c r="J594" s="5">
        <f t="shared" si="27"/>
        <v>0</v>
      </c>
      <c r="K594" s="5" t="str">
        <f t="shared" si="28"/>
        <v>Met</v>
      </c>
      <c r="L594" s="7" t="str">
        <f t="shared" si="29"/>
        <v>Jul</v>
      </c>
    </row>
    <row r="595" spans="1:12" x14ac:dyDescent="0.3">
      <c r="A595" s="8" t="s">
        <v>841</v>
      </c>
      <c r="B595" s="9" t="s">
        <v>27</v>
      </c>
      <c r="C595" s="9" t="s">
        <v>47</v>
      </c>
      <c r="D595" s="9" t="s">
        <v>35</v>
      </c>
      <c r="E595" s="9" t="s">
        <v>108</v>
      </c>
      <c r="F595" s="9" t="s">
        <v>37</v>
      </c>
      <c r="G595" s="9" t="s">
        <v>31</v>
      </c>
      <c r="H595" s="10">
        <v>45614</v>
      </c>
      <c r="I595" s="10">
        <v>45615</v>
      </c>
      <c r="J595" s="5">
        <f t="shared" si="27"/>
        <v>1</v>
      </c>
      <c r="K595" s="5" t="str">
        <f t="shared" si="28"/>
        <v>Not Met</v>
      </c>
      <c r="L595" s="7" t="str">
        <f t="shared" si="29"/>
        <v>Nov</v>
      </c>
    </row>
    <row r="596" spans="1:12" x14ac:dyDescent="0.3">
      <c r="A596" s="4" t="s">
        <v>842</v>
      </c>
      <c r="B596" s="5" t="s">
        <v>13</v>
      </c>
      <c r="C596" s="5" t="s">
        <v>14</v>
      </c>
      <c r="D596" s="5" t="s">
        <v>79</v>
      </c>
      <c r="E596" s="5" t="s">
        <v>110</v>
      </c>
      <c r="F596" s="5" t="s">
        <v>24</v>
      </c>
      <c r="G596" s="5" t="s">
        <v>25</v>
      </c>
      <c r="H596" s="6">
        <v>45512</v>
      </c>
      <c r="I596" s="6">
        <v>45512</v>
      </c>
      <c r="J596" s="5">
        <f t="shared" si="27"/>
        <v>0</v>
      </c>
      <c r="K596" s="5" t="str">
        <f t="shared" si="28"/>
        <v>Met</v>
      </c>
      <c r="L596" s="7" t="str">
        <f t="shared" si="29"/>
        <v>Aug</v>
      </c>
    </row>
    <row r="597" spans="1:12" x14ac:dyDescent="0.3">
      <c r="A597" s="8" t="s">
        <v>843</v>
      </c>
      <c r="B597" s="9" t="s">
        <v>13</v>
      </c>
      <c r="C597" s="9" t="s">
        <v>61</v>
      </c>
      <c r="D597" s="9" t="s">
        <v>66</v>
      </c>
      <c r="E597" s="9" t="s">
        <v>112</v>
      </c>
      <c r="F597" s="9" t="s">
        <v>24</v>
      </c>
      <c r="G597" s="9" t="s">
        <v>42</v>
      </c>
      <c r="H597" s="10">
        <v>45486</v>
      </c>
      <c r="I597" s="10">
        <v>45486</v>
      </c>
      <c r="J597" s="5">
        <f t="shared" si="27"/>
        <v>0</v>
      </c>
      <c r="K597" s="5" t="str">
        <f t="shared" si="28"/>
        <v>Met</v>
      </c>
      <c r="L597" s="7" t="str">
        <f t="shared" si="29"/>
        <v>Jul</v>
      </c>
    </row>
    <row r="598" spans="1:12" x14ac:dyDescent="0.3">
      <c r="A598" s="4" t="s">
        <v>844</v>
      </c>
      <c r="B598" s="5" t="s">
        <v>33</v>
      </c>
      <c r="C598" s="5" t="s">
        <v>34</v>
      </c>
      <c r="D598" s="5" t="s">
        <v>15</v>
      </c>
      <c r="E598" s="5" t="s">
        <v>114</v>
      </c>
      <c r="F598" s="5" t="s">
        <v>24</v>
      </c>
      <c r="G598" s="5" t="s">
        <v>42</v>
      </c>
      <c r="H598" s="6">
        <v>45590</v>
      </c>
      <c r="I598" s="6">
        <v>45591</v>
      </c>
      <c r="J598" s="5">
        <f t="shared" si="27"/>
        <v>1</v>
      </c>
      <c r="K598" s="5" t="str">
        <f t="shared" si="28"/>
        <v>Not Met</v>
      </c>
      <c r="L598" s="7" t="str">
        <f t="shared" si="29"/>
        <v>Oct</v>
      </c>
    </row>
    <row r="599" spans="1:12" x14ac:dyDescent="0.3">
      <c r="A599" s="8" t="s">
        <v>845</v>
      </c>
      <c r="B599" s="9" t="s">
        <v>13</v>
      </c>
      <c r="C599" s="9" t="s">
        <v>58</v>
      </c>
      <c r="D599" s="9" t="s">
        <v>79</v>
      </c>
      <c r="E599" s="9" t="s">
        <v>116</v>
      </c>
      <c r="F599" s="9" t="s">
        <v>37</v>
      </c>
      <c r="G599" s="9" t="s">
        <v>25</v>
      </c>
      <c r="H599" s="10">
        <v>45501</v>
      </c>
      <c r="I599" s="10">
        <v>45501</v>
      </c>
      <c r="J599" s="5">
        <f t="shared" si="27"/>
        <v>0</v>
      </c>
      <c r="K599" s="5" t="str">
        <f t="shared" si="28"/>
        <v>Met</v>
      </c>
      <c r="L599" s="7" t="str">
        <f t="shared" si="29"/>
        <v>Jul</v>
      </c>
    </row>
    <row r="600" spans="1:12" x14ac:dyDescent="0.3">
      <c r="A600" s="4" t="s">
        <v>846</v>
      </c>
      <c r="B600" s="5" t="s">
        <v>33</v>
      </c>
      <c r="C600" s="5" t="s">
        <v>69</v>
      </c>
      <c r="D600" s="5" t="s">
        <v>86</v>
      </c>
      <c r="E600" s="5" t="s">
        <v>118</v>
      </c>
      <c r="F600" s="5" t="s">
        <v>17</v>
      </c>
      <c r="G600" s="5" t="s">
        <v>45</v>
      </c>
      <c r="H600" s="6">
        <v>45542</v>
      </c>
      <c r="I600" s="6">
        <v>45542</v>
      </c>
      <c r="J600" s="5">
        <f t="shared" si="27"/>
        <v>0</v>
      </c>
      <c r="K600" s="5" t="str">
        <f t="shared" si="28"/>
        <v>Met</v>
      </c>
      <c r="L600" s="7" t="str">
        <f t="shared" si="29"/>
        <v>Sep</v>
      </c>
    </row>
    <row r="601" spans="1:12" x14ac:dyDescent="0.3">
      <c r="A601" s="8" t="s">
        <v>847</v>
      </c>
      <c r="B601" s="9" t="s">
        <v>13</v>
      </c>
      <c r="C601" s="9" t="s">
        <v>14</v>
      </c>
      <c r="D601" s="9" t="s">
        <v>35</v>
      </c>
      <c r="E601" s="9" t="s">
        <v>120</v>
      </c>
      <c r="F601" s="9" t="s">
        <v>37</v>
      </c>
      <c r="G601" s="9" t="s">
        <v>42</v>
      </c>
      <c r="H601" s="10">
        <v>45632</v>
      </c>
      <c r="I601" s="10">
        <v>45632</v>
      </c>
      <c r="J601" s="5">
        <f t="shared" si="27"/>
        <v>0</v>
      </c>
      <c r="K601" s="5" t="str">
        <f t="shared" si="28"/>
        <v>Met</v>
      </c>
      <c r="L601" s="7" t="str">
        <f t="shared" si="29"/>
        <v>Dec</v>
      </c>
    </row>
    <row r="602" spans="1:12" x14ac:dyDescent="0.3">
      <c r="A602" s="4" t="s">
        <v>848</v>
      </c>
      <c r="B602" s="5" t="s">
        <v>20</v>
      </c>
      <c r="C602" s="5" t="s">
        <v>76</v>
      </c>
      <c r="D602" s="5" t="s">
        <v>15</v>
      </c>
      <c r="E602" s="5" t="s">
        <v>122</v>
      </c>
      <c r="F602" s="5" t="s">
        <v>17</v>
      </c>
      <c r="G602" s="5" t="s">
        <v>31</v>
      </c>
      <c r="H602" s="6">
        <v>45598</v>
      </c>
      <c r="I602" s="6">
        <v>45598</v>
      </c>
      <c r="J602" s="5">
        <f t="shared" si="27"/>
        <v>0</v>
      </c>
      <c r="K602" s="5" t="str">
        <f t="shared" si="28"/>
        <v>Met</v>
      </c>
      <c r="L602" s="7" t="str">
        <f t="shared" si="29"/>
        <v>Nov</v>
      </c>
    </row>
    <row r="603" spans="1:12" x14ac:dyDescent="0.3">
      <c r="A603" s="8" t="s">
        <v>849</v>
      </c>
      <c r="B603" s="9" t="s">
        <v>20</v>
      </c>
      <c r="C603" s="9" t="s">
        <v>76</v>
      </c>
      <c r="D603" s="9" t="s">
        <v>22</v>
      </c>
      <c r="E603" s="9" t="s">
        <v>124</v>
      </c>
      <c r="F603" s="9" t="s">
        <v>37</v>
      </c>
      <c r="G603" s="9" t="s">
        <v>25</v>
      </c>
      <c r="H603" s="10">
        <v>45508</v>
      </c>
      <c r="I603" s="10">
        <v>45508</v>
      </c>
      <c r="J603" s="5">
        <f t="shared" si="27"/>
        <v>0</v>
      </c>
      <c r="K603" s="5" t="str">
        <f t="shared" si="28"/>
        <v>Met</v>
      </c>
      <c r="L603" s="7" t="str">
        <f t="shared" si="29"/>
        <v>Aug</v>
      </c>
    </row>
    <row r="604" spans="1:12" x14ac:dyDescent="0.3">
      <c r="A604" s="4" t="s">
        <v>850</v>
      </c>
      <c r="B604" s="5" t="s">
        <v>13</v>
      </c>
      <c r="C604" s="5" t="s">
        <v>58</v>
      </c>
      <c r="D604" s="5" t="s">
        <v>66</v>
      </c>
      <c r="E604" s="5" t="s">
        <v>126</v>
      </c>
      <c r="F604" s="5" t="s">
        <v>17</v>
      </c>
      <c r="G604" s="5" t="s">
        <v>18</v>
      </c>
      <c r="H604" s="6">
        <v>45527</v>
      </c>
      <c r="I604" s="6">
        <v>45527</v>
      </c>
      <c r="J604" s="5">
        <f t="shared" si="27"/>
        <v>0</v>
      </c>
      <c r="K604" s="5" t="str">
        <f t="shared" si="28"/>
        <v>Met</v>
      </c>
      <c r="L604" s="7" t="str">
        <f t="shared" si="29"/>
        <v>Aug</v>
      </c>
    </row>
    <row r="605" spans="1:12" x14ac:dyDescent="0.3">
      <c r="A605" s="8" t="s">
        <v>851</v>
      </c>
      <c r="B605" s="9" t="s">
        <v>39</v>
      </c>
      <c r="C605" s="9" t="s">
        <v>99</v>
      </c>
      <c r="D605" s="9" t="s">
        <v>29</v>
      </c>
      <c r="E605" s="9" t="s">
        <v>128</v>
      </c>
      <c r="F605" s="9" t="s">
        <v>37</v>
      </c>
      <c r="G605" s="9" t="s">
        <v>25</v>
      </c>
      <c r="H605" s="10">
        <v>45543</v>
      </c>
      <c r="I605" s="10">
        <f>[1]!Table1[[#This Row],[Open Date]]+1</f>
        <v>45544</v>
      </c>
      <c r="J605" s="5">
        <f t="shared" si="27"/>
        <v>1</v>
      </c>
      <c r="K605" s="5" t="str">
        <f t="shared" si="28"/>
        <v>Not Met</v>
      </c>
      <c r="L605" s="7" t="str">
        <f t="shared" si="29"/>
        <v>Sep</v>
      </c>
    </row>
    <row r="606" spans="1:12" x14ac:dyDescent="0.3">
      <c r="A606" s="4" t="s">
        <v>852</v>
      </c>
      <c r="B606" s="5" t="s">
        <v>39</v>
      </c>
      <c r="C606" s="5" t="s">
        <v>99</v>
      </c>
      <c r="D606" s="5" t="s">
        <v>35</v>
      </c>
      <c r="E606" s="5" t="s">
        <v>130</v>
      </c>
      <c r="F606" s="5" t="s">
        <v>24</v>
      </c>
      <c r="G606" s="5" t="s">
        <v>25</v>
      </c>
      <c r="H606" s="6">
        <v>45580</v>
      </c>
      <c r="I606" s="6">
        <v>45580</v>
      </c>
      <c r="J606" s="5">
        <f t="shared" si="27"/>
        <v>0</v>
      </c>
      <c r="K606" s="5" t="str">
        <f t="shared" si="28"/>
        <v>Met</v>
      </c>
      <c r="L606" s="7" t="str">
        <f t="shared" si="29"/>
        <v>Oct</v>
      </c>
    </row>
    <row r="607" spans="1:12" x14ac:dyDescent="0.3">
      <c r="A607" s="8" t="s">
        <v>853</v>
      </c>
      <c r="B607" s="9" t="str">
        <f>B565</f>
        <v>Asia</v>
      </c>
      <c r="C607" s="9" t="s">
        <v>14</v>
      </c>
      <c r="D607" s="9" t="s">
        <v>29</v>
      </c>
      <c r="E607" s="9" t="s">
        <v>132</v>
      </c>
      <c r="F607" s="9" t="s">
        <v>37</v>
      </c>
      <c r="G607" s="9" t="s">
        <v>18</v>
      </c>
      <c r="H607" s="10">
        <v>45577</v>
      </c>
      <c r="I607" s="10">
        <v>45577</v>
      </c>
      <c r="J607" s="5">
        <f t="shared" si="27"/>
        <v>0</v>
      </c>
      <c r="K607" s="5" t="str">
        <f t="shared" si="28"/>
        <v>Met</v>
      </c>
      <c r="L607" s="7" t="str">
        <f t="shared" si="29"/>
        <v>Oct</v>
      </c>
    </row>
    <row r="608" spans="1:12" x14ac:dyDescent="0.3">
      <c r="A608" s="4" t="s">
        <v>854</v>
      </c>
      <c r="B608" s="5" t="s">
        <v>20</v>
      </c>
      <c r="C608" s="5" t="s">
        <v>21</v>
      </c>
      <c r="D608" s="5" t="s">
        <v>35</v>
      </c>
      <c r="E608" s="5" t="s">
        <v>134</v>
      </c>
      <c r="F608" s="5" t="s">
        <v>24</v>
      </c>
      <c r="G608" s="5" t="s">
        <v>45</v>
      </c>
      <c r="H608" s="6">
        <v>45618</v>
      </c>
      <c r="I608" s="6">
        <v>45619</v>
      </c>
      <c r="J608" s="5">
        <f t="shared" si="27"/>
        <v>1</v>
      </c>
      <c r="K608" s="5" t="str">
        <f t="shared" si="28"/>
        <v>Not Met</v>
      </c>
      <c r="L608" s="7" t="str">
        <f t="shared" si="29"/>
        <v>Nov</v>
      </c>
    </row>
    <row r="609" spans="1:12" x14ac:dyDescent="0.3">
      <c r="A609" s="8" t="s">
        <v>855</v>
      </c>
      <c r="B609" s="9" t="s">
        <v>27</v>
      </c>
      <c r="C609" s="9" t="s">
        <v>28</v>
      </c>
      <c r="D609" s="9" t="s">
        <v>29</v>
      </c>
      <c r="E609" s="9" t="s">
        <v>136</v>
      </c>
      <c r="F609" s="9" t="s">
        <v>37</v>
      </c>
      <c r="G609" s="9" t="s">
        <v>42</v>
      </c>
      <c r="H609" s="10">
        <v>45503</v>
      </c>
      <c r="I609" s="10">
        <v>45503</v>
      </c>
      <c r="J609" s="5">
        <f t="shared" si="27"/>
        <v>0</v>
      </c>
      <c r="K609" s="5" t="str">
        <f t="shared" si="28"/>
        <v>Met</v>
      </c>
      <c r="L609" s="7" t="str">
        <f t="shared" si="29"/>
        <v>Jul</v>
      </c>
    </row>
    <row r="610" spans="1:12" x14ac:dyDescent="0.3">
      <c r="A610" s="4" t="s">
        <v>856</v>
      </c>
      <c r="B610" s="5" t="s">
        <v>27</v>
      </c>
      <c r="C610" s="5" t="s">
        <v>28</v>
      </c>
      <c r="D610" s="5" t="s">
        <v>22</v>
      </c>
      <c r="E610" s="5" t="s">
        <v>138</v>
      </c>
      <c r="F610" s="5" t="s">
        <v>37</v>
      </c>
      <c r="G610" s="5" t="s">
        <v>25</v>
      </c>
      <c r="H610" s="6">
        <v>45602</v>
      </c>
      <c r="I610" s="6">
        <v>45603</v>
      </c>
      <c r="J610" s="5">
        <f t="shared" si="27"/>
        <v>1</v>
      </c>
      <c r="K610" s="5" t="str">
        <f t="shared" si="28"/>
        <v>Not Met</v>
      </c>
      <c r="L610" s="7" t="str">
        <f t="shared" si="29"/>
        <v>Nov</v>
      </c>
    </row>
    <row r="611" spans="1:12" x14ac:dyDescent="0.3">
      <c r="A611" s="8" t="s">
        <v>857</v>
      </c>
      <c r="B611" s="9" t="s">
        <v>13</v>
      </c>
      <c r="C611" s="9" t="s">
        <v>14</v>
      </c>
      <c r="D611" s="9" t="s">
        <v>35</v>
      </c>
      <c r="E611" s="9" t="s">
        <v>140</v>
      </c>
      <c r="F611" s="9" t="s">
        <v>17</v>
      </c>
      <c r="G611" s="9" t="s">
        <v>18</v>
      </c>
      <c r="H611" s="10">
        <v>45623</v>
      </c>
      <c r="I611" s="10">
        <v>45623</v>
      </c>
      <c r="J611" s="5">
        <f t="shared" si="27"/>
        <v>0</v>
      </c>
      <c r="K611" s="5" t="str">
        <f t="shared" si="28"/>
        <v>Met</v>
      </c>
      <c r="L611" s="7" t="str">
        <f t="shared" si="29"/>
        <v>Nov</v>
      </c>
    </row>
    <row r="612" spans="1:12" x14ac:dyDescent="0.3">
      <c r="A612" s="4" t="s">
        <v>858</v>
      </c>
      <c r="B612" s="5" t="s">
        <v>13</v>
      </c>
      <c r="C612" s="5" t="s">
        <v>14</v>
      </c>
      <c r="D612" s="5" t="s">
        <v>35</v>
      </c>
      <c r="E612" s="5" t="s">
        <v>142</v>
      </c>
      <c r="F612" s="5" t="s">
        <v>37</v>
      </c>
      <c r="G612" s="5" t="s">
        <v>45</v>
      </c>
      <c r="H612" s="6">
        <v>45556</v>
      </c>
      <c r="I612" s="6">
        <v>45556</v>
      </c>
      <c r="J612" s="5">
        <f t="shared" si="27"/>
        <v>0</v>
      </c>
      <c r="K612" s="5" t="str">
        <f t="shared" si="28"/>
        <v>Met</v>
      </c>
      <c r="L612" s="7" t="str">
        <f t="shared" si="29"/>
        <v>Sep</v>
      </c>
    </row>
    <row r="613" spans="1:12" x14ac:dyDescent="0.3">
      <c r="A613" s="8" t="s">
        <v>859</v>
      </c>
      <c r="B613" s="9" t="s">
        <v>39</v>
      </c>
      <c r="C613" s="9" t="s">
        <v>96</v>
      </c>
      <c r="D613" s="9" t="s">
        <v>79</v>
      </c>
      <c r="E613" s="9" t="s">
        <v>144</v>
      </c>
      <c r="F613" s="9" t="s">
        <v>37</v>
      </c>
      <c r="G613" s="9" t="s">
        <v>31</v>
      </c>
      <c r="H613" s="10">
        <v>45653</v>
      </c>
      <c r="I613" s="10">
        <v>45653</v>
      </c>
      <c r="J613" s="5">
        <f t="shared" si="27"/>
        <v>0</v>
      </c>
      <c r="K613" s="5" t="str">
        <f t="shared" si="28"/>
        <v>Met</v>
      </c>
      <c r="L613" s="7" t="str">
        <f t="shared" si="29"/>
        <v>Dec</v>
      </c>
    </row>
    <row r="614" spans="1:12" x14ac:dyDescent="0.3">
      <c r="A614" s="4" t="s">
        <v>860</v>
      </c>
      <c r="B614" s="5" t="s">
        <v>39</v>
      </c>
      <c r="C614" s="5" t="s">
        <v>40</v>
      </c>
      <c r="D614" s="5" t="s">
        <v>29</v>
      </c>
      <c r="E614" s="5" t="s">
        <v>146</v>
      </c>
      <c r="F614" s="5" t="s">
        <v>37</v>
      </c>
      <c r="G614" s="5" t="s">
        <v>31</v>
      </c>
      <c r="H614" s="6">
        <v>45573</v>
      </c>
      <c r="I614" s="6">
        <v>45573</v>
      </c>
      <c r="J614" s="5">
        <f t="shared" si="27"/>
        <v>0</v>
      </c>
      <c r="K614" s="5" t="str">
        <f t="shared" si="28"/>
        <v>Met</v>
      </c>
      <c r="L614" s="7" t="str">
        <f t="shared" si="29"/>
        <v>Oct</v>
      </c>
    </row>
    <row r="615" spans="1:12" x14ac:dyDescent="0.3">
      <c r="A615" s="8" t="s">
        <v>861</v>
      </c>
      <c r="B615" s="9" t="s">
        <v>39</v>
      </c>
      <c r="C615" s="9" t="s">
        <v>99</v>
      </c>
      <c r="D615" s="9" t="s">
        <v>148</v>
      </c>
      <c r="E615" s="9" t="s">
        <v>149</v>
      </c>
      <c r="F615" s="9" t="s">
        <v>37</v>
      </c>
      <c r="G615" s="9" t="s">
        <v>18</v>
      </c>
      <c r="H615" s="10">
        <v>45474</v>
      </c>
      <c r="I615" s="10">
        <v>45474</v>
      </c>
      <c r="J615" s="5">
        <f t="shared" si="27"/>
        <v>0</v>
      </c>
      <c r="K615" s="5" t="str">
        <f t="shared" si="28"/>
        <v>Met</v>
      </c>
      <c r="L615" s="7" t="str">
        <f t="shared" si="29"/>
        <v>Jul</v>
      </c>
    </row>
    <row r="616" spans="1:12" x14ac:dyDescent="0.3">
      <c r="A616" s="4" t="s">
        <v>862</v>
      </c>
      <c r="B616" s="5" t="s">
        <v>13</v>
      </c>
      <c r="C616" s="5" t="s">
        <v>14</v>
      </c>
      <c r="D616" s="5" t="s">
        <v>86</v>
      </c>
      <c r="E616" s="5" t="s">
        <v>151</v>
      </c>
      <c r="F616" s="5" t="s">
        <v>17</v>
      </c>
      <c r="G616" s="5" t="s">
        <v>45</v>
      </c>
      <c r="H616" s="6">
        <v>45635</v>
      </c>
      <c r="I616" s="6">
        <v>45635</v>
      </c>
      <c r="J616" s="5">
        <f t="shared" si="27"/>
        <v>0</v>
      </c>
      <c r="K616" s="5" t="str">
        <f t="shared" si="28"/>
        <v>Met</v>
      </c>
      <c r="L616" s="7" t="str">
        <f t="shared" si="29"/>
        <v>Dec</v>
      </c>
    </row>
    <row r="617" spans="1:12" x14ac:dyDescent="0.3">
      <c r="A617" s="8" t="s">
        <v>863</v>
      </c>
      <c r="B617" s="9" t="s">
        <v>27</v>
      </c>
      <c r="C617" s="9" t="s">
        <v>153</v>
      </c>
      <c r="D617" s="9" t="s">
        <v>22</v>
      </c>
      <c r="E617" s="9" t="s">
        <v>154</v>
      </c>
      <c r="F617" s="9" t="s">
        <v>17</v>
      </c>
      <c r="G617" s="9" t="s">
        <v>42</v>
      </c>
      <c r="H617" s="10">
        <v>45607</v>
      </c>
      <c r="I617" s="10">
        <v>45607</v>
      </c>
      <c r="J617" s="5">
        <f t="shared" si="27"/>
        <v>0</v>
      </c>
      <c r="K617" s="5" t="str">
        <f t="shared" si="28"/>
        <v>Met</v>
      </c>
      <c r="L617" s="7" t="str">
        <f t="shared" si="29"/>
        <v>Nov</v>
      </c>
    </row>
    <row r="618" spans="1:12" x14ac:dyDescent="0.3">
      <c r="A618" s="4" t="s">
        <v>864</v>
      </c>
      <c r="B618" s="5" t="s">
        <v>13</v>
      </c>
      <c r="C618" s="5" t="s">
        <v>14</v>
      </c>
      <c r="D618" s="5" t="s">
        <v>29</v>
      </c>
      <c r="E618" s="5" t="s">
        <v>156</v>
      </c>
      <c r="F618" s="5" t="s">
        <v>17</v>
      </c>
      <c r="G618" s="5" t="s">
        <v>18</v>
      </c>
      <c r="H618" s="6">
        <v>45588</v>
      </c>
      <c r="I618" s="6">
        <v>45588</v>
      </c>
      <c r="J618" s="5">
        <f t="shared" si="27"/>
        <v>0</v>
      </c>
      <c r="K618" s="5" t="str">
        <f t="shared" si="28"/>
        <v>Met</v>
      </c>
      <c r="L618" s="7" t="str">
        <f t="shared" si="29"/>
        <v>Oct</v>
      </c>
    </row>
    <row r="619" spans="1:12" x14ac:dyDescent="0.3">
      <c r="A619" s="8" t="s">
        <v>865</v>
      </c>
      <c r="B619" s="9" t="s">
        <v>20</v>
      </c>
      <c r="C619" s="9" t="s">
        <v>76</v>
      </c>
      <c r="D619" s="9" t="s">
        <v>35</v>
      </c>
      <c r="E619" s="9" t="s">
        <v>158</v>
      </c>
      <c r="F619" s="9" t="s">
        <v>37</v>
      </c>
      <c r="G619" s="9" t="s">
        <v>31</v>
      </c>
      <c r="H619" s="10">
        <v>45607</v>
      </c>
      <c r="I619" s="10">
        <v>45607</v>
      </c>
      <c r="J619" s="5">
        <f t="shared" si="27"/>
        <v>0</v>
      </c>
      <c r="K619" s="5" t="str">
        <f t="shared" si="28"/>
        <v>Met</v>
      </c>
      <c r="L619" s="7" t="str">
        <f t="shared" si="29"/>
        <v>Nov</v>
      </c>
    </row>
    <row r="620" spans="1:12" x14ac:dyDescent="0.3">
      <c r="A620" s="4" t="s">
        <v>866</v>
      </c>
      <c r="B620" s="5" t="s">
        <v>33</v>
      </c>
      <c r="C620" s="5" t="s">
        <v>69</v>
      </c>
      <c r="D620" s="5" t="s">
        <v>79</v>
      </c>
      <c r="E620" s="5" t="s">
        <v>160</v>
      </c>
      <c r="F620" s="5" t="s">
        <v>17</v>
      </c>
      <c r="G620" s="5" t="s">
        <v>53</v>
      </c>
      <c r="H620" s="6">
        <v>45486</v>
      </c>
      <c r="I620" s="6">
        <f>[1]!Table1[[#This Row],[Open Date]]</f>
        <v>45486</v>
      </c>
      <c r="J620" s="5">
        <f t="shared" si="27"/>
        <v>0</v>
      </c>
      <c r="K620" s="5" t="str">
        <f t="shared" si="28"/>
        <v>Met</v>
      </c>
      <c r="L620" s="7" t="str">
        <f t="shared" si="29"/>
        <v>Jul</v>
      </c>
    </row>
    <row r="621" spans="1:12" x14ac:dyDescent="0.3">
      <c r="A621" s="8" t="s">
        <v>867</v>
      </c>
      <c r="B621" s="9" t="s">
        <v>33</v>
      </c>
      <c r="C621" s="9" t="s">
        <v>69</v>
      </c>
      <c r="D621" s="9" t="s">
        <v>66</v>
      </c>
      <c r="E621" s="9" t="s">
        <v>162</v>
      </c>
      <c r="F621" s="9" t="s">
        <v>24</v>
      </c>
      <c r="G621" s="9" t="s">
        <v>45</v>
      </c>
      <c r="H621" s="10">
        <v>45615</v>
      </c>
      <c r="I621" s="10">
        <v>45615</v>
      </c>
      <c r="J621" s="5">
        <f t="shared" si="27"/>
        <v>0</v>
      </c>
      <c r="K621" s="5" t="str">
        <f t="shared" si="28"/>
        <v>Met</v>
      </c>
      <c r="L621" s="7" t="str">
        <f t="shared" si="29"/>
        <v>Nov</v>
      </c>
    </row>
    <row r="622" spans="1:12" x14ac:dyDescent="0.3">
      <c r="A622" s="4" t="s">
        <v>868</v>
      </c>
      <c r="B622" s="5" t="s">
        <v>13</v>
      </c>
      <c r="C622" s="5" t="s">
        <v>58</v>
      </c>
      <c r="D622" s="5" t="s">
        <v>86</v>
      </c>
      <c r="E622" s="5" t="s">
        <v>164</v>
      </c>
      <c r="F622" s="5" t="s">
        <v>17</v>
      </c>
      <c r="G622" s="5" t="s">
        <v>45</v>
      </c>
      <c r="H622" s="6">
        <v>45579</v>
      </c>
      <c r="I622" s="6">
        <v>45579</v>
      </c>
      <c r="J622" s="5">
        <f t="shared" si="27"/>
        <v>0</v>
      </c>
      <c r="K622" s="5" t="str">
        <f t="shared" si="28"/>
        <v>Met</v>
      </c>
      <c r="L622" s="7" t="str">
        <f t="shared" si="29"/>
        <v>Oct</v>
      </c>
    </row>
    <row r="623" spans="1:12" x14ac:dyDescent="0.3">
      <c r="A623" s="8" t="s">
        <v>869</v>
      </c>
      <c r="B623" s="9" t="s">
        <v>33</v>
      </c>
      <c r="C623" s="9" t="s">
        <v>55</v>
      </c>
      <c r="D623" s="9" t="s">
        <v>35</v>
      </c>
      <c r="E623" s="9" t="s">
        <v>166</v>
      </c>
      <c r="F623" s="9" t="s">
        <v>24</v>
      </c>
      <c r="G623" s="9" t="s">
        <v>53</v>
      </c>
      <c r="H623" s="10">
        <v>45572</v>
      </c>
      <c r="I623" s="10">
        <v>45573</v>
      </c>
      <c r="J623" s="5">
        <f t="shared" si="27"/>
        <v>1</v>
      </c>
      <c r="K623" s="5" t="str">
        <f t="shared" si="28"/>
        <v>Not Met</v>
      </c>
      <c r="L623" s="7" t="str">
        <f t="shared" si="29"/>
        <v>Oct</v>
      </c>
    </row>
    <row r="624" spans="1:12" x14ac:dyDescent="0.3">
      <c r="A624" s="4" t="s">
        <v>870</v>
      </c>
      <c r="B624" s="5" t="s">
        <v>20</v>
      </c>
      <c r="C624" s="5" t="s">
        <v>76</v>
      </c>
      <c r="D624" s="5" t="s">
        <v>22</v>
      </c>
      <c r="E624" s="5" t="s">
        <v>168</v>
      </c>
      <c r="F624" s="5" t="s">
        <v>37</v>
      </c>
      <c r="G624" s="5" t="s">
        <v>45</v>
      </c>
      <c r="H624" s="6">
        <v>45600</v>
      </c>
      <c r="I624" s="6">
        <v>45600</v>
      </c>
      <c r="J624" s="5">
        <f t="shared" si="27"/>
        <v>0</v>
      </c>
      <c r="K624" s="5" t="str">
        <f t="shared" si="28"/>
        <v>Met</v>
      </c>
      <c r="L624" s="7" t="str">
        <f t="shared" si="29"/>
        <v>Nov</v>
      </c>
    </row>
    <row r="625" spans="1:12" x14ac:dyDescent="0.3">
      <c r="A625" s="8" t="s">
        <v>871</v>
      </c>
      <c r="B625" s="9" t="s">
        <v>13</v>
      </c>
      <c r="C625" s="9" t="s">
        <v>14</v>
      </c>
      <c r="D625" s="9" t="s">
        <v>35</v>
      </c>
      <c r="E625" s="9" t="s">
        <v>170</v>
      </c>
      <c r="F625" s="9" t="s">
        <v>17</v>
      </c>
      <c r="G625" s="9" t="s">
        <v>45</v>
      </c>
      <c r="H625" s="10">
        <v>45524</v>
      </c>
      <c r="I625" s="10">
        <v>45525</v>
      </c>
      <c r="J625" s="5">
        <f t="shared" si="27"/>
        <v>1</v>
      </c>
      <c r="K625" s="5" t="str">
        <f t="shared" si="28"/>
        <v>Not Met</v>
      </c>
      <c r="L625" s="7" t="str">
        <f t="shared" si="29"/>
        <v>Aug</v>
      </c>
    </row>
    <row r="626" spans="1:12" x14ac:dyDescent="0.3">
      <c r="A626" s="4" t="s">
        <v>872</v>
      </c>
      <c r="B626" s="5" t="s">
        <v>27</v>
      </c>
      <c r="C626" s="5" t="s">
        <v>47</v>
      </c>
      <c r="D626" s="5" t="s">
        <v>35</v>
      </c>
      <c r="E626" s="5" t="s">
        <v>172</v>
      </c>
      <c r="F626" s="5" t="s">
        <v>37</v>
      </c>
      <c r="G626" s="5" t="s">
        <v>31</v>
      </c>
      <c r="H626" s="6">
        <v>45614</v>
      </c>
      <c r="I626" s="6">
        <v>45614</v>
      </c>
      <c r="J626" s="5">
        <f t="shared" si="27"/>
        <v>0</v>
      </c>
      <c r="K626" s="5" t="str">
        <f t="shared" si="28"/>
        <v>Met</v>
      </c>
      <c r="L626" s="7" t="str">
        <f t="shared" si="29"/>
        <v>Nov</v>
      </c>
    </row>
    <row r="627" spans="1:12" x14ac:dyDescent="0.3">
      <c r="A627" s="8" t="s">
        <v>873</v>
      </c>
      <c r="B627" s="9" t="s">
        <v>13</v>
      </c>
      <c r="C627" s="9" t="s">
        <v>58</v>
      </c>
      <c r="D627" s="9" t="s">
        <v>79</v>
      </c>
      <c r="E627" s="9" t="s">
        <v>174</v>
      </c>
      <c r="F627" s="9" t="s">
        <v>24</v>
      </c>
      <c r="G627" s="9" t="s">
        <v>53</v>
      </c>
      <c r="H627" s="10">
        <v>45573</v>
      </c>
      <c r="I627" s="10">
        <v>45573</v>
      </c>
      <c r="J627" s="5">
        <f t="shared" si="27"/>
        <v>0</v>
      </c>
      <c r="K627" s="5" t="str">
        <f t="shared" si="28"/>
        <v>Met</v>
      </c>
      <c r="L627" s="7" t="str">
        <f t="shared" si="29"/>
        <v>Oct</v>
      </c>
    </row>
    <row r="628" spans="1:12" x14ac:dyDescent="0.3">
      <c r="A628" s="4" t="s">
        <v>874</v>
      </c>
      <c r="B628" s="5" t="s">
        <v>13</v>
      </c>
      <c r="C628" s="5" t="s">
        <v>61</v>
      </c>
      <c r="D628" s="5" t="s">
        <v>22</v>
      </c>
      <c r="E628" s="5" t="s">
        <v>176</v>
      </c>
      <c r="F628" s="5" t="s">
        <v>24</v>
      </c>
      <c r="G628" s="5" t="s">
        <v>45</v>
      </c>
      <c r="H628" s="6">
        <v>45536</v>
      </c>
      <c r="I628" s="6">
        <v>45536</v>
      </c>
      <c r="J628" s="5">
        <f t="shared" si="27"/>
        <v>0</v>
      </c>
      <c r="K628" s="5" t="str">
        <f t="shared" si="28"/>
        <v>Met</v>
      </c>
      <c r="L628" s="7" t="str">
        <f t="shared" si="29"/>
        <v>Sep</v>
      </c>
    </row>
    <row r="629" spans="1:12" x14ac:dyDescent="0.3">
      <c r="A629" s="8" t="s">
        <v>875</v>
      </c>
      <c r="B629" s="9" t="s">
        <v>27</v>
      </c>
      <c r="C629" s="9" t="s">
        <v>47</v>
      </c>
      <c r="D629" s="9" t="s">
        <v>35</v>
      </c>
      <c r="E629" s="9" t="s">
        <v>178</v>
      </c>
      <c r="F629" s="9" t="s">
        <v>37</v>
      </c>
      <c r="G629" s="9" t="s">
        <v>18</v>
      </c>
      <c r="H629" s="10">
        <v>45605</v>
      </c>
      <c r="I629" s="10">
        <v>45605</v>
      </c>
      <c r="J629" s="5">
        <f t="shared" si="27"/>
        <v>0</v>
      </c>
      <c r="K629" s="5" t="str">
        <f t="shared" si="28"/>
        <v>Met</v>
      </c>
      <c r="L629" s="7" t="str">
        <f t="shared" si="29"/>
        <v>Nov</v>
      </c>
    </row>
    <row r="630" spans="1:12" x14ac:dyDescent="0.3">
      <c r="A630" s="4" t="s">
        <v>876</v>
      </c>
      <c r="B630" s="5" t="s">
        <v>27</v>
      </c>
      <c r="C630" s="5" t="s">
        <v>153</v>
      </c>
      <c r="D630" s="5" t="s">
        <v>29</v>
      </c>
      <c r="E630" s="5" t="s">
        <v>180</v>
      </c>
      <c r="F630" s="5" t="s">
        <v>37</v>
      </c>
      <c r="G630" s="5" t="s">
        <v>18</v>
      </c>
      <c r="H630" s="6">
        <v>45491</v>
      </c>
      <c r="I630" s="6">
        <v>45491</v>
      </c>
      <c r="J630" s="5">
        <f t="shared" si="27"/>
        <v>0</v>
      </c>
      <c r="K630" s="5" t="str">
        <f t="shared" si="28"/>
        <v>Met</v>
      </c>
      <c r="L630" s="7" t="str">
        <f t="shared" si="29"/>
        <v>Jul</v>
      </c>
    </row>
    <row r="631" spans="1:12" x14ac:dyDescent="0.3">
      <c r="A631" s="8" t="s">
        <v>877</v>
      </c>
      <c r="B631" s="9" t="s">
        <v>13</v>
      </c>
      <c r="C631" s="9" t="s">
        <v>58</v>
      </c>
      <c r="D631" s="9" t="s">
        <v>66</v>
      </c>
      <c r="E631" s="9" t="s">
        <v>182</v>
      </c>
      <c r="F631" s="9" t="s">
        <v>17</v>
      </c>
      <c r="G631" s="9" t="s">
        <v>18</v>
      </c>
      <c r="H631" s="10">
        <v>45623</v>
      </c>
      <c r="I631" s="10">
        <v>45623</v>
      </c>
      <c r="J631" s="5">
        <f t="shared" si="27"/>
        <v>0</v>
      </c>
      <c r="K631" s="5" t="str">
        <f t="shared" si="28"/>
        <v>Met</v>
      </c>
      <c r="L631" s="7" t="str">
        <f t="shared" si="29"/>
        <v>Nov</v>
      </c>
    </row>
    <row r="632" spans="1:12" x14ac:dyDescent="0.3">
      <c r="A632" s="4" t="s">
        <v>878</v>
      </c>
      <c r="B632" s="5" t="s">
        <v>27</v>
      </c>
      <c r="C632" s="5" t="s">
        <v>28</v>
      </c>
      <c r="D632" s="5" t="s">
        <v>22</v>
      </c>
      <c r="E632" s="5" t="s">
        <v>184</v>
      </c>
      <c r="F632" s="5" t="s">
        <v>24</v>
      </c>
      <c r="G632" s="5" t="s">
        <v>25</v>
      </c>
      <c r="H632" s="6">
        <v>45589</v>
      </c>
      <c r="I632" s="6">
        <v>45589</v>
      </c>
      <c r="J632" s="5">
        <f t="shared" si="27"/>
        <v>0</v>
      </c>
      <c r="K632" s="5" t="str">
        <f t="shared" si="28"/>
        <v>Met</v>
      </c>
      <c r="L632" s="7" t="str">
        <f t="shared" si="29"/>
        <v>Oct</v>
      </c>
    </row>
    <row r="633" spans="1:12" x14ac:dyDescent="0.3">
      <c r="A633" s="8" t="s">
        <v>879</v>
      </c>
      <c r="B633" s="9" t="s">
        <v>13</v>
      </c>
      <c r="C633" s="9" t="s">
        <v>14</v>
      </c>
      <c r="D633" s="9" t="s">
        <v>66</v>
      </c>
      <c r="E633" s="9" t="s">
        <v>186</v>
      </c>
      <c r="F633" s="9" t="s">
        <v>24</v>
      </c>
      <c r="G633" s="9" t="s">
        <v>31</v>
      </c>
      <c r="H633" s="10">
        <v>45476</v>
      </c>
      <c r="I633" s="10">
        <v>45476</v>
      </c>
      <c r="J633" s="5">
        <f t="shared" si="27"/>
        <v>0</v>
      </c>
      <c r="K633" s="5" t="str">
        <f t="shared" si="28"/>
        <v>Met</v>
      </c>
      <c r="L633" s="7" t="str">
        <f t="shared" si="29"/>
        <v>Jul</v>
      </c>
    </row>
    <row r="634" spans="1:12" x14ac:dyDescent="0.3">
      <c r="A634" s="4" t="s">
        <v>880</v>
      </c>
      <c r="B634" s="5" t="s">
        <v>27</v>
      </c>
      <c r="C634" s="5" t="s">
        <v>153</v>
      </c>
      <c r="D634" s="5" t="s">
        <v>15</v>
      </c>
      <c r="E634" s="5" t="s">
        <v>188</v>
      </c>
      <c r="F634" s="5" t="s">
        <v>17</v>
      </c>
      <c r="G634" s="5" t="s">
        <v>42</v>
      </c>
      <c r="H634" s="6">
        <v>45591</v>
      </c>
      <c r="I634" s="6">
        <v>45591</v>
      </c>
      <c r="J634" s="5">
        <f t="shared" si="27"/>
        <v>0</v>
      </c>
      <c r="K634" s="5" t="str">
        <f t="shared" si="28"/>
        <v>Met</v>
      </c>
      <c r="L634" s="7" t="str">
        <f t="shared" si="29"/>
        <v>Oct</v>
      </c>
    </row>
    <row r="635" spans="1:12" x14ac:dyDescent="0.3">
      <c r="A635" s="8" t="s">
        <v>881</v>
      </c>
      <c r="B635" s="9" t="s">
        <v>20</v>
      </c>
      <c r="C635" s="9" t="s">
        <v>93</v>
      </c>
      <c r="D635" s="9" t="s">
        <v>22</v>
      </c>
      <c r="E635" s="9" t="s">
        <v>190</v>
      </c>
      <c r="F635" s="9" t="s">
        <v>37</v>
      </c>
      <c r="G635" s="9" t="s">
        <v>25</v>
      </c>
      <c r="H635" s="10">
        <v>45527</v>
      </c>
      <c r="I635" s="10">
        <v>45527</v>
      </c>
      <c r="J635" s="5">
        <f t="shared" si="27"/>
        <v>0</v>
      </c>
      <c r="K635" s="5" t="str">
        <f t="shared" si="28"/>
        <v>Met</v>
      </c>
      <c r="L635" s="7" t="str">
        <f t="shared" si="29"/>
        <v>Aug</v>
      </c>
    </row>
    <row r="636" spans="1:12" x14ac:dyDescent="0.3">
      <c r="A636" s="4" t="s">
        <v>882</v>
      </c>
      <c r="B636" s="5" t="s">
        <v>27</v>
      </c>
      <c r="C636" s="5" t="s">
        <v>153</v>
      </c>
      <c r="D636" s="5" t="s">
        <v>22</v>
      </c>
      <c r="E636" s="5" t="s">
        <v>192</v>
      </c>
      <c r="F636" s="5" t="s">
        <v>17</v>
      </c>
      <c r="G636" s="5" t="s">
        <v>31</v>
      </c>
      <c r="H636" s="6">
        <v>45580</v>
      </c>
      <c r="I636" s="6">
        <v>45580</v>
      </c>
      <c r="J636" s="5">
        <f t="shared" si="27"/>
        <v>0</v>
      </c>
      <c r="K636" s="5" t="str">
        <f t="shared" si="28"/>
        <v>Met</v>
      </c>
      <c r="L636" s="7" t="str">
        <f t="shared" si="29"/>
        <v>Oct</v>
      </c>
    </row>
    <row r="637" spans="1:12" x14ac:dyDescent="0.3">
      <c r="A637" s="8" t="s">
        <v>883</v>
      </c>
      <c r="B637" s="9" t="s">
        <v>20</v>
      </c>
      <c r="C637" s="9" t="s">
        <v>76</v>
      </c>
      <c r="D637" s="9" t="s">
        <v>86</v>
      </c>
      <c r="E637" s="9" t="s">
        <v>194</v>
      </c>
      <c r="F637" s="9" t="s">
        <v>17</v>
      </c>
      <c r="G637" s="9" t="s">
        <v>42</v>
      </c>
      <c r="H637" s="10">
        <v>45569</v>
      </c>
      <c r="I637" s="10">
        <v>45569</v>
      </c>
      <c r="J637" s="5">
        <f t="shared" si="27"/>
        <v>0</v>
      </c>
      <c r="K637" s="5" t="str">
        <f t="shared" si="28"/>
        <v>Met</v>
      </c>
      <c r="L637" s="7" t="str">
        <f t="shared" si="29"/>
        <v>Oct</v>
      </c>
    </row>
    <row r="638" spans="1:12" x14ac:dyDescent="0.3">
      <c r="A638" s="4" t="s">
        <v>884</v>
      </c>
      <c r="B638" s="5" t="s">
        <v>20</v>
      </c>
      <c r="C638" s="5" t="s">
        <v>93</v>
      </c>
      <c r="D638" s="5" t="s">
        <v>15</v>
      </c>
      <c r="E638" s="5" t="s">
        <v>196</v>
      </c>
      <c r="F638" s="5" t="s">
        <v>24</v>
      </c>
      <c r="G638" s="5" t="s">
        <v>42</v>
      </c>
      <c r="H638" s="6">
        <v>45621</v>
      </c>
      <c r="I638" s="6">
        <v>45621</v>
      </c>
      <c r="J638" s="5">
        <f t="shared" si="27"/>
        <v>0</v>
      </c>
      <c r="K638" s="5" t="str">
        <f t="shared" si="28"/>
        <v>Met</v>
      </c>
      <c r="L638" s="7" t="str">
        <f t="shared" si="29"/>
        <v>Nov</v>
      </c>
    </row>
    <row r="639" spans="1:12" x14ac:dyDescent="0.3">
      <c r="A639" s="8" t="s">
        <v>885</v>
      </c>
      <c r="B639" s="9" t="s">
        <v>20</v>
      </c>
      <c r="C639" s="9" t="s">
        <v>93</v>
      </c>
      <c r="D639" s="9" t="s">
        <v>22</v>
      </c>
      <c r="E639" s="9" t="s">
        <v>198</v>
      </c>
      <c r="F639" s="9" t="s">
        <v>24</v>
      </c>
      <c r="G639" s="9" t="s">
        <v>42</v>
      </c>
      <c r="H639" s="10">
        <v>45571</v>
      </c>
      <c r="I639" s="10">
        <v>45571</v>
      </c>
      <c r="J639" s="5">
        <f t="shared" si="27"/>
        <v>0</v>
      </c>
      <c r="K639" s="5" t="str">
        <f t="shared" si="28"/>
        <v>Met</v>
      </c>
      <c r="L639" s="7" t="str">
        <f t="shared" si="29"/>
        <v>Oct</v>
      </c>
    </row>
    <row r="640" spans="1:12" x14ac:dyDescent="0.3">
      <c r="A640" s="4" t="s">
        <v>886</v>
      </c>
      <c r="B640" s="5" t="s">
        <v>13</v>
      </c>
      <c r="C640" s="5" t="s">
        <v>58</v>
      </c>
      <c r="D640" s="5" t="s">
        <v>86</v>
      </c>
      <c r="E640" s="5" t="s">
        <v>200</v>
      </c>
      <c r="F640" s="5" t="s">
        <v>24</v>
      </c>
      <c r="G640" s="5" t="s">
        <v>25</v>
      </c>
      <c r="H640" s="6">
        <v>45555</v>
      </c>
      <c r="I640" s="6">
        <v>45555</v>
      </c>
      <c r="J640" s="5">
        <f t="shared" si="27"/>
        <v>0</v>
      </c>
      <c r="K640" s="5" t="str">
        <f t="shared" si="28"/>
        <v>Met</v>
      </c>
      <c r="L640" s="7" t="str">
        <f t="shared" si="29"/>
        <v>Sep</v>
      </c>
    </row>
    <row r="641" spans="1:12" x14ac:dyDescent="0.3">
      <c r="A641" s="8" t="s">
        <v>887</v>
      </c>
      <c r="B641" s="9" t="s">
        <v>20</v>
      </c>
      <c r="C641" s="9" t="s">
        <v>76</v>
      </c>
      <c r="D641" s="9" t="s">
        <v>22</v>
      </c>
      <c r="E641" s="9" t="s">
        <v>202</v>
      </c>
      <c r="F641" s="9" t="s">
        <v>24</v>
      </c>
      <c r="G641" s="9" t="s">
        <v>31</v>
      </c>
      <c r="H641" s="10">
        <v>45544</v>
      </c>
      <c r="I641" s="10">
        <v>45544</v>
      </c>
      <c r="J641" s="5">
        <f t="shared" si="27"/>
        <v>0</v>
      </c>
      <c r="K641" s="5" t="str">
        <f t="shared" si="28"/>
        <v>Met</v>
      </c>
      <c r="L641" s="7" t="str">
        <f t="shared" si="29"/>
        <v>Sep</v>
      </c>
    </row>
    <row r="642" spans="1:12" x14ac:dyDescent="0.3">
      <c r="A642" s="4" t="s">
        <v>888</v>
      </c>
      <c r="B642" s="5" t="s">
        <v>13</v>
      </c>
      <c r="C642" s="5" t="s">
        <v>61</v>
      </c>
      <c r="D642" s="5" t="s">
        <v>29</v>
      </c>
      <c r="E642" s="5" t="s">
        <v>204</v>
      </c>
      <c r="F642" s="5" t="s">
        <v>17</v>
      </c>
      <c r="G642" s="5" t="s">
        <v>42</v>
      </c>
      <c r="H642" s="6">
        <v>45618</v>
      </c>
      <c r="I642" s="6">
        <v>45618</v>
      </c>
      <c r="J642" s="5">
        <f t="shared" si="27"/>
        <v>0</v>
      </c>
      <c r="K642" s="5" t="str">
        <f t="shared" si="28"/>
        <v>Met</v>
      </c>
      <c r="L642" s="7" t="str">
        <f t="shared" si="29"/>
        <v>Nov</v>
      </c>
    </row>
    <row r="643" spans="1:12" x14ac:dyDescent="0.3">
      <c r="A643" s="8" t="s">
        <v>889</v>
      </c>
      <c r="B643" s="9" t="s">
        <v>27</v>
      </c>
      <c r="C643" s="9" t="s">
        <v>28</v>
      </c>
      <c r="D643" s="9" t="s">
        <v>86</v>
      </c>
      <c r="E643" s="9" t="s">
        <v>206</v>
      </c>
      <c r="F643" s="9" t="s">
        <v>17</v>
      </c>
      <c r="G643" s="9" t="s">
        <v>31</v>
      </c>
      <c r="H643" s="10">
        <v>45600</v>
      </c>
      <c r="I643" s="10">
        <v>45600</v>
      </c>
      <c r="J643" s="5">
        <f t="shared" ref="J643:J706" si="30">I643-H643</f>
        <v>0</v>
      </c>
      <c r="K643" s="5" t="str">
        <f t="shared" ref="K643:K706" si="31">IF(J643&gt;= 1, "Not Met","Met")</f>
        <v>Met</v>
      </c>
      <c r="L643" s="7" t="str">
        <f t="shared" ref="L643:L706" si="32">TEXT(H643,"MMM")</f>
        <v>Nov</v>
      </c>
    </row>
    <row r="644" spans="1:12" x14ac:dyDescent="0.3">
      <c r="A644" s="4" t="s">
        <v>890</v>
      </c>
      <c r="B644" s="5" t="s">
        <v>39</v>
      </c>
      <c r="C644" s="5" t="s">
        <v>96</v>
      </c>
      <c r="D644" s="5" t="s">
        <v>86</v>
      </c>
      <c r="E644" s="5" t="s">
        <v>208</v>
      </c>
      <c r="F644" s="5" t="s">
        <v>37</v>
      </c>
      <c r="G644" s="5" t="s">
        <v>45</v>
      </c>
      <c r="H644" s="6">
        <v>45518</v>
      </c>
      <c r="I644" s="6">
        <v>45518</v>
      </c>
      <c r="J644" s="5">
        <f t="shared" si="30"/>
        <v>0</v>
      </c>
      <c r="K644" s="5" t="str">
        <f t="shared" si="31"/>
        <v>Met</v>
      </c>
      <c r="L644" s="7" t="str">
        <f t="shared" si="32"/>
        <v>Aug</v>
      </c>
    </row>
    <row r="645" spans="1:12" x14ac:dyDescent="0.3">
      <c r="A645" s="8" t="s">
        <v>891</v>
      </c>
      <c r="B645" s="9" t="s">
        <v>27</v>
      </c>
      <c r="C645" s="9" t="s">
        <v>153</v>
      </c>
      <c r="D645" s="9" t="s">
        <v>66</v>
      </c>
      <c r="E645" s="9" t="s">
        <v>210</v>
      </c>
      <c r="F645" s="9" t="s">
        <v>17</v>
      </c>
      <c r="G645" s="9" t="s">
        <v>42</v>
      </c>
      <c r="H645" s="10">
        <v>45540</v>
      </c>
      <c r="I645" s="10">
        <v>45540</v>
      </c>
      <c r="J645" s="5">
        <f t="shared" si="30"/>
        <v>0</v>
      </c>
      <c r="K645" s="5" t="str">
        <f t="shared" si="31"/>
        <v>Met</v>
      </c>
      <c r="L645" s="7" t="str">
        <f t="shared" si="32"/>
        <v>Sep</v>
      </c>
    </row>
    <row r="646" spans="1:12" x14ac:dyDescent="0.3">
      <c r="A646" s="4" t="s">
        <v>892</v>
      </c>
      <c r="B646" s="5" t="s">
        <v>13</v>
      </c>
      <c r="C646" s="5" t="s">
        <v>14</v>
      </c>
      <c r="D646" s="5" t="s">
        <v>35</v>
      </c>
      <c r="E646" s="5" t="s">
        <v>212</v>
      </c>
      <c r="F646" s="5" t="s">
        <v>17</v>
      </c>
      <c r="G646" s="5" t="s">
        <v>31</v>
      </c>
      <c r="H646" s="6">
        <v>45592</v>
      </c>
      <c r="I646" s="6">
        <v>45592</v>
      </c>
      <c r="J646" s="5">
        <f t="shared" si="30"/>
        <v>0</v>
      </c>
      <c r="K646" s="5" t="str">
        <f t="shared" si="31"/>
        <v>Met</v>
      </c>
      <c r="L646" s="7" t="str">
        <f t="shared" si="32"/>
        <v>Oct</v>
      </c>
    </row>
    <row r="647" spans="1:12" x14ac:dyDescent="0.3">
      <c r="A647" s="8" t="s">
        <v>893</v>
      </c>
      <c r="B647" s="9" t="s">
        <v>33</v>
      </c>
      <c r="C647" s="9" t="s">
        <v>34</v>
      </c>
      <c r="D647" s="9" t="s">
        <v>148</v>
      </c>
      <c r="E647" s="9" t="s">
        <v>214</v>
      </c>
      <c r="F647" s="9" t="s">
        <v>37</v>
      </c>
      <c r="G647" s="9" t="s">
        <v>18</v>
      </c>
      <c r="H647" s="10">
        <v>45579</v>
      </c>
      <c r="I647" s="10">
        <v>45579</v>
      </c>
      <c r="J647" s="5">
        <f t="shared" si="30"/>
        <v>0</v>
      </c>
      <c r="K647" s="5" t="str">
        <f t="shared" si="31"/>
        <v>Met</v>
      </c>
      <c r="L647" s="7" t="str">
        <f t="shared" si="32"/>
        <v>Oct</v>
      </c>
    </row>
    <row r="648" spans="1:12" x14ac:dyDescent="0.3">
      <c r="A648" s="4" t="s">
        <v>894</v>
      </c>
      <c r="B648" s="5" t="s">
        <v>33</v>
      </c>
      <c r="C648" s="5" t="s">
        <v>34</v>
      </c>
      <c r="D648" s="5" t="s">
        <v>79</v>
      </c>
      <c r="E648" s="5" t="s">
        <v>216</v>
      </c>
      <c r="F648" s="5" t="s">
        <v>17</v>
      </c>
      <c r="G648" s="5" t="s">
        <v>45</v>
      </c>
      <c r="H648" s="6">
        <v>45521</v>
      </c>
      <c r="I648" s="6">
        <v>45521</v>
      </c>
      <c r="J648" s="5">
        <f t="shared" si="30"/>
        <v>0</v>
      </c>
      <c r="K648" s="5" t="str">
        <f t="shared" si="31"/>
        <v>Met</v>
      </c>
      <c r="L648" s="7" t="str">
        <f t="shared" si="32"/>
        <v>Aug</v>
      </c>
    </row>
    <row r="649" spans="1:12" x14ac:dyDescent="0.3">
      <c r="A649" s="8" t="s">
        <v>895</v>
      </c>
      <c r="B649" s="9" t="s">
        <v>27</v>
      </c>
      <c r="C649" s="9" t="s">
        <v>47</v>
      </c>
      <c r="D649" s="9" t="s">
        <v>66</v>
      </c>
      <c r="E649" s="9" t="s">
        <v>218</v>
      </c>
      <c r="F649" s="9" t="s">
        <v>17</v>
      </c>
      <c r="G649" s="9" t="s">
        <v>31</v>
      </c>
      <c r="H649" s="10">
        <v>45561</v>
      </c>
      <c r="I649" s="10">
        <v>45561</v>
      </c>
      <c r="J649" s="5">
        <f t="shared" si="30"/>
        <v>0</v>
      </c>
      <c r="K649" s="5" t="str">
        <f t="shared" si="31"/>
        <v>Met</v>
      </c>
      <c r="L649" s="7" t="str">
        <f t="shared" si="32"/>
        <v>Sep</v>
      </c>
    </row>
    <row r="650" spans="1:12" x14ac:dyDescent="0.3">
      <c r="A650" s="4" t="s">
        <v>896</v>
      </c>
      <c r="B650" s="5" t="s">
        <v>13</v>
      </c>
      <c r="C650" s="5" t="s">
        <v>61</v>
      </c>
      <c r="D650" s="5" t="s">
        <v>35</v>
      </c>
      <c r="E650" s="5" t="s">
        <v>220</v>
      </c>
      <c r="F650" s="5" t="s">
        <v>24</v>
      </c>
      <c r="G650" s="5" t="s">
        <v>18</v>
      </c>
      <c r="H650" s="6">
        <v>45622</v>
      </c>
      <c r="I650" s="6">
        <v>45622</v>
      </c>
      <c r="J650" s="5">
        <f t="shared" si="30"/>
        <v>0</v>
      </c>
      <c r="K650" s="5" t="str">
        <f t="shared" si="31"/>
        <v>Met</v>
      </c>
      <c r="L650" s="7" t="str">
        <f t="shared" si="32"/>
        <v>Nov</v>
      </c>
    </row>
    <row r="651" spans="1:12" x14ac:dyDescent="0.3">
      <c r="A651" s="8" t="s">
        <v>897</v>
      </c>
      <c r="B651" s="9" t="s">
        <v>27</v>
      </c>
      <c r="C651" s="9" t="s">
        <v>153</v>
      </c>
      <c r="D651" s="9" t="s">
        <v>35</v>
      </c>
      <c r="E651" s="9" t="s">
        <v>222</v>
      </c>
      <c r="F651" s="9" t="s">
        <v>24</v>
      </c>
      <c r="G651" s="9" t="s">
        <v>25</v>
      </c>
      <c r="H651" s="10">
        <v>45592</v>
      </c>
      <c r="I651" s="10">
        <v>45592</v>
      </c>
      <c r="J651" s="5">
        <f t="shared" si="30"/>
        <v>0</v>
      </c>
      <c r="K651" s="5" t="str">
        <f t="shared" si="31"/>
        <v>Met</v>
      </c>
      <c r="L651" s="7" t="str">
        <f t="shared" si="32"/>
        <v>Oct</v>
      </c>
    </row>
    <row r="652" spans="1:12" x14ac:dyDescent="0.3">
      <c r="A652" s="4" t="s">
        <v>898</v>
      </c>
      <c r="B652" s="5" t="s">
        <v>33</v>
      </c>
      <c r="C652" s="5" t="s">
        <v>69</v>
      </c>
      <c r="D652" s="5" t="s">
        <v>148</v>
      </c>
      <c r="E652" s="5" t="s">
        <v>224</v>
      </c>
      <c r="F652" s="5" t="s">
        <v>37</v>
      </c>
      <c r="G652" s="5" t="s">
        <v>45</v>
      </c>
      <c r="H652" s="6">
        <v>45605</v>
      </c>
      <c r="I652" s="6">
        <v>45605</v>
      </c>
      <c r="J652" s="5">
        <f t="shared" si="30"/>
        <v>0</v>
      </c>
      <c r="K652" s="5" t="str">
        <f t="shared" si="31"/>
        <v>Met</v>
      </c>
      <c r="L652" s="7" t="str">
        <f t="shared" si="32"/>
        <v>Nov</v>
      </c>
    </row>
    <row r="653" spans="1:12" x14ac:dyDescent="0.3">
      <c r="A653" s="8" t="s">
        <v>899</v>
      </c>
      <c r="B653" s="9" t="s">
        <v>13</v>
      </c>
      <c r="C653" s="9" t="s">
        <v>14</v>
      </c>
      <c r="D653" s="9" t="s">
        <v>22</v>
      </c>
      <c r="E653" s="9" t="s">
        <v>226</v>
      </c>
      <c r="F653" s="9" t="s">
        <v>24</v>
      </c>
      <c r="G653" s="9" t="s">
        <v>42</v>
      </c>
      <c r="H653" s="10">
        <v>45542</v>
      </c>
      <c r="I653" s="10">
        <v>45543</v>
      </c>
      <c r="J653" s="5">
        <f t="shared" si="30"/>
        <v>1</v>
      </c>
      <c r="K653" s="5" t="str">
        <f t="shared" si="31"/>
        <v>Not Met</v>
      </c>
      <c r="L653" s="7" t="str">
        <f t="shared" si="32"/>
        <v>Sep</v>
      </c>
    </row>
    <row r="654" spans="1:12" x14ac:dyDescent="0.3">
      <c r="A654" s="4" t="s">
        <v>900</v>
      </c>
      <c r="B654" s="5" t="s">
        <v>13</v>
      </c>
      <c r="C654" s="5" t="s">
        <v>61</v>
      </c>
      <c r="D654" s="5" t="s">
        <v>86</v>
      </c>
      <c r="E654" s="5" t="s">
        <v>228</v>
      </c>
      <c r="F654" s="5" t="s">
        <v>17</v>
      </c>
      <c r="G654" s="5" t="s">
        <v>42</v>
      </c>
      <c r="H654" s="6">
        <v>45584</v>
      </c>
      <c r="I654" s="6">
        <v>45584</v>
      </c>
      <c r="J654" s="5">
        <f t="shared" si="30"/>
        <v>0</v>
      </c>
      <c r="K654" s="5" t="str">
        <f t="shared" si="31"/>
        <v>Met</v>
      </c>
      <c r="L654" s="7" t="str">
        <f t="shared" si="32"/>
        <v>Oct</v>
      </c>
    </row>
    <row r="655" spans="1:12" x14ac:dyDescent="0.3">
      <c r="A655" s="8" t="s">
        <v>901</v>
      </c>
      <c r="B655" s="9" t="s">
        <v>39</v>
      </c>
      <c r="C655" s="9" t="s">
        <v>40</v>
      </c>
      <c r="D655" s="9" t="s">
        <v>148</v>
      </c>
      <c r="E655" s="9" t="s">
        <v>230</v>
      </c>
      <c r="F655" s="9" t="s">
        <v>24</v>
      </c>
      <c r="G655" s="9" t="s">
        <v>53</v>
      </c>
      <c r="H655" s="10">
        <v>45502</v>
      </c>
      <c r="I655" s="10">
        <v>45502</v>
      </c>
      <c r="J655" s="5">
        <f t="shared" si="30"/>
        <v>0</v>
      </c>
      <c r="K655" s="5" t="str">
        <f t="shared" si="31"/>
        <v>Met</v>
      </c>
      <c r="L655" s="7" t="str">
        <f t="shared" si="32"/>
        <v>Jul</v>
      </c>
    </row>
    <row r="656" spans="1:12" x14ac:dyDescent="0.3">
      <c r="A656" s="4" t="s">
        <v>902</v>
      </c>
      <c r="B656" s="5" t="s">
        <v>13</v>
      </c>
      <c r="C656" s="5" t="s">
        <v>14</v>
      </c>
      <c r="D656" s="5" t="s">
        <v>66</v>
      </c>
      <c r="E656" s="5" t="s">
        <v>232</v>
      </c>
      <c r="F656" s="5" t="s">
        <v>24</v>
      </c>
      <c r="G656" s="5" t="s">
        <v>45</v>
      </c>
      <c r="H656" s="6">
        <v>45550</v>
      </c>
      <c r="I656" s="6">
        <v>45550</v>
      </c>
      <c r="J656" s="5">
        <f t="shared" si="30"/>
        <v>0</v>
      </c>
      <c r="K656" s="5" t="str">
        <f t="shared" si="31"/>
        <v>Met</v>
      </c>
      <c r="L656" s="7" t="str">
        <f t="shared" si="32"/>
        <v>Sep</v>
      </c>
    </row>
    <row r="657" spans="1:12" x14ac:dyDescent="0.3">
      <c r="A657" s="8" t="s">
        <v>903</v>
      </c>
      <c r="B657" s="9" t="s">
        <v>27</v>
      </c>
      <c r="C657" s="9" t="s">
        <v>153</v>
      </c>
      <c r="D657" s="9" t="s">
        <v>35</v>
      </c>
      <c r="E657" s="9" t="s">
        <v>234</v>
      </c>
      <c r="F657" s="9" t="s">
        <v>37</v>
      </c>
      <c r="G657" s="9" t="s">
        <v>53</v>
      </c>
      <c r="H657" s="10">
        <v>45556</v>
      </c>
      <c r="I657" s="10">
        <v>45556</v>
      </c>
      <c r="J657" s="5">
        <f t="shared" si="30"/>
        <v>0</v>
      </c>
      <c r="K657" s="5" t="str">
        <f t="shared" si="31"/>
        <v>Met</v>
      </c>
      <c r="L657" s="7" t="str">
        <f t="shared" si="32"/>
        <v>Sep</v>
      </c>
    </row>
    <row r="658" spans="1:12" x14ac:dyDescent="0.3">
      <c r="A658" s="4" t="s">
        <v>904</v>
      </c>
      <c r="B658" s="5" t="s">
        <v>20</v>
      </c>
      <c r="C658" s="5" t="s">
        <v>21</v>
      </c>
      <c r="D658" s="5" t="s">
        <v>86</v>
      </c>
      <c r="E658" s="5" t="s">
        <v>236</v>
      </c>
      <c r="F658" s="5" t="s">
        <v>37</v>
      </c>
      <c r="G658" s="5" t="s">
        <v>25</v>
      </c>
      <c r="H658" s="6">
        <v>45598</v>
      </c>
      <c r="I658" s="6">
        <v>45598</v>
      </c>
      <c r="J658" s="5">
        <f t="shared" si="30"/>
        <v>0</v>
      </c>
      <c r="K658" s="5" t="str">
        <f t="shared" si="31"/>
        <v>Met</v>
      </c>
      <c r="L658" s="7" t="str">
        <f t="shared" si="32"/>
        <v>Nov</v>
      </c>
    </row>
    <row r="659" spans="1:12" x14ac:dyDescent="0.3">
      <c r="A659" s="8" t="s">
        <v>905</v>
      </c>
      <c r="B659" s="9" t="s">
        <v>33</v>
      </c>
      <c r="C659" s="9" t="s">
        <v>55</v>
      </c>
      <c r="D659" s="9" t="s">
        <v>79</v>
      </c>
      <c r="E659" s="9" t="s">
        <v>238</v>
      </c>
      <c r="F659" s="9" t="s">
        <v>24</v>
      </c>
      <c r="G659" s="9" t="s">
        <v>31</v>
      </c>
      <c r="H659" s="10">
        <v>45483</v>
      </c>
      <c r="I659" s="10">
        <v>45483</v>
      </c>
      <c r="J659" s="5">
        <f t="shared" si="30"/>
        <v>0</v>
      </c>
      <c r="K659" s="5" t="str">
        <f t="shared" si="31"/>
        <v>Met</v>
      </c>
      <c r="L659" s="7" t="str">
        <f t="shared" si="32"/>
        <v>Jul</v>
      </c>
    </row>
    <row r="660" spans="1:12" x14ac:dyDescent="0.3">
      <c r="A660" s="4" t="s">
        <v>906</v>
      </c>
      <c r="B660" s="5" t="s">
        <v>13</v>
      </c>
      <c r="C660" s="5" t="s">
        <v>14</v>
      </c>
      <c r="D660" s="5" t="s">
        <v>22</v>
      </c>
      <c r="E660" s="5" t="s">
        <v>240</v>
      </c>
      <c r="F660" s="5" t="s">
        <v>17</v>
      </c>
      <c r="G660" s="5" t="s">
        <v>18</v>
      </c>
      <c r="H660" s="6">
        <v>45582</v>
      </c>
      <c r="I660" s="6">
        <v>45582</v>
      </c>
      <c r="J660" s="5">
        <f t="shared" si="30"/>
        <v>0</v>
      </c>
      <c r="K660" s="5" t="str">
        <f t="shared" si="31"/>
        <v>Met</v>
      </c>
      <c r="L660" s="7" t="str">
        <f t="shared" si="32"/>
        <v>Oct</v>
      </c>
    </row>
    <row r="661" spans="1:12" x14ac:dyDescent="0.3">
      <c r="A661" s="8" t="s">
        <v>907</v>
      </c>
      <c r="B661" s="9" t="s">
        <v>20</v>
      </c>
      <c r="C661" s="9" t="s">
        <v>21</v>
      </c>
      <c r="D661" s="9" t="s">
        <v>66</v>
      </c>
      <c r="E661" s="9" t="s">
        <v>242</v>
      </c>
      <c r="F661" s="9" t="s">
        <v>24</v>
      </c>
      <c r="G661" s="9" t="s">
        <v>45</v>
      </c>
      <c r="H661" s="10">
        <v>45557</v>
      </c>
      <c r="I661" s="10">
        <v>45557</v>
      </c>
      <c r="J661" s="5">
        <f t="shared" si="30"/>
        <v>0</v>
      </c>
      <c r="K661" s="5" t="str">
        <f t="shared" si="31"/>
        <v>Met</v>
      </c>
      <c r="L661" s="7" t="str">
        <f t="shared" si="32"/>
        <v>Sep</v>
      </c>
    </row>
    <row r="662" spans="1:12" x14ac:dyDescent="0.3">
      <c r="A662" s="4" t="s">
        <v>908</v>
      </c>
      <c r="B662" s="5" t="s">
        <v>27</v>
      </c>
      <c r="C662" s="5" t="s">
        <v>28</v>
      </c>
      <c r="D662" s="5" t="s">
        <v>86</v>
      </c>
      <c r="E662" s="5" t="s">
        <v>244</v>
      </c>
      <c r="F662" s="5" t="s">
        <v>37</v>
      </c>
      <c r="G662" s="5" t="s">
        <v>18</v>
      </c>
      <c r="H662" s="6">
        <v>45540</v>
      </c>
      <c r="I662" s="6">
        <v>45540</v>
      </c>
      <c r="J662" s="5">
        <f t="shared" si="30"/>
        <v>0</v>
      </c>
      <c r="K662" s="5" t="str">
        <f t="shared" si="31"/>
        <v>Met</v>
      </c>
      <c r="L662" s="7" t="str">
        <f t="shared" si="32"/>
        <v>Sep</v>
      </c>
    </row>
    <row r="663" spans="1:12" x14ac:dyDescent="0.3">
      <c r="A663" s="8" t="s">
        <v>909</v>
      </c>
      <c r="B663" s="9" t="s">
        <v>20</v>
      </c>
      <c r="C663" s="9" t="s">
        <v>93</v>
      </c>
      <c r="D663" s="9" t="s">
        <v>66</v>
      </c>
      <c r="E663" s="9" t="s">
        <v>246</v>
      </c>
      <c r="F663" s="9" t="s">
        <v>24</v>
      </c>
      <c r="G663" s="9" t="s">
        <v>31</v>
      </c>
      <c r="H663" s="10">
        <v>45503</v>
      </c>
      <c r="I663" s="10">
        <v>45503</v>
      </c>
      <c r="J663" s="5">
        <f t="shared" si="30"/>
        <v>0</v>
      </c>
      <c r="K663" s="5" t="str">
        <f t="shared" si="31"/>
        <v>Met</v>
      </c>
      <c r="L663" s="7" t="str">
        <f t="shared" si="32"/>
        <v>Jul</v>
      </c>
    </row>
    <row r="664" spans="1:12" x14ac:dyDescent="0.3">
      <c r="A664" s="4" t="s">
        <v>910</v>
      </c>
      <c r="B664" s="5" t="s">
        <v>39</v>
      </c>
      <c r="C664" s="5" t="s">
        <v>96</v>
      </c>
      <c r="D664" s="5" t="s">
        <v>35</v>
      </c>
      <c r="E664" s="5" t="s">
        <v>248</v>
      </c>
      <c r="F664" s="5" t="s">
        <v>37</v>
      </c>
      <c r="G664" s="5" t="s">
        <v>53</v>
      </c>
      <c r="H664" s="6">
        <v>45485</v>
      </c>
      <c r="I664" s="6">
        <v>45485</v>
      </c>
      <c r="J664" s="5">
        <f t="shared" si="30"/>
        <v>0</v>
      </c>
      <c r="K664" s="5" t="str">
        <f t="shared" si="31"/>
        <v>Met</v>
      </c>
      <c r="L664" s="7" t="str">
        <f t="shared" si="32"/>
        <v>Jul</v>
      </c>
    </row>
    <row r="665" spans="1:12" x14ac:dyDescent="0.3">
      <c r="A665" s="8" t="s">
        <v>911</v>
      </c>
      <c r="B665" s="9" t="s">
        <v>39</v>
      </c>
      <c r="C665" s="9" t="s">
        <v>99</v>
      </c>
      <c r="D665" s="9" t="s">
        <v>86</v>
      </c>
      <c r="E665" s="9" t="s">
        <v>250</v>
      </c>
      <c r="F665" s="9" t="s">
        <v>24</v>
      </c>
      <c r="G665" s="9" t="s">
        <v>45</v>
      </c>
      <c r="H665" s="10">
        <v>45617</v>
      </c>
      <c r="I665" s="10">
        <v>45617</v>
      </c>
      <c r="J665" s="5">
        <f t="shared" si="30"/>
        <v>0</v>
      </c>
      <c r="K665" s="5" t="str">
        <f t="shared" si="31"/>
        <v>Met</v>
      </c>
      <c r="L665" s="7" t="str">
        <f t="shared" si="32"/>
        <v>Nov</v>
      </c>
    </row>
    <row r="666" spans="1:12" x14ac:dyDescent="0.3">
      <c r="A666" s="4" t="s">
        <v>912</v>
      </c>
      <c r="B666" s="5" t="s">
        <v>27</v>
      </c>
      <c r="C666" s="5" t="s">
        <v>47</v>
      </c>
      <c r="D666" s="5" t="s">
        <v>86</v>
      </c>
      <c r="E666" s="5" t="s">
        <v>252</v>
      </c>
      <c r="F666" s="5" t="s">
        <v>37</v>
      </c>
      <c r="G666" s="5" t="s">
        <v>25</v>
      </c>
      <c r="H666" s="6">
        <v>45599</v>
      </c>
      <c r="I666" s="6">
        <v>45599</v>
      </c>
      <c r="J666" s="5">
        <f t="shared" si="30"/>
        <v>0</v>
      </c>
      <c r="K666" s="5" t="str">
        <f t="shared" si="31"/>
        <v>Met</v>
      </c>
      <c r="L666" s="7" t="str">
        <f t="shared" si="32"/>
        <v>Nov</v>
      </c>
    </row>
    <row r="667" spans="1:12" x14ac:dyDescent="0.3">
      <c r="A667" s="8" t="s">
        <v>913</v>
      </c>
      <c r="B667" s="9" t="s">
        <v>39</v>
      </c>
      <c r="C667" s="9" t="s">
        <v>99</v>
      </c>
      <c r="D667" s="9" t="s">
        <v>29</v>
      </c>
      <c r="E667" s="9" t="s">
        <v>254</v>
      </c>
      <c r="F667" s="9" t="s">
        <v>37</v>
      </c>
      <c r="G667" s="9" t="s">
        <v>53</v>
      </c>
      <c r="H667" s="10">
        <v>45605</v>
      </c>
      <c r="I667" s="10">
        <v>45605</v>
      </c>
      <c r="J667" s="5">
        <f t="shared" si="30"/>
        <v>0</v>
      </c>
      <c r="K667" s="5" t="str">
        <f t="shared" si="31"/>
        <v>Met</v>
      </c>
      <c r="L667" s="7" t="str">
        <f t="shared" si="32"/>
        <v>Nov</v>
      </c>
    </row>
    <row r="668" spans="1:12" x14ac:dyDescent="0.3">
      <c r="A668" s="4" t="s">
        <v>914</v>
      </c>
      <c r="B668" s="5" t="s">
        <v>39</v>
      </c>
      <c r="C668" s="5" t="s">
        <v>40</v>
      </c>
      <c r="D668" s="5" t="s">
        <v>148</v>
      </c>
      <c r="E668" s="5" t="s">
        <v>256</v>
      </c>
      <c r="F668" s="5" t="s">
        <v>24</v>
      </c>
      <c r="G668" s="5" t="s">
        <v>53</v>
      </c>
      <c r="H668" s="6">
        <v>45614</v>
      </c>
      <c r="I668" s="6">
        <v>45614</v>
      </c>
      <c r="J668" s="5">
        <f t="shared" si="30"/>
        <v>0</v>
      </c>
      <c r="K668" s="5" t="str">
        <f t="shared" si="31"/>
        <v>Met</v>
      </c>
      <c r="L668" s="7" t="str">
        <f t="shared" si="32"/>
        <v>Nov</v>
      </c>
    </row>
    <row r="669" spans="1:12" x14ac:dyDescent="0.3">
      <c r="A669" s="8" t="s">
        <v>915</v>
      </c>
      <c r="B669" s="9" t="s">
        <v>27</v>
      </c>
      <c r="C669" s="9" t="s">
        <v>47</v>
      </c>
      <c r="D669" s="9" t="s">
        <v>148</v>
      </c>
      <c r="E669" s="9" t="s">
        <v>258</v>
      </c>
      <c r="F669" s="9" t="s">
        <v>17</v>
      </c>
      <c r="G669" s="9" t="s">
        <v>42</v>
      </c>
      <c r="H669" s="10">
        <v>45595</v>
      </c>
      <c r="I669" s="10">
        <v>45595</v>
      </c>
      <c r="J669" s="5">
        <f t="shared" si="30"/>
        <v>0</v>
      </c>
      <c r="K669" s="5" t="str">
        <f t="shared" si="31"/>
        <v>Met</v>
      </c>
      <c r="L669" s="7" t="str">
        <f t="shared" si="32"/>
        <v>Oct</v>
      </c>
    </row>
    <row r="670" spans="1:12" x14ac:dyDescent="0.3">
      <c r="A670" s="4" t="s">
        <v>916</v>
      </c>
      <c r="B670" s="5" t="s">
        <v>39</v>
      </c>
      <c r="C670" s="5" t="s">
        <v>99</v>
      </c>
      <c r="D670" s="5" t="s">
        <v>35</v>
      </c>
      <c r="E670" s="5" t="s">
        <v>260</v>
      </c>
      <c r="F670" s="5" t="s">
        <v>24</v>
      </c>
      <c r="G670" s="5" t="s">
        <v>31</v>
      </c>
      <c r="H670" s="6">
        <v>45574</v>
      </c>
      <c r="I670" s="6">
        <v>45574</v>
      </c>
      <c r="J670" s="5">
        <f t="shared" si="30"/>
        <v>0</v>
      </c>
      <c r="K670" s="5" t="str">
        <f t="shared" si="31"/>
        <v>Met</v>
      </c>
      <c r="L670" s="7" t="str">
        <f t="shared" si="32"/>
        <v>Oct</v>
      </c>
    </row>
    <row r="671" spans="1:12" x14ac:dyDescent="0.3">
      <c r="A671" s="8" t="s">
        <v>917</v>
      </c>
      <c r="B671" s="9" t="s">
        <v>33</v>
      </c>
      <c r="C671" s="9" t="s">
        <v>69</v>
      </c>
      <c r="D671" s="9" t="s">
        <v>22</v>
      </c>
      <c r="E671" s="9" t="s">
        <v>262</v>
      </c>
      <c r="F671" s="9" t="s">
        <v>37</v>
      </c>
      <c r="G671" s="9" t="s">
        <v>42</v>
      </c>
      <c r="H671" s="10">
        <v>45591</v>
      </c>
      <c r="I671" s="10">
        <v>45591</v>
      </c>
      <c r="J671" s="5">
        <f t="shared" si="30"/>
        <v>0</v>
      </c>
      <c r="K671" s="5" t="str">
        <f t="shared" si="31"/>
        <v>Met</v>
      </c>
      <c r="L671" s="7" t="str">
        <f t="shared" si="32"/>
        <v>Oct</v>
      </c>
    </row>
    <row r="672" spans="1:12" x14ac:dyDescent="0.3">
      <c r="A672" s="4" t="s">
        <v>918</v>
      </c>
      <c r="B672" s="5" t="s">
        <v>27</v>
      </c>
      <c r="C672" s="5" t="s">
        <v>47</v>
      </c>
      <c r="D672" s="5" t="s">
        <v>29</v>
      </c>
      <c r="E672" s="5" t="s">
        <v>264</v>
      </c>
      <c r="F672" s="5" t="s">
        <v>37</v>
      </c>
      <c r="G672" s="5" t="s">
        <v>25</v>
      </c>
      <c r="H672" s="6">
        <v>45540</v>
      </c>
      <c r="I672" s="6">
        <v>45541</v>
      </c>
      <c r="J672" s="5">
        <f t="shared" si="30"/>
        <v>1</v>
      </c>
      <c r="K672" s="5" t="str">
        <f t="shared" si="31"/>
        <v>Not Met</v>
      </c>
      <c r="L672" s="7" t="str">
        <f t="shared" si="32"/>
        <v>Sep</v>
      </c>
    </row>
    <row r="673" spans="1:12" x14ac:dyDescent="0.3">
      <c r="A673" s="8" t="s">
        <v>919</v>
      </c>
      <c r="B673" s="9" t="s">
        <v>27</v>
      </c>
      <c r="C673" s="9" t="s">
        <v>28</v>
      </c>
      <c r="D673" s="9" t="s">
        <v>35</v>
      </c>
      <c r="E673" s="9" t="s">
        <v>266</v>
      </c>
      <c r="F673" s="9" t="s">
        <v>37</v>
      </c>
      <c r="G673" s="9" t="s">
        <v>31</v>
      </c>
      <c r="H673" s="10">
        <v>45614</v>
      </c>
      <c r="I673" s="10">
        <v>45614</v>
      </c>
      <c r="J673" s="5">
        <f t="shared" si="30"/>
        <v>0</v>
      </c>
      <c r="K673" s="5" t="str">
        <f t="shared" si="31"/>
        <v>Met</v>
      </c>
      <c r="L673" s="7" t="str">
        <f t="shared" si="32"/>
        <v>Nov</v>
      </c>
    </row>
    <row r="674" spans="1:12" x14ac:dyDescent="0.3">
      <c r="A674" s="4" t="s">
        <v>920</v>
      </c>
      <c r="B674" s="5" t="s">
        <v>13</v>
      </c>
      <c r="C674" s="5" t="s">
        <v>14</v>
      </c>
      <c r="D674" s="5" t="s">
        <v>79</v>
      </c>
      <c r="E674" s="5" t="s">
        <v>268</v>
      </c>
      <c r="F674" s="5" t="s">
        <v>17</v>
      </c>
      <c r="G674" s="5" t="s">
        <v>53</v>
      </c>
      <c r="H674" s="6">
        <v>45544</v>
      </c>
      <c r="I674" s="6">
        <v>45544</v>
      </c>
      <c r="J674" s="5">
        <f t="shared" si="30"/>
        <v>0</v>
      </c>
      <c r="K674" s="5" t="str">
        <f t="shared" si="31"/>
        <v>Met</v>
      </c>
      <c r="L674" s="7" t="str">
        <f t="shared" si="32"/>
        <v>Sep</v>
      </c>
    </row>
    <row r="675" spans="1:12" x14ac:dyDescent="0.3">
      <c r="A675" s="8" t="s">
        <v>921</v>
      </c>
      <c r="B675" s="9" t="s">
        <v>39</v>
      </c>
      <c r="C675" s="9" t="s">
        <v>96</v>
      </c>
      <c r="D675" s="9" t="s">
        <v>15</v>
      </c>
      <c r="E675" s="9" t="s">
        <v>270</v>
      </c>
      <c r="F675" s="9" t="s">
        <v>37</v>
      </c>
      <c r="G675" s="9" t="s">
        <v>42</v>
      </c>
      <c r="H675" s="10">
        <v>45500</v>
      </c>
      <c r="I675" s="10">
        <v>45500</v>
      </c>
      <c r="J675" s="5">
        <f t="shared" si="30"/>
        <v>0</v>
      </c>
      <c r="K675" s="5" t="str">
        <f t="shared" si="31"/>
        <v>Met</v>
      </c>
      <c r="L675" s="7" t="str">
        <f t="shared" si="32"/>
        <v>Jul</v>
      </c>
    </row>
    <row r="676" spans="1:12" x14ac:dyDescent="0.3">
      <c r="A676" s="4" t="s">
        <v>922</v>
      </c>
      <c r="B676" s="5" t="s">
        <v>27</v>
      </c>
      <c r="C676" s="5" t="s">
        <v>153</v>
      </c>
      <c r="D676" s="5" t="s">
        <v>35</v>
      </c>
      <c r="E676" s="5" t="s">
        <v>272</v>
      </c>
      <c r="F676" s="5" t="s">
        <v>24</v>
      </c>
      <c r="G676" s="5" t="s">
        <v>45</v>
      </c>
      <c r="H676" s="6">
        <v>45495</v>
      </c>
      <c r="I676" s="6">
        <v>45495</v>
      </c>
      <c r="J676" s="5">
        <f t="shared" si="30"/>
        <v>0</v>
      </c>
      <c r="K676" s="5" t="str">
        <f t="shared" si="31"/>
        <v>Met</v>
      </c>
      <c r="L676" s="7" t="str">
        <f t="shared" si="32"/>
        <v>Jul</v>
      </c>
    </row>
    <row r="677" spans="1:12" x14ac:dyDescent="0.3">
      <c r="A677" s="8" t="s">
        <v>923</v>
      </c>
      <c r="B677" s="9" t="s">
        <v>20</v>
      </c>
      <c r="C677" s="9" t="s">
        <v>93</v>
      </c>
      <c r="D677" s="9" t="s">
        <v>29</v>
      </c>
      <c r="E677" s="9" t="s">
        <v>274</v>
      </c>
      <c r="F677" s="9" t="s">
        <v>24</v>
      </c>
      <c r="G677" s="9" t="s">
        <v>45</v>
      </c>
      <c r="H677" s="10">
        <v>45562</v>
      </c>
      <c r="I677" s="10">
        <v>45562</v>
      </c>
      <c r="J677" s="5">
        <f t="shared" si="30"/>
        <v>0</v>
      </c>
      <c r="K677" s="5" t="str">
        <f t="shared" si="31"/>
        <v>Met</v>
      </c>
      <c r="L677" s="7" t="str">
        <f t="shared" si="32"/>
        <v>Sep</v>
      </c>
    </row>
    <row r="678" spans="1:12" x14ac:dyDescent="0.3">
      <c r="A678" s="4" t="s">
        <v>924</v>
      </c>
      <c r="B678" s="5" t="s">
        <v>33</v>
      </c>
      <c r="C678" s="5" t="s">
        <v>34</v>
      </c>
      <c r="D678" s="5" t="s">
        <v>35</v>
      </c>
      <c r="E678" s="5" t="s">
        <v>276</v>
      </c>
      <c r="F678" s="5" t="s">
        <v>17</v>
      </c>
      <c r="G678" s="5" t="s">
        <v>25</v>
      </c>
      <c r="H678" s="6">
        <v>45549</v>
      </c>
      <c r="I678" s="6">
        <v>45549</v>
      </c>
      <c r="J678" s="5">
        <f t="shared" si="30"/>
        <v>0</v>
      </c>
      <c r="K678" s="5" t="str">
        <f t="shared" si="31"/>
        <v>Met</v>
      </c>
      <c r="L678" s="7" t="str">
        <f t="shared" si="32"/>
        <v>Sep</v>
      </c>
    </row>
    <row r="679" spans="1:12" x14ac:dyDescent="0.3">
      <c r="A679" s="8" t="s">
        <v>925</v>
      </c>
      <c r="B679" s="9" t="s">
        <v>13</v>
      </c>
      <c r="C679" s="9" t="s">
        <v>58</v>
      </c>
      <c r="D679" s="9" t="s">
        <v>66</v>
      </c>
      <c r="E679" s="9" t="s">
        <v>278</v>
      </c>
      <c r="F679" s="9" t="s">
        <v>17</v>
      </c>
      <c r="G679" s="9" t="s">
        <v>45</v>
      </c>
      <c r="H679" s="10">
        <v>45576</v>
      </c>
      <c r="I679" s="10">
        <v>45576</v>
      </c>
      <c r="J679" s="5">
        <f t="shared" si="30"/>
        <v>0</v>
      </c>
      <c r="K679" s="5" t="str">
        <f t="shared" si="31"/>
        <v>Met</v>
      </c>
      <c r="L679" s="7" t="str">
        <f t="shared" si="32"/>
        <v>Oct</v>
      </c>
    </row>
    <row r="680" spans="1:12" x14ac:dyDescent="0.3">
      <c r="A680" s="4" t="s">
        <v>926</v>
      </c>
      <c r="B680" s="5" t="s">
        <v>27</v>
      </c>
      <c r="C680" s="5" t="s">
        <v>28</v>
      </c>
      <c r="D680" s="5" t="s">
        <v>66</v>
      </c>
      <c r="E680" s="5" t="s">
        <v>280</v>
      </c>
      <c r="F680" s="5" t="s">
        <v>24</v>
      </c>
      <c r="G680" s="5" t="s">
        <v>25</v>
      </c>
      <c r="H680" s="6">
        <v>45616</v>
      </c>
      <c r="I680" s="6">
        <v>45616</v>
      </c>
      <c r="J680" s="5">
        <f t="shared" si="30"/>
        <v>0</v>
      </c>
      <c r="K680" s="5" t="str">
        <f t="shared" si="31"/>
        <v>Met</v>
      </c>
      <c r="L680" s="7" t="str">
        <f t="shared" si="32"/>
        <v>Nov</v>
      </c>
    </row>
    <row r="681" spans="1:12" x14ac:dyDescent="0.3">
      <c r="A681" s="8" t="s">
        <v>927</v>
      </c>
      <c r="B681" s="9" t="s">
        <v>27</v>
      </c>
      <c r="C681" s="9" t="s">
        <v>153</v>
      </c>
      <c r="D681" s="9" t="s">
        <v>79</v>
      </c>
      <c r="E681" s="9" t="s">
        <v>282</v>
      </c>
      <c r="F681" s="9" t="s">
        <v>37</v>
      </c>
      <c r="G681" s="9" t="s">
        <v>53</v>
      </c>
      <c r="H681" s="10">
        <v>45478</v>
      </c>
      <c r="I681" s="10">
        <v>45478</v>
      </c>
      <c r="J681" s="5">
        <f t="shared" si="30"/>
        <v>0</v>
      </c>
      <c r="K681" s="5" t="str">
        <f t="shared" si="31"/>
        <v>Met</v>
      </c>
      <c r="L681" s="7" t="str">
        <f t="shared" si="32"/>
        <v>Jul</v>
      </c>
    </row>
    <row r="682" spans="1:12" x14ac:dyDescent="0.3">
      <c r="A682" s="4" t="s">
        <v>928</v>
      </c>
      <c r="B682" s="5" t="s">
        <v>20</v>
      </c>
      <c r="C682" s="5" t="s">
        <v>76</v>
      </c>
      <c r="D682" s="5" t="s">
        <v>148</v>
      </c>
      <c r="E682" s="5" t="s">
        <v>284</v>
      </c>
      <c r="F682" s="5" t="s">
        <v>37</v>
      </c>
      <c r="G682" s="5" t="s">
        <v>53</v>
      </c>
      <c r="H682" s="6">
        <v>45569</v>
      </c>
      <c r="I682" s="6">
        <v>45569</v>
      </c>
      <c r="J682" s="5">
        <f t="shared" si="30"/>
        <v>0</v>
      </c>
      <c r="K682" s="5" t="str">
        <f t="shared" si="31"/>
        <v>Met</v>
      </c>
      <c r="L682" s="7" t="str">
        <f t="shared" si="32"/>
        <v>Oct</v>
      </c>
    </row>
    <row r="683" spans="1:12" x14ac:dyDescent="0.3">
      <c r="A683" s="8" t="s">
        <v>929</v>
      </c>
      <c r="B683" s="9" t="s">
        <v>39</v>
      </c>
      <c r="C683" s="9" t="s">
        <v>99</v>
      </c>
      <c r="D683" s="9" t="s">
        <v>79</v>
      </c>
      <c r="E683" s="9" t="s">
        <v>286</v>
      </c>
      <c r="F683" s="9" t="s">
        <v>24</v>
      </c>
      <c r="G683" s="9" t="s">
        <v>18</v>
      </c>
      <c r="H683" s="10">
        <v>45589</v>
      </c>
      <c r="I683" s="10">
        <v>45589</v>
      </c>
      <c r="J683" s="5">
        <f t="shared" si="30"/>
        <v>0</v>
      </c>
      <c r="K683" s="5" t="str">
        <f t="shared" si="31"/>
        <v>Met</v>
      </c>
      <c r="L683" s="7" t="str">
        <f t="shared" si="32"/>
        <v>Oct</v>
      </c>
    </row>
    <row r="684" spans="1:12" x14ac:dyDescent="0.3">
      <c r="A684" s="4" t="s">
        <v>930</v>
      </c>
      <c r="B684" s="5" t="s">
        <v>20</v>
      </c>
      <c r="C684" s="5" t="s">
        <v>21</v>
      </c>
      <c r="D684" s="5" t="s">
        <v>66</v>
      </c>
      <c r="E684" s="5" t="s">
        <v>288</v>
      </c>
      <c r="F684" s="5" t="s">
        <v>17</v>
      </c>
      <c r="G684" s="5" t="s">
        <v>53</v>
      </c>
      <c r="H684" s="6">
        <v>45520</v>
      </c>
      <c r="I684" s="6">
        <v>45520</v>
      </c>
      <c r="J684" s="5">
        <f t="shared" si="30"/>
        <v>0</v>
      </c>
      <c r="K684" s="5" t="str">
        <f t="shared" si="31"/>
        <v>Met</v>
      </c>
      <c r="L684" s="7" t="str">
        <f t="shared" si="32"/>
        <v>Aug</v>
      </c>
    </row>
    <row r="685" spans="1:12" x14ac:dyDescent="0.3">
      <c r="A685" s="8" t="s">
        <v>931</v>
      </c>
      <c r="B685" s="9" t="s">
        <v>13</v>
      </c>
      <c r="C685" s="9" t="s">
        <v>14</v>
      </c>
      <c r="D685" s="9" t="s">
        <v>22</v>
      </c>
      <c r="E685" s="9" t="s">
        <v>290</v>
      </c>
      <c r="F685" s="9" t="s">
        <v>24</v>
      </c>
      <c r="G685" s="9" t="s">
        <v>25</v>
      </c>
      <c r="H685" s="10">
        <v>45586</v>
      </c>
      <c r="I685" s="10">
        <v>45586</v>
      </c>
      <c r="J685" s="5">
        <f t="shared" si="30"/>
        <v>0</v>
      </c>
      <c r="K685" s="5" t="str">
        <f t="shared" si="31"/>
        <v>Met</v>
      </c>
      <c r="L685" s="7" t="str">
        <f t="shared" si="32"/>
        <v>Oct</v>
      </c>
    </row>
    <row r="686" spans="1:12" x14ac:dyDescent="0.3">
      <c r="A686" s="4" t="s">
        <v>932</v>
      </c>
      <c r="B686" s="5" t="s">
        <v>20</v>
      </c>
      <c r="C686" s="5" t="s">
        <v>76</v>
      </c>
      <c r="D686" s="5" t="s">
        <v>22</v>
      </c>
      <c r="E686" s="5" t="s">
        <v>292</v>
      </c>
      <c r="F686" s="5" t="s">
        <v>24</v>
      </c>
      <c r="G686" s="5" t="s">
        <v>42</v>
      </c>
      <c r="H686" s="6">
        <v>45633</v>
      </c>
      <c r="I686" s="6">
        <v>45633</v>
      </c>
      <c r="J686" s="5">
        <f t="shared" si="30"/>
        <v>0</v>
      </c>
      <c r="K686" s="5" t="str">
        <f t="shared" si="31"/>
        <v>Met</v>
      </c>
      <c r="L686" s="7" t="str">
        <f t="shared" si="32"/>
        <v>Dec</v>
      </c>
    </row>
    <row r="687" spans="1:12" x14ac:dyDescent="0.3">
      <c r="A687" s="8" t="s">
        <v>933</v>
      </c>
      <c r="B687" s="9" t="s">
        <v>33</v>
      </c>
      <c r="C687" s="9" t="s">
        <v>34</v>
      </c>
      <c r="D687" s="9" t="s">
        <v>79</v>
      </c>
      <c r="E687" s="9" t="s">
        <v>294</v>
      </c>
      <c r="F687" s="9" t="s">
        <v>37</v>
      </c>
      <c r="G687" s="9" t="s">
        <v>53</v>
      </c>
      <c r="H687" s="10">
        <v>45481</v>
      </c>
      <c r="I687" s="10">
        <v>45481</v>
      </c>
      <c r="J687" s="5">
        <f t="shared" si="30"/>
        <v>0</v>
      </c>
      <c r="K687" s="5" t="str">
        <f t="shared" si="31"/>
        <v>Met</v>
      </c>
      <c r="L687" s="7" t="str">
        <f t="shared" si="32"/>
        <v>Jul</v>
      </c>
    </row>
    <row r="688" spans="1:12" x14ac:dyDescent="0.3">
      <c r="A688" s="4" t="s">
        <v>934</v>
      </c>
      <c r="B688" s="5" t="s">
        <v>33</v>
      </c>
      <c r="C688" s="5" t="s">
        <v>55</v>
      </c>
      <c r="D688" s="5" t="s">
        <v>148</v>
      </c>
      <c r="E688" s="5" t="s">
        <v>296</v>
      </c>
      <c r="F688" s="5" t="s">
        <v>17</v>
      </c>
      <c r="G688" s="5" t="s">
        <v>53</v>
      </c>
      <c r="H688" s="6">
        <v>45616</v>
      </c>
      <c r="I688" s="6">
        <v>45616</v>
      </c>
      <c r="J688" s="5">
        <f t="shared" si="30"/>
        <v>0</v>
      </c>
      <c r="K688" s="5" t="str">
        <f t="shared" si="31"/>
        <v>Met</v>
      </c>
      <c r="L688" s="7" t="str">
        <f t="shared" si="32"/>
        <v>Nov</v>
      </c>
    </row>
    <row r="689" spans="1:12" x14ac:dyDescent="0.3">
      <c r="A689" s="8" t="s">
        <v>935</v>
      </c>
      <c r="B689" s="9" t="s">
        <v>27</v>
      </c>
      <c r="C689" s="9" t="s">
        <v>28</v>
      </c>
      <c r="D689" s="9" t="s">
        <v>86</v>
      </c>
      <c r="E689" s="9" t="s">
        <v>298</v>
      </c>
      <c r="F689" s="9" t="s">
        <v>24</v>
      </c>
      <c r="G689" s="9" t="s">
        <v>18</v>
      </c>
      <c r="H689" s="10">
        <v>45588</v>
      </c>
      <c r="I689" s="10">
        <v>45588</v>
      </c>
      <c r="J689" s="5">
        <f t="shared" si="30"/>
        <v>0</v>
      </c>
      <c r="K689" s="5" t="str">
        <f t="shared" si="31"/>
        <v>Met</v>
      </c>
      <c r="L689" s="7" t="str">
        <f t="shared" si="32"/>
        <v>Oct</v>
      </c>
    </row>
    <row r="690" spans="1:12" x14ac:dyDescent="0.3">
      <c r="A690" s="4" t="s">
        <v>936</v>
      </c>
      <c r="B690" s="5" t="s">
        <v>39</v>
      </c>
      <c r="C690" s="5" t="s">
        <v>40</v>
      </c>
      <c r="D690" s="5" t="s">
        <v>15</v>
      </c>
      <c r="E690" s="5" t="s">
        <v>300</v>
      </c>
      <c r="F690" s="5" t="s">
        <v>24</v>
      </c>
      <c r="G690" s="5" t="s">
        <v>42</v>
      </c>
      <c r="H690" s="6">
        <v>45512</v>
      </c>
      <c r="I690" s="6">
        <v>45512</v>
      </c>
      <c r="J690" s="5">
        <f t="shared" si="30"/>
        <v>0</v>
      </c>
      <c r="K690" s="5" t="str">
        <f t="shared" si="31"/>
        <v>Met</v>
      </c>
      <c r="L690" s="7" t="str">
        <f t="shared" si="32"/>
        <v>Aug</v>
      </c>
    </row>
    <row r="691" spans="1:12" x14ac:dyDescent="0.3">
      <c r="A691" s="8" t="s">
        <v>937</v>
      </c>
      <c r="B691" s="9" t="s">
        <v>27</v>
      </c>
      <c r="C691" s="9" t="s">
        <v>28</v>
      </c>
      <c r="D691" s="9" t="s">
        <v>35</v>
      </c>
      <c r="E691" s="9" t="s">
        <v>302</v>
      </c>
      <c r="F691" s="9" t="s">
        <v>24</v>
      </c>
      <c r="G691" s="9" t="s">
        <v>45</v>
      </c>
      <c r="H691" s="10">
        <v>45598</v>
      </c>
      <c r="I691" s="10">
        <v>45598</v>
      </c>
      <c r="J691" s="5">
        <f t="shared" si="30"/>
        <v>0</v>
      </c>
      <c r="K691" s="5" t="str">
        <f t="shared" si="31"/>
        <v>Met</v>
      </c>
      <c r="L691" s="7" t="str">
        <f t="shared" si="32"/>
        <v>Nov</v>
      </c>
    </row>
    <row r="692" spans="1:12" x14ac:dyDescent="0.3">
      <c r="A692" s="4" t="s">
        <v>938</v>
      </c>
      <c r="B692" s="5" t="s">
        <v>13</v>
      </c>
      <c r="C692" s="5" t="s">
        <v>58</v>
      </c>
      <c r="D692" s="5" t="s">
        <v>86</v>
      </c>
      <c r="E692" s="5" t="s">
        <v>304</v>
      </c>
      <c r="F692" s="5" t="s">
        <v>37</v>
      </c>
      <c r="G692" s="5" t="s">
        <v>42</v>
      </c>
      <c r="H692" s="6">
        <v>45582</v>
      </c>
      <c r="I692" s="6">
        <v>45582</v>
      </c>
      <c r="J692" s="5">
        <f t="shared" si="30"/>
        <v>0</v>
      </c>
      <c r="K692" s="5" t="str">
        <f t="shared" si="31"/>
        <v>Met</v>
      </c>
      <c r="L692" s="7" t="str">
        <f t="shared" si="32"/>
        <v>Oct</v>
      </c>
    </row>
    <row r="693" spans="1:12" x14ac:dyDescent="0.3">
      <c r="A693" s="8" t="s">
        <v>939</v>
      </c>
      <c r="B693" s="9" t="s">
        <v>27</v>
      </c>
      <c r="C693" s="9" t="s">
        <v>47</v>
      </c>
      <c r="D693" s="9" t="s">
        <v>66</v>
      </c>
      <c r="E693" s="9" t="s">
        <v>306</v>
      </c>
      <c r="F693" s="9" t="s">
        <v>17</v>
      </c>
      <c r="G693" s="9" t="s">
        <v>18</v>
      </c>
      <c r="H693" s="10">
        <v>45486</v>
      </c>
      <c r="I693" s="10">
        <v>45486</v>
      </c>
      <c r="J693" s="5">
        <f t="shared" si="30"/>
        <v>0</v>
      </c>
      <c r="K693" s="5" t="str">
        <f t="shared" si="31"/>
        <v>Met</v>
      </c>
      <c r="L693" s="7" t="str">
        <f t="shared" si="32"/>
        <v>Jul</v>
      </c>
    </row>
    <row r="694" spans="1:12" x14ac:dyDescent="0.3">
      <c r="A694" s="4" t="s">
        <v>940</v>
      </c>
      <c r="B694" s="5" t="s">
        <v>20</v>
      </c>
      <c r="C694" s="5" t="s">
        <v>21</v>
      </c>
      <c r="D694" s="5" t="s">
        <v>35</v>
      </c>
      <c r="E694" s="5" t="s">
        <v>308</v>
      </c>
      <c r="F694" s="5" t="s">
        <v>17</v>
      </c>
      <c r="G694" s="5" t="s">
        <v>31</v>
      </c>
      <c r="H694" s="6">
        <v>45487</v>
      </c>
      <c r="I694" s="6">
        <f>[1]!Table1[[#This Row],[Open Date]]</f>
        <v>45487</v>
      </c>
      <c r="J694" s="5">
        <f t="shared" si="30"/>
        <v>0</v>
      </c>
      <c r="K694" s="5" t="str">
        <f t="shared" si="31"/>
        <v>Met</v>
      </c>
      <c r="L694" s="7" t="str">
        <f t="shared" si="32"/>
        <v>Jul</v>
      </c>
    </row>
    <row r="695" spans="1:12" x14ac:dyDescent="0.3">
      <c r="A695" s="8" t="s">
        <v>941</v>
      </c>
      <c r="B695" s="9" t="s">
        <v>13</v>
      </c>
      <c r="C695" s="9" t="s">
        <v>58</v>
      </c>
      <c r="D695" s="9" t="s">
        <v>35</v>
      </c>
      <c r="E695" s="9" t="s">
        <v>310</v>
      </c>
      <c r="F695" s="9" t="s">
        <v>17</v>
      </c>
      <c r="G695" s="9" t="s">
        <v>53</v>
      </c>
      <c r="H695" s="10">
        <v>45519</v>
      </c>
      <c r="I695" s="10">
        <v>45519</v>
      </c>
      <c r="J695" s="5">
        <f t="shared" si="30"/>
        <v>0</v>
      </c>
      <c r="K695" s="5" t="str">
        <f t="shared" si="31"/>
        <v>Met</v>
      </c>
      <c r="L695" s="7" t="str">
        <f t="shared" si="32"/>
        <v>Aug</v>
      </c>
    </row>
    <row r="696" spans="1:12" x14ac:dyDescent="0.3">
      <c r="A696" s="4" t="s">
        <v>942</v>
      </c>
      <c r="B696" s="5" t="s">
        <v>27</v>
      </c>
      <c r="C696" s="5" t="s">
        <v>153</v>
      </c>
      <c r="D696" s="5" t="s">
        <v>15</v>
      </c>
      <c r="E696" s="5" t="s">
        <v>312</v>
      </c>
      <c r="F696" s="5" t="s">
        <v>24</v>
      </c>
      <c r="G696" s="5" t="s">
        <v>31</v>
      </c>
      <c r="H696" s="6">
        <v>45484</v>
      </c>
      <c r="I696" s="6">
        <v>45484</v>
      </c>
      <c r="J696" s="5">
        <f t="shared" si="30"/>
        <v>0</v>
      </c>
      <c r="K696" s="5" t="str">
        <f t="shared" si="31"/>
        <v>Met</v>
      </c>
      <c r="L696" s="7" t="str">
        <f t="shared" si="32"/>
        <v>Jul</v>
      </c>
    </row>
    <row r="697" spans="1:12" x14ac:dyDescent="0.3">
      <c r="A697" s="8" t="s">
        <v>943</v>
      </c>
      <c r="B697" s="9" t="s">
        <v>33</v>
      </c>
      <c r="C697" s="9" t="s">
        <v>69</v>
      </c>
      <c r="D697" s="9" t="s">
        <v>35</v>
      </c>
      <c r="E697" s="9" t="s">
        <v>314</v>
      </c>
      <c r="F697" s="9" t="s">
        <v>37</v>
      </c>
      <c r="G697" s="9" t="s">
        <v>53</v>
      </c>
      <c r="H697" s="10">
        <v>45565</v>
      </c>
      <c r="I697" s="10">
        <v>45565</v>
      </c>
      <c r="J697" s="5">
        <f t="shared" si="30"/>
        <v>0</v>
      </c>
      <c r="K697" s="5" t="str">
        <f t="shared" si="31"/>
        <v>Met</v>
      </c>
      <c r="L697" s="7" t="str">
        <f t="shared" si="32"/>
        <v>Sep</v>
      </c>
    </row>
    <row r="698" spans="1:12" x14ac:dyDescent="0.3">
      <c r="A698" s="4" t="s">
        <v>944</v>
      </c>
      <c r="B698" s="5" t="s">
        <v>13</v>
      </c>
      <c r="C698" s="5" t="s">
        <v>14</v>
      </c>
      <c r="D698" s="5" t="s">
        <v>148</v>
      </c>
      <c r="E698" s="5" t="s">
        <v>316</v>
      </c>
      <c r="F698" s="5" t="s">
        <v>17</v>
      </c>
      <c r="G698" s="5" t="s">
        <v>45</v>
      </c>
      <c r="H698" s="6">
        <v>45488</v>
      </c>
      <c r="I698" s="6">
        <f>[1]!Table1[[#This Row],[Open Date]]</f>
        <v>45488</v>
      </c>
      <c r="J698" s="5">
        <f t="shared" si="30"/>
        <v>0</v>
      </c>
      <c r="K698" s="5" t="str">
        <f t="shared" si="31"/>
        <v>Met</v>
      </c>
      <c r="L698" s="7" t="str">
        <f t="shared" si="32"/>
        <v>Jul</v>
      </c>
    </row>
    <row r="699" spans="1:12" x14ac:dyDescent="0.3">
      <c r="A699" s="8" t="s">
        <v>945</v>
      </c>
      <c r="B699" s="9" t="s">
        <v>13</v>
      </c>
      <c r="C699" s="9" t="s">
        <v>14</v>
      </c>
      <c r="D699" s="9" t="s">
        <v>35</v>
      </c>
      <c r="E699" s="9" t="s">
        <v>318</v>
      </c>
      <c r="F699" s="9" t="s">
        <v>17</v>
      </c>
      <c r="G699" s="9" t="s">
        <v>42</v>
      </c>
      <c r="H699" s="10">
        <v>45569</v>
      </c>
      <c r="I699" s="10">
        <v>45569</v>
      </c>
      <c r="J699" s="5">
        <f t="shared" si="30"/>
        <v>0</v>
      </c>
      <c r="K699" s="5" t="str">
        <f t="shared" si="31"/>
        <v>Met</v>
      </c>
      <c r="L699" s="7" t="str">
        <f t="shared" si="32"/>
        <v>Oct</v>
      </c>
    </row>
    <row r="700" spans="1:12" x14ac:dyDescent="0.3">
      <c r="A700" s="4" t="s">
        <v>946</v>
      </c>
      <c r="B700" s="5" t="s">
        <v>13</v>
      </c>
      <c r="C700" s="5" t="s">
        <v>14</v>
      </c>
      <c r="D700" s="5" t="s">
        <v>29</v>
      </c>
      <c r="E700" s="5" t="s">
        <v>320</v>
      </c>
      <c r="F700" s="5" t="s">
        <v>24</v>
      </c>
      <c r="G700" s="5" t="s">
        <v>18</v>
      </c>
      <c r="H700" s="6">
        <v>45515</v>
      </c>
      <c r="I700" s="6">
        <v>45515</v>
      </c>
      <c r="J700" s="5">
        <f t="shared" si="30"/>
        <v>0</v>
      </c>
      <c r="K700" s="5" t="str">
        <f t="shared" si="31"/>
        <v>Met</v>
      </c>
      <c r="L700" s="7" t="str">
        <f t="shared" si="32"/>
        <v>Aug</v>
      </c>
    </row>
    <row r="701" spans="1:12" x14ac:dyDescent="0.3">
      <c r="A701" s="8" t="s">
        <v>947</v>
      </c>
      <c r="B701" s="9" t="s">
        <v>20</v>
      </c>
      <c r="C701" s="9" t="s">
        <v>93</v>
      </c>
      <c r="D701" s="9" t="s">
        <v>35</v>
      </c>
      <c r="E701" s="9" t="s">
        <v>322</v>
      </c>
      <c r="F701" s="9" t="s">
        <v>24</v>
      </c>
      <c r="G701" s="9" t="s">
        <v>53</v>
      </c>
      <c r="H701" s="10">
        <v>45537</v>
      </c>
      <c r="I701" s="10">
        <v>45537</v>
      </c>
      <c r="J701" s="5">
        <f t="shared" si="30"/>
        <v>0</v>
      </c>
      <c r="K701" s="5" t="str">
        <f t="shared" si="31"/>
        <v>Met</v>
      </c>
      <c r="L701" s="7" t="str">
        <f t="shared" si="32"/>
        <v>Sep</v>
      </c>
    </row>
    <row r="702" spans="1:12" x14ac:dyDescent="0.3">
      <c r="A702" s="4" t="s">
        <v>948</v>
      </c>
      <c r="B702" s="5" t="s">
        <v>39</v>
      </c>
      <c r="C702" s="5" t="s">
        <v>99</v>
      </c>
      <c r="D702" s="5" t="s">
        <v>35</v>
      </c>
      <c r="E702" s="5" t="s">
        <v>324</v>
      </c>
      <c r="F702" s="5" t="s">
        <v>24</v>
      </c>
      <c r="G702" s="5" t="s">
        <v>53</v>
      </c>
      <c r="H702" s="6">
        <v>45620</v>
      </c>
      <c r="I702" s="6">
        <v>45620</v>
      </c>
      <c r="J702" s="5">
        <f t="shared" si="30"/>
        <v>0</v>
      </c>
      <c r="K702" s="5" t="str">
        <f t="shared" si="31"/>
        <v>Met</v>
      </c>
      <c r="L702" s="7" t="str">
        <f t="shared" si="32"/>
        <v>Nov</v>
      </c>
    </row>
    <row r="703" spans="1:12" x14ac:dyDescent="0.3">
      <c r="A703" s="8" t="s">
        <v>949</v>
      </c>
      <c r="B703" s="9" t="s">
        <v>13</v>
      </c>
      <c r="C703" s="9" t="s">
        <v>61</v>
      </c>
      <c r="D703" s="9" t="s">
        <v>35</v>
      </c>
      <c r="E703" s="9" t="s">
        <v>326</v>
      </c>
      <c r="F703" s="9" t="s">
        <v>37</v>
      </c>
      <c r="G703" s="9" t="s">
        <v>42</v>
      </c>
      <c r="H703" s="10">
        <v>45536</v>
      </c>
      <c r="I703" s="10">
        <v>45536</v>
      </c>
      <c r="J703" s="5">
        <f t="shared" si="30"/>
        <v>0</v>
      </c>
      <c r="K703" s="5" t="str">
        <f t="shared" si="31"/>
        <v>Met</v>
      </c>
      <c r="L703" s="7" t="str">
        <f t="shared" si="32"/>
        <v>Sep</v>
      </c>
    </row>
    <row r="704" spans="1:12" x14ac:dyDescent="0.3">
      <c r="A704" s="4" t="s">
        <v>950</v>
      </c>
      <c r="B704" s="5" t="s">
        <v>20</v>
      </c>
      <c r="C704" s="5" t="s">
        <v>76</v>
      </c>
      <c r="D704" s="5" t="s">
        <v>148</v>
      </c>
      <c r="E704" s="5" t="s">
        <v>328</v>
      </c>
      <c r="F704" s="5" t="s">
        <v>17</v>
      </c>
      <c r="G704" s="5" t="s">
        <v>53</v>
      </c>
      <c r="H704" s="6">
        <v>45521</v>
      </c>
      <c r="I704" s="6">
        <v>45521</v>
      </c>
      <c r="J704" s="5">
        <f t="shared" si="30"/>
        <v>0</v>
      </c>
      <c r="K704" s="5" t="str">
        <f t="shared" si="31"/>
        <v>Met</v>
      </c>
      <c r="L704" s="7" t="str">
        <f t="shared" si="32"/>
        <v>Aug</v>
      </c>
    </row>
    <row r="705" spans="1:12" x14ac:dyDescent="0.3">
      <c r="A705" s="8" t="s">
        <v>951</v>
      </c>
      <c r="B705" s="9" t="s">
        <v>13</v>
      </c>
      <c r="C705" s="9" t="s">
        <v>14</v>
      </c>
      <c r="D705" s="9" t="s">
        <v>66</v>
      </c>
      <c r="E705" s="9" t="s">
        <v>330</v>
      </c>
      <c r="F705" s="9" t="s">
        <v>37</v>
      </c>
      <c r="G705" s="9" t="s">
        <v>45</v>
      </c>
      <c r="H705" s="10">
        <v>45486</v>
      </c>
      <c r="I705" s="10">
        <f>[1]!Table1[[#This Row],[Open Date]]</f>
        <v>45486</v>
      </c>
      <c r="J705" s="5">
        <f t="shared" si="30"/>
        <v>0</v>
      </c>
      <c r="K705" s="5" t="str">
        <f t="shared" si="31"/>
        <v>Met</v>
      </c>
      <c r="L705" s="7" t="str">
        <f t="shared" si="32"/>
        <v>Jul</v>
      </c>
    </row>
    <row r="706" spans="1:12" x14ac:dyDescent="0.3">
      <c r="A706" s="4" t="s">
        <v>952</v>
      </c>
      <c r="B706" s="5" t="s">
        <v>20</v>
      </c>
      <c r="C706" s="5" t="s">
        <v>21</v>
      </c>
      <c r="D706" s="5" t="s">
        <v>15</v>
      </c>
      <c r="E706" s="5" t="s">
        <v>332</v>
      </c>
      <c r="F706" s="5" t="s">
        <v>24</v>
      </c>
      <c r="G706" s="5" t="s">
        <v>31</v>
      </c>
      <c r="H706" s="6">
        <v>45562</v>
      </c>
      <c r="I706" s="6">
        <v>45562</v>
      </c>
      <c r="J706" s="5">
        <f t="shared" si="30"/>
        <v>0</v>
      </c>
      <c r="K706" s="5" t="str">
        <f t="shared" si="31"/>
        <v>Met</v>
      </c>
      <c r="L706" s="7" t="str">
        <f t="shared" si="32"/>
        <v>Sep</v>
      </c>
    </row>
    <row r="707" spans="1:12" x14ac:dyDescent="0.3">
      <c r="A707" s="8" t="s">
        <v>953</v>
      </c>
      <c r="B707" s="9" t="s">
        <v>33</v>
      </c>
      <c r="C707" s="9" t="s">
        <v>34</v>
      </c>
      <c r="D707" s="9" t="s">
        <v>148</v>
      </c>
      <c r="E707" s="9" t="s">
        <v>334</v>
      </c>
      <c r="F707" s="9" t="s">
        <v>24</v>
      </c>
      <c r="G707" s="9" t="s">
        <v>53</v>
      </c>
      <c r="H707" s="10">
        <v>45544</v>
      </c>
      <c r="I707" s="10">
        <v>45544</v>
      </c>
      <c r="J707" s="5">
        <f t="shared" ref="J707:J770" si="33">I707-H707</f>
        <v>0</v>
      </c>
      <c r="K707" s="5" t="str">
        <f t="shared" ref="K707:K770" si="34">IF(J707&gt;= 1, "Not Met","Met")</f>
        <v>Met</v>
      </c>
      <c r="L707" s="7" t="str">
        <f t="shared" ref="L707:L770" si="35">TEXT(H707,"MMM")</f>
        <v>Sep</v>
      </c>
    </row>
    <row r="708" spans="1:12" x14ac:dyDescent="0.3">
      <c r="A708" s="4" t="s">
        <v>954</v>
      </c>
      <c r="B708" s="5" t="s">
        <v>20</v>
      </c>
      <c r="C708" s="5" t="s">
        <v>76</v>
      </c>
      <c r="D708" s="5" t="s">
        <v>15</v>
      </c>
      <c r="E708" s="5" t="s">
        <v>336</v>
      </c>
      <c r="F708" s="5" t="s">
        <v>37</v>
      </c>
      <c r="G708" s="5" t="s">
        <v>25</v>
      </c>
      <c r="H708" s="6">
        <v>45588</v>
      </c>
      <c r="I708" s="6">
        <v>45588</v>
      </c>
      <c r="J708" s="5">
        <f t="shared" si="33"/>
        <v>0</v>
      </c>
      <c r="K708" s="5" t="str">
        <f t="shared" si="34"/>
        <v>Met</v>
      </c>
      <c r="L708" s="7" t="str">
        <f t="shared" si="35"/>
        <v>Oct</v>
      </c>
    </row>
    <row r="709" spans="1:12" x14ac:dyDescent="0.3">
      <c r="A709" s="8" t="s">
        <v>955</v>
      </c>
      <c r="B709" s="9" t="s">
        <v>27</v>
      </c>
      <c r="C709" s="9" t="s">
        <v>153</v>
      </c>
      <c r="D709" s="9" t="s">
        <v>79</v>
      </c>
      <c r="E709" s="9" t="s">
        <v>338</v>
      </c>
      <c r="F709" s="9" t="s">
        <v>17</v>
      </c>
      <c r="G709" s="9" t="s">
        <v>18</v>
      </c>
      <c r="H709" s="10">
        <v>45576</v>
      </c>
      <c r="I709" s="10">
        <v>45576</v>
      </c>
      <c r="J709" s="5">
        <f t="shared" si="33"/>
        <v>0</v>
      </c>
      <c r="K709" s="5" t="str">
        <f t="shared" si="34"/>
        <v>Met</v>
      </c>
      <c r="L709" s="7" t="str">
        <f t="shared" si="35"/>
        <v>Oct</v>
      </c>
    </row>
    <row r="710" spans="1:12" x14ac:dyDescent="0.3">
      <c r="A710" s="4" t="s">
        <v>956</v>
      </c>
      <c r="B710" s="5" t="s">
        <v>20</v>
      </c>
      <c r="C710" s="5" t="s">
        <v>76</v>
      </c>
      <c r="D710" s="5" t="s">
        <v>86</v>
      </c>
      <c r="E710" s="5" t="s">
        <v>340</v>
      </c>
      <c r="F710" s="5" t="s">
        <v>37</v>
      </c>
      <c r="G710" s="5" t="s">
        <v>31</v>
      </c>
      <c r="H710" s="6">
        <v>45559</v>
      </c>
      <c r="I710" s="6">
        <v>45559</v>
      </c>
      <c r="J710" s="5">
        <f t="shared" si="33"/>
        <v>0</v>
      </c>
      <c r="K710" s="5" t="str">
        <f t="shared" si="34"/>
        <v>Met</v>
      </c>
      <c r="L710" s="7" t="str">
        <f t="shared" si="35"/>
        <v>Sep</v>
      </c>
    </row>
    <row r="711" spans="1:12" x14ac:dyDescent="0.3">
      <c r="A711" s="8" t="s">
        <v>957</v>
      </c>
      <c r="B711" s="9" t="s">
        <v>13</v>
      </c>
      <c r="C711" s="9" t="s">
        <v>61</v>
      </c>
      <c r="D711" s="9" t="s">
        <v>148</v>
      </c>
      <c r="E711" s="9" t="s">
        <v>342</v>
      </c>
      <c r="F711" s="9" t="s">
        <v>17</v>
      </c>
      <c r="G711" s="9" t="s">
        <v>53</v>
      </c>
      <c r="H711" s="10">
        <v>45497</v>
      </c>
      <c r="I711" s="10">
        <v>45497</v>
      </c>
      <c r="J711" s="5">
        <f t="shared" si="33"/>
        <v>0</v>
      </c>
      <c r="K711" s="5" t="str">
        <f t="shared" si="34"/>
        <v>Met</v>
      </c>
      <c r="L711" s="7" t="str">
        <f t="shared" si="35"/>
        <v>Jul</v>
      </c>
    </row>
    <row r="712" spans="1:12" x14ac:dyDescent="0.3">
      <c r="A712" s="4" t="s">
        <v>958</v>
      </c>
      <c r="B712" s="5" t="s">
        <v>33</v>
      </c>
      <c r="C712" s="5" t="s">
        <v>69</v>
      </c>
      <c r="D712" s="5" t="s">
        <v>29</v>
      </c>
      <c r="E712" s="5" t="s">
        <v>344</v>
      </c>
      <c r="F712" s="5" t="s">
        <v>37</v>
      </c>
      <c r="G712" s="5" t="s">
        <v>25</v>
      </c>
      <c r="H712" s="6">
        <v>45582</v>
      </c>
      <c r="I712" s="6">
        <v>45582</v>
      </c>
      <c r="J712" s="5">
        <f t="shared" si="33"/>
        <v>0</v>
      </c>
      <c r="K712" s="5" t="str">
        <f t="shared" si="34"/>
        <v>Met</v>
      </c>
      <c r="L712" s="7" t="str">
        <f t="shared" si="35"/>
        <v>Oct</v>
      </c>
    </row>
    <row r="713" spans="1:12" x14ac:dyDescent="0.3">
      <c r="A713" s="8" t="s">
        <v>959</v>
      </c>
      <c r="B713" s="9" t="s">
        <v>33</v>
      </c>
      <c r="C713" s="9" t="s">
        <v>69</v>
      </c>
      <c r="D713" s="9" t="s">
        <v>35</v>
      </c>
      <c r="E713" s="9" t="s">
        <v>346</v>
      </c>
      <c r="F713" s="9" t="s">
        <v>37</v>
      </c>
      <c r="G713" s="9" t="s">
        <v>53</v>
      </c>
      <c r="H713" s="10">
        <v>45609</v>
      </c>
      <c r="I713" s="10">
        <v>45609</v>
      </c>
      <c r="J713" s="5">
        <f t="shared" si="33"/>
        <v>0</v>
      </c>
      <c r="K713" s="5" t="str">
        <f t="shared" si="34"/>
        <v>Met</v>
      </c>
      <c r="L713" s="7" t="str">
        <f t="shared" si="35"/>
        <v>Nov</v>
      </c>
    </row>
    <row r="714" spans="1:12" x14ac:dyDescent="0.3">
      <c r="A714" s="4" t="s">
        <v>960</v>
      </c>
      <c r="B714" s="5" t="s">
        <v>39</v>
      </c>
      <c r="C714" s="5" t="s">
        <v>40</v>
      </c>
      <c r="D714" s="5" t="s">
        <v>79</v>
      </c>
      <c r="E714" s="5" t="s">
        <v>348</v>
      </c>
      <c r="F714" s="5" t="s">
        <v>24</v>
      </c>
      <c r="G714" s="5" t="s">
        <v>45</v>
      </c>
      <c r="H714" s="6">
        <v>45588</v>
      </c>
      <c r="I714" s="6">
        <v>45588</v>
      </c>
      <c r="J714" s="5">
        <f t="shared" si="33"/>
        <v>0</v>
      </c>
      <c r="K714" s="5" t="str">
        <f t="shared" si="34"/>
        <v>Met</v>
      </c>
      <c r="L714" s="7" t="str">
        <f t="shared" si="35"/>
        <v>Oct</v>
      </c>
    </row>
    <row r="715" spans="1:12" x14ac:dyDescent="0.3">
      <c r="A715" s="8" t="s">
        <v>961</v>
      </c>
      <c r="B715" s="9" t="s">
        <v>13</v>
      </c>
      <c r="C715" s="9" t="s">
        <v>14</v>
      </c>
      <c r="D715" s="9" t="s">
        <v>15</v>
      </c>
      <c r="E715" s="9" t="s">
        <v>350</v>
      </c>
      <c r="F715" s="9" t="s">
        <v>37</v>
      </c>
      <c r="G715" s="9" t="s">
        <v>53</v>
      </c>
      <c r="H715" s="10">
        <v>45515</v>
      </c>
      <c r="I715" s="10">
        <v>45515</v>
      </c>
      <c r="J715" s="5">
        <f t="shared" si="33"/>
        <v>0</v>
      </c>
      <c r="K715" s="5" t="str">
        <f t="shared" si="34"/>
        <v>Met</v>
      </c>
      <c r="L715" s="7" t="str">
        <f t="shared" si="35"/>
        <v>Aug</v>
      </c>
    </row>
    <row r="716" spans="1:12" x14ac:dyDescent="0.3">
      <c r="A716" s="4" t="s">
        <v>962</v>
      </c>
      <c r="B716" s="5" t="s">
        <v>33</v>
      </c>
      <c r="C716" s="5" t="s">
        <v>34</v>
      </c>
      <c r="D716" s="5" t="s">
        <v>148</v>
      </c>
      <c r="E716" s="5" t="s">
        <v>352</v>
      </c>
      <c r="F716" s="5" t="s">
        <v>17</v>
      </c>
      <c r="G716" s="5" t="s">
        <v>18</v>
      </c>
      <c r="H716" s="6">
        <v>45563</v>
      </c>
      <c r="I716" s="6">
        <v>45563</v>
      </c>
      <c r="J716" s="5">
        <f t="shared" si="33"/>
        <v>0</v>
      </c>
      <c r="K716" s="5" t="str">
        <f t="shared" si="34"/>
        <v>Met</v>
      </c>
      <c r="L716" s="7" t="str">
        <f t="shared" si="35"/>
        <v>Sep</v>
      </c>
    </row>
    <row r="717" spans="1:12" x14ac:dyDescent="0.3">
      <c r="A717" s="8" t="s">
        <v>963</v>
      </c>
      <c r="B717" s="9" t="s">
        <v>20</v>
      </c>
      <c r="C717" s="9" t="s">
        <v>76</v>
      </c>
      <c r="D717" s="9" t="s">
        <v>79</v>
      </c>
      <c r="E717" s="9" t="s">
        <v>354</v>
      </c>
      <c r="F717" s="9" t="s">
        <v>17</v>
      </c>
      <c r="G717" s="9" t="s">
        <v>42</v>
      </c>
      <c r="H717" s="10">
        <v>45630</v>
      </c>
      <c r="I717" s="10">
        <v>45630</v>
      </c>
      <c r="J717" s="5">
        <f t="shared" si="33"/>
        <v>0</v>
      </c>
      <c r="K717" s="5" t="str">
        <f t="shared" si="34"/>
        <v>Met</v>
      </c>
      <c r="L717" s="7" t="str">
        <f t="shared" si="35"/>
        <v>Dec</v>
      </c>
    </row>
    <row r="718" spans="1:12" x14ac:dyDescent="0.3">
      <c r="A718" s="4" t="s">
        <v>964</v>
      </c>
      <c r="B718" s="5" t="s">
        <v>39</v>
      </c>
      <c r="C718" s="5" t="s">
        <v>99</v>
      </c>
      <c r="D718" s="5" t="s">
        <v>35</v>
      </c>
      <c r="E718" s="5" t="s">
        <v>356</v>
      </c>
      <c r="F718" s="5" t="s">
        <v>24</v>
      </c>
      <c r="G718" s="5" t="s">
        <v>53</v>
      </c>
      <c r="H718" s="6">
        <v>45551</v>
      </c>
      <c r="I718" s="6">
        <v>45551</v>
      </c>
      <c r="J718" s="5">
        <f t="shared" si="33"/>
        <v>0</v>
      </c>
      <c r="K718" s="5" t="str">
        <f t="shared" si="34"/>
        <v>Met</v>
      </c>
      <c r="L718" s="7" t="str">
        <f t="shared" si="35"/>
        <v>Sep</v>
      </c>
    </row>
    <row r="719" spans="1:12" x14ac:dyDescent="0.3">
      <c r="A719" s="8" t="s">
        <v>965</v>
      </c>
      <c r="B719" s="9" t="s">
        <v>33</v>
      </c>
      <c r="C719" s="9" t="s">
        <v>55</v>
      </c>
      <c r="D719" s="9" t="s">
        <v>35</v>
      </c>
      <c r="E719" s="9" t="s">
        <v>358</v>
      </c>
      <c r="F719" s="9" t="s">
        <v>24</v>
      </c>
      <c r="G719" s="9" t="s">
        <v>31</v>
      </c>
      <c r="H719" s="10">
        <v>45601</v>
      </c>
      <c r="I719" s="10">
        <v>45601</v>
      </c>
      <c r="J719" s="5">
        <f t="shared" si="33"/>
        <v>0</v>
      </c>
      <c r="K719" s="5" t="str">
        <f t="shared" si="34"/>
        <v>Met</v>
      </c>
      <c r="L719" s="7" t="str">
        <f t="shared" si="35"/>
        <v>Nov</v>
      </c>
    </row>
    <row r="720" spans="1:12" x14ac:dyDescent="0.3">
      <c r="A720" s="4" t="s">
        <v>966</v>
      </c>
      <c r="B720" s="5" t="s">
        <v>39</v>
      </c>
      <c r="C720" s="5" t="s">
        <v>99</v>
      </c>
      <c r="D720" s="5" t="s">
        <v>15</v>
      </c>
      <c r="E720" s="5" t="s">
        <v>360</v>
      </c>
      <c r="F720" s="5" t="s">
        <v>37</v>
      </c>
      <c r="G720" s="5" t="s">
        <v>25</v>
      </c>
      <c r="H720" s="6">
        <v>45567</v>
      </c>
      <c r="I720" s="6">
        <v>45567</v>
      </c>
      <c r="J720" s="5">
        <f t="shared" si="33"/>
        <v>0</v>
      </c>
      <c r="K720" s="5" t="str">
        <f t="shared" si="34"/>
        <v>Met</v>
      </c>
      <c r="L720" s="7" t="str">
        <f t="shared" si="35"/>
        <v>Oct</v>
      </c>
    </row>
    <row r="721" spans="1:12" x14ac:dyDescent="0.3">
      <c r="A721" s="8" t="s">
        <v>967</v>
      </c>
      <c r="B721" s="9" t="s">
        <v>33</v>
      </c>
      <c r="C721" s="9" t="s">
        <v>34</v>
      </c>
      <c r="D721" s="9" t="s">
        <v>22</v>
      </c>
      <c r="E721" s="9" t="s">
        <v>362</v>
      </c>
      <c r="F721" s="9" t="s">
        <v>37</v>
      </c>
      <c r="G721" s="9" t="s">
        <v>42</v>
      </c>
      <c r="H721" s="10">
        <v>45493</v>
      </c>
      <c r="I721" s="10">
        <v>45493</v>
      </c>
      <c r="J721" s="5">
        <f t="shared" si="33"/>
        <v>0</v>
      </c>
      <c r="K721" s="5" t="str">
        <f t="shared" si="34"/>
        <v>Met</v>
      </c>
      <c r="L721" s="7" t="str">
        <f t="shared" si="35"/>
        <v>Jul</v>
      </c>
    </row>
    <row r="722" spans="1:12" x14ac:dyDescent="0.3">
      <c r="A722" s="4" t="s">
        <v>968</v>
      </c>
      <c r="B722" s="5" t="s">
        <v>13</v>
      </c>
      <c r="C722" s="5" t="s">
        <v>61</v>
      </c>
      <c r="D722" s="5" t="s">
        <v>15</v>
      </c>
      <c r="E722" s="5" t="s">
        <v>364</v>
      </c>
      <c r="F722" s="5" t="s">
        <v>24</v>
      </c>
      <c r="G722" s="5" t="s">
        <v>25</v>
      </c>
      <c r="H722" s="6">
        <v>45629</v>
      </c>
      <c r="I722" s="6">
        <v>45629</v>
      </c>
      <c r="J722" s="5">
        <f t="shared" si="33"/>
        <v>0</v>
      </c>
      <c r="K722" s="5" t="str">
        <f t="shared" si="34"/>
        <v>Met</v>
      </c>
      <c r="L722" s="7" t="str">
        <f t="shared" si="35"/>
        <v>Dec</v>
      </c>
    </row>
    <row r="723" spans="1:12" x14ac:dyDescent="0.3">
      <c r="A723" s="8" t="s">
        <v>969</v>
      </c>
      <c r="B723" s="9" t="s">
        <v>13</v>
      </c>
      <c r="C723" s="9" t="s">
        <v>14</v>
      </c>
      <c r="D723" s="9" t="s">
        <v>79</v>
      </c>
      <c r="E723" s="9" t="s">
        <v>366</v>
      </c>
      <c r="F723" s="9" t="s">
        <v>17</v>
      </c>
      <c r="G723" s="9" t="s">
        <v>18</v>
      </c>
      <c r="H723" s="10">
        <v>45554</v>
      </c>
      <c r="I723" s="10">
        <v>45554</v>
      </c>
      <c r="J723" s="5">
        <f t="shared" si="33"/>
        <v>0</v>
      </c>
      <c r="K723" s="5" t="str">
        <f t="shared" si="34"/>
        <v>Met</v>
      </c>
      <c r="L723" s="7" t="str">
        <f t="shared" si="35"/>
        <v>Sep</v>
      </c>
    </row>
    <row r="724" spans="1:12" x14ac:dyDescent="0.3">
      <c r="A724" s="4" t="s">
        <v>970</v>
      </c>
      <c r="B724" s="5" t="s">
        <v>13</v>
      </c>
      <c r="C724" s="5" t="s">
        <v>58</v>
      </c>
      <c r="D724" s="5" t="s">
        <v>35</v>
      </c>
      <c r="E724" s="5" t="s">
        <v>368</v>
      </c>
      <c r="F724" s="5" t="s">
        <v>17</v>
      </c>
      <c r="G724" s="5" t="s">
        <v>53</v>
      </c>
      <c r="H724" s="6">
        <v>45561</v>
      </c>
      <c r="I724" s="6">
        <v>45561</v>
      </c>
      <c r="J724" s="5">
        <f t="shared" si="33"/>
        <v>0</v>
      </c>
      <c r="K724" s="5" t="str">
        <f t="shared" si="34"/>
        <v>Met</v>
      </c>
      <c r="L724" s="7" t="str">
        <f t="shared" si="35"/>
        <v>Sep</v>
      </c>
    </row>
    <row r="725" spans="1:12" x14ac:dyDescent="0.3">
      <c r="A725" s="8" t="s">
        <v>971</v>
      </c>
      <c r="B725" s="9" t="s">
        <v>27</v>
      </c>
      <c r="C725" s="9" t="s">
        <v>47</v>
      </c>
      <c r="D725" s="9" t="s">
        <v>29</v>
      </c>
      <c r="E725" s="9" t="s">
        <v>370</v>
      </c>
      <c r="F725" s="9" t="s">
        <v>17</v>
      </c>
      <c r="G725" s="9" t="s">
        <v>18</v>
      </c>
      <c r="H725" s="10">
        <v>45546</v>
      </c>
      <c r="I725" s="10">
        <v>45546</v>
      </c>
      <c r="J725" s="5">
        <f t="shared" si="33"/>
        <v>0</v>
      </c>
      <c r="K725" s="5" t="str">
        <f t="shared" si="34"/>
        <v>Met</v>
      </c>
      <c r="L725" s="7" t="str">
        <f t="shared" si="35"/>
        <v>Sep</v>
      </c>
    </row>
    <row r="726" spans="1:12" x14ac:dyDescent="0.3">
      <c r="A726" s="4" t="s">
        <v>972</v>
      </c>
      <c r="B726" s="5" t="s">
        <v>20</v>
      </c>
      <c r="C726" s="5" t="s">
        <v>21</v>
      </c>
      <c r="D726" s="5" t="s">
        <v>15</v>
      </c>
      <c r="E726" s="5" t="s">
        <v>372</v>
      </c>
      <c r="F726" s="5" t="s">
        <v>37</v>
      </c>
      <c r="G726" s="5" t="s">
        <v>42</v>
      </c>
      <c r="H726" s="6">
        <v>45621</v>
      </c>
      <c r="I726" s="6">
        <v>45621</v>
      </c>
      <c r="J726" s="5">
        <f t="shared" si="33"/>
        <v>0</v>
      </c>
      <c r="K726" s="5" t="str">
        <f t="shared" si="34"/>
        <v>Met</v>
      </c>
      <c r="L726" s="7" t="str">
        <f t="shared" si="35"/>
        <v>Nov</v>
      </c>
    </row>
    <row r="727" spans="1:12" x14ac:dyDescent="0.3">
      <c r="A727" s="8" t="s">
        <v>973</v>
      </c>
      <c r="B727" s="9" t="s">
        <v>27</v>
      </c>
      <c r="C727" s="9" t="s">
        <v>47</v>
      </c>
      <c r="D727" s="9" t="s">
        <v>15</v>
      </c>
      <c r="E727" s="9" t="s">
        <v>374</v>
      </c>
      <c r="F727" s="9" t="s">
        <v>37</v>
      </c>
      <c r="G727" s="9" t="s">
        <v>18</v>
      </c>
      <c r="H727" s="10">
        <v>45478</v>
      </c>
      <c r="I727" s="10">
        <v>45478</v>
      </c>
      <c r="J727" s="5">
        <f t="shared" si="33"/>
        <v>0</v>
      </c>
      <c r="K727" s="5" t="str">
        <f t="shared" si="34"/>
        <v>Met</v>
      </c>
      <c r="L727" s="7" t="str">
        <f t="shared" si="35"/>
        <v>Jul</v>
      </c>
    </row>
    <row r="728" spans="1:12" x14ac:dyDescent="0.3">
      <c r="A728" s="4" t="s">
        <v>974</v>
      </c>
      <c r="B728" s="5" t="s">
        <v>39</v>
      </c>
      <c r="C728" s="5" t="s">
        <v>99</v>
      </c>
      <c r="D728" s="5" t="s">
        <v>35</v>
      </c>
      <c r="E728" s="5" t="s">
        <v>376</v>
      </c>
      <c r="F728" s="5" t="s">
        <v>37</v>
      </c>
      <c r="G728" s="5" t="s">
        <v>31</v>
      </c>
      <c r="H728" s="6">
        <v>45486</v>
      </c>
      <c r="I728" s="6">
        <v>45486</v>
      </c>
      <c r="J728" s="5">
        <f t="shared" si="33"/>
        <v>0</v>
      </c>
      <c r="K728" s="5" t="str">
        <f t="shared" si="34"/>
        <v>Met</v>
      </c>
      <c r="L728" s="7" t="str">
        <f t="shared" si="35"/>
        <v>Jul</v>
      </c>
    </row>
    <row r="729" spans="1:12" x14ac:dyDescent="0.3">
      <c r="A729" s="8" t="s">
        <v>975</v>
      </c>
      <c r="B729" s="9" t="s">
        <v>20</v>
      </c>
      <c r="C729" s="9" t="s">
        <v>93</v>
      </c>
      <c r="D729" s="9" t="s">
        <v>66</v>
      </c>
      <c r="E729" s="9" t="s">
        <v>378</v>
      </c>
      <c r="F729" s="9" t="s">
        <v>37</v>
      </c>
      <c r="G729" s="9" t="s">
        <v>53</v>
      </c>
      <c r="H729" s="10">
        <v>45586</v>
      </c>
      <c r="I729" s="10">
        <v>45586</v>
      </c>
      <c r="J729" s="5">
        <f t="shared" si="33"/>
        <v>0</v>
      </c>
      <c r="K729" s="5" t="str">
        <f t="shared" si="34"/>
        <v>Met</v>
      </c>
      <c r="L729" s="7" t="str">
        <f t="shared" si="35"/>
        <v>Oct</v>
      </c>
    </row>
    <row r="730" spans="1:12" x14ac:dyDescent="0.3">
      <c r="A730" s="4" t="s">
        <v>976</v>
      </c>
      <c r="B730" s="5" t="s">
        <v>33</v>
      </c>
      <c r="C730" s="5" t="s">
        <v>34</v>
      </c>
      <c r="D730" s="5" t="s">
        <v>35</v>
      </c>
      <c r="E730" s="5" t="s">
        <v>380</v>
      </c>
      <c r="F730" s="5" t="s">
        <v>24</v>
      </c>
      <c r="G730" s="5" t="s">
        <v>31</v>
      </c>
      <c r="H730" s="6">
        <v>45582</v>
      </c>
      <c r="I730" s="6">
        <v>45582</v>
      </c>
      <c r="J730" s="5">
        <f t="shared" si="33"/>
        <v>0</v>
      </c>
      <c r="K730" s="5" t="str">
        <f t="shared" si="34"/>
        <v>Met</v>
      </c>
      <c r="L730" s="7" t="str">
        <f t="shared" si="35"/>
        <v>Oct</v>
      </c>
    </row>
    <row r="731" spans="1:12" x14ac:dyDescent="0.3">
      <c r="A731" s="8" t="s">
        <v>977</v>
      </c>
      <c r="B731" s="9" t="s">
        <v>27</v>
      </c>
      <c r="C731" s="9" t="s">
        <v>47</v>
      </c>
      <c r="D731" s="9" t="s">
        <v>35</v>
      </c>
      <c r="E731" s="9" t="s">
        <v>382</v>
      </c>
      <c r="F731" s="9" t="s">
        <v>17</v>
      </c>
      <c r="G731" s="9" t="s">
        <v>53</v>
      </c>
      <c r="H731" s="10">
        <v>45565</v>
      </c>
      <c r="I731" s="10">
        <v>45565</v>
      </c>
      <c r="J731" s="5">
        <f t="shared" si="33"/>
        <v>0</v>
      </c>
      <c r="K731" s="5" t="str">
        <f t="shared" si="34"/>
        <v>Met</v>
      </c>
      <c r="L731" s="7" t="str">
        <f t="shared" si="35"/>
        <v>Sep</v>
      </c>
    </row>
    <row r="732" spans="1:12" x14ac:dyDescent="0.3">
      <c r="A732" s="4" t="s">
        <v>978</v>
      </c>
      <c r="B732" s="5" t="s">
        <v>20</v>
      </c>
      <c r="C732" s="5" t="s">
        <v>21</v>
      </c>
      <c r="D732" s="5" t="s">
        <v>29</v>
      </c>
      <c r="E732" s="5" t="s">
        <v>384</v>
      </c>
      <c r="F732" s="5" t="s">
        <v>17</v>
      </c>
      <c r="G732" s="5" t="s">
        <v>25</v>
      </c>
      <c r="H732" s="6">
        <v>45525</v>
      </c>
      <c r="I732" s="6">
        <v>45525</v>
      </c>
      <c r="J732" s="5">
        <f t="shared" si="33"/>
        <v>0</v>
      </c>
      <c r="K732" s="5" t="str">
        <f t="shared" si="34"/>
        <v>Met</v>
      </c>
      <c r="L732" s="7" t="str">
        <f t="shared" si="35"/>
        <v>Aug</v>
      </c>
    </row>
    <row r="733" spans="1:12" x14ac:dyDescent="0.3">
      <c r="A733" s="8" t="s">
        <v>979</v>
      </c>
      <c r="B733" s="9" t="s">
        <v>20</v>
      </c>
      <c r="C733" s="9" t="s">
        <v>21</v>
      </c>
      <c r="D733" s="9" t="s">
        <v>15</v>
      </c>
      <c r="E733" s="9" t="s">
        <v>386</v>
      </c>
      <c r="F733" s="9" t="s">
        <v>24</v>
      </c>
      <c r="G733" s="9" t="s">
        <v>25</v>
      </c>
      <c r="H733" s="10">
        <v>45528</v>
      </c>
      <c r="I733" s="10">
        <v>45528</v>
      </c>
      <c r="J733" s="5">
        <f t="shared" si="33"/>
        <v>0</v>
      </c>
      <c r="K733" s="5" t="str">
        <f t="shared" si="34"/>
        <v>Met</v>
      </c>
      <c r="L733" s="7" t="str">
        <f t="shared" si="35"/>
        <v>Aug</v>
      </c>
    </row>
    <row r="734" spans="1:12" x14ac:dyDescent="0.3">
      <c r="A734" s="4" t="s">
        <v>980</v>
      </c>
      <c r="B734" s="5" t="s">
        <v>33</v>
      </c>
      <c r="C734" s="5" t="s">
        <v>34</v>
      </c>
      <c r="D734" s="5" t="s">
        <v>29</v>
      </c>
      <c r="E734" s="5" t="s">
        <v>388</v>
      </c>
      <c r="F734" s="5" t="s">
        <v>17</v>
      </c>
      <c r="G734" s="5" t="s">
        <v>31</v>
      </c>
      <c r="H734" s="6">
        <v>45489</v>
      </c>
      <c r="I734" s="6">
        <f>[1]!Table1[[#This Row],[Open Date]]</f>
        <v>45489</v>
      </c>
      <c r="J734" s="5">
        <f t="shared" si="33"/>
        <v>0</v>
      </c>
      <c r="K734" s="5" t="str">
        <f t="shared" si="34"/>
        <v>Met</v>
      </c>
      <c r="L734" s="7" t="str">
        <f t="shared" si="35"/>
        <v>Jul</v>
      </c>
    </row>
    <row r="735" spans="1:12" x14ac:dyDescent="0.3">
      <c r="A735" s="8" t="s">
        <v>981</v>
      </c>
      <c r="B735" s="9" t="s">
        <v>13</v>
      </c>
      <c r="C735" s="9" t="s">
        <v>58</v>
      </c>
      <c r="D735" s="9" t="s">
        <v>35</v>
      </c>
      <c r="E735" s="9" t="s">
        <v>390</v>
      </c>
      <c r="F735" s="9" t="s">
        <v>37</v>
      </c>
      <c r="G735" s="9" t="s">
        <v>25</v>
      </c>
      <c r="H735" s="10">
        <v>45487</v>
      </c>
      <c r="I735" s="10">
        <v>45487</v>
      </c>
      <c r="J735" s="5">
        <f t="shared" si="33"/>
        <v>0</v>
      </c>
      <c r="K735" s="5" t="str">
        <f t="shared" si="34"/>
        <v>Met</v>
      </c>
      <c r="L735" s="7" t="str">
        <f t="shared" si="35"/>
        <v>Jul</v>
      </c>
    </row>
    <row r="736" spans="1:12" x14ac:dyDescent="0.3">
      <c r="A736" s="4" t="s">
        <v>982</v>
      </c>
      <c r="B736" s="5" t="s">
        <v>39</v>
      </c>
      <c r="C736" s="5" t="s">
        <v>96</v>
      </c>
      <c r="D736" s="5" t="s">
        <v>148</v>
      </c>
      <c r="E736" s="5" t="s">
        <v>392</v>
      </c>
      <c r="F736" s="5" t="s">
        <v>24</v>
      </c>
      <c r="G736" s="5" t="s">
        <v>31</v>
      </c>
      <c r="H736" s="6">
        <v>45624</v>
      </c>
      <c r="I736" s="6">
        <v>45624</v>
      </c>
      <c r="J736" s="5">
        <f t="shared" si="33"/>
        <v>0</v>
      </c>
      <c r="K736" s="5" t="str">
        <f t="shared" si="34"/>
        <v>Met</v>
      </c>
      <c r="L736" s="7" t="str">
        <f t="shared" si="35"/>
        <v>Nov</v>
      </c>
    </row>
    <row r="737" spans="1:12" x14ac:dyDescent="0.3">
      <c r="A737" s="8" t="s">
        <v>983</v>
      </c>
      <c r="B737" s="9" t="s">
        <v>39</v>
      </c>
      <c r="C737" s="9" t="s">
        <v>40</v>
      </c>
      <c r="D737" s="9" t="s">
        <v>66</v>
      </c>
      <c r="E737" s="9" t="s">
        <v>394</v>
      </c>
      <c r="F737" s="9" t="s">
        <v>24</v>
      </c>
      <c r="G737" s="9" t="s">
        <v>25</v>
      </c>
      <c r="H737" s="10">
        <v>45604</v>
      </c>
      <c r="I737" s="10">
        <v>45604</v>
      </c>
      <c r="J737" s="5">
        <f t="shared" si="33"/>
        <v>0</v>
      </c>
      <c r="K737" s="5" t="str">
        <f t="shared" si="34"/>
        <v>Met</v>
      </c>
      <c r="L737" s="7" t="str">
        <f t="shared" si="35"/>
        <v>Nov</v>
      </c>
    </row>
    <row r="738" spans="1:12" x14ac:dyDescent="0.3">
      <c r="A738" s="4" t="s">
        <v>984</v>
      </c>
      <c r="B738" s="5" t="s">
        <v>13</v>
      </c>
      <c r="C738" s="5" t="s">
        <v>14</v>
      </c>
      <c r="D738" s="5" t="s">
        <v>22</v>
      </c>
      <c r="E738" s="5" t="s">
        <v>396</v>
      </c>
      <c r="F738" s="5" t="s">
        <v>17</v>
      </c>
      <c r="G738" s="5" t="s">
        <v>31</v>
      </c>
      <c r="H738" s="6">
        <v>45626</v>
      </c>
      <c r="I738" s="6">
        <v>45626</v>
      </c>
      <c r="J738" s="5">
        <f t="shared" si="33"/>
        <v>0</v>
      </c>
      <c r="K738" s="5" t="str">
        <f t="shared" si="34"/>
        <v>Met</v>
      </c>
      <c r="L738" s="7" t="str">
        <f t="shared" si="35"/>
        <v>Nov</v>
      </c>
    </row>
    <row r="739" spans="1:12" x14ac:dyDescent="0.3">
      <c r="A739" s="8" t="s">
        <v>985</v>
      </c>
      <c r="B739" s="9" t="s">
        <v>20</v>
      </c>
      <c r="C739" s="9" t="s">
        <v>76</v>
      </c>
      <c r="D739" s="9" t="s">
        <v>66</v>
      </c>
      <c r="E739" s="9" t="s">
        <v>398</v>
      </c>
      <c r="F739" s="9" t="s">
        <v>37</v>
      </c>
      <c r="G739" s="9" t="s">
        <v>45</v>
      </c>
      <c r="H739" s="10">
        <v>45565</v>
      </c>
      <c r="I739" s="10">
        <f>[1]!Table1[[#This Row],[Open Date]]</f>
        <v>45565</v>
      </c>
      <c r="J739" s="5">
        <f t="shared" si="33"/>
        <v>0</v>
      </c>
      <c r="K739" s="5" t="str">
        <f t="shared" si="34"/>
        <v>Met</v>
      </c>
      <c r="L739" s="7" t="str">
        <f t="shared" si="35"/>
        <v>Sep</v>
      </c>
    </row>
    <row r="740" spans="1:12" x14ac:dyDescent="0.3">
      <c r="A740" s="4" t="s">
        <v>986</v>
      </c>
      <c r="B740" s="5" t="s">
        <v>13</v>
      </c>
      <c r="C740" s="5" t="s">
        <v>61</v>
      </c>
      <c r="D740" s="5" t="s">
        <v>35</v>
      </c>
      <c r="E740" s="5" t="s">
        <v>400</v>
      </c>
      <c r="F740" s="5" t="s">
        <v>24</v>
      </c>
      <c r="G740" s="5" t="s">
        <v>45</v>
      </c>
      <c r="H740" s="6">
        <v>45618</v>
      </c>
      <c r="I740" s="6">
        <v>45618</v>
      </c>
      <c r="J740" s="5">
        <f t="shared" si="33"/>
        <v>0</v>
      </c>
      <c r="K740" s="5" t="str">
        <f t="shared" si="34"/>
        <v>Met</v>
      </c>
      <c r="L740" s="7" t="str">
        <f t="shared" si="35"/>
        <v>Nov</v>
      </c>
    </row>
    <row r="741" spans="1:12" x14ac:dyDescent="0.3">
      <c r="A741" s="8" t="s">
        <v>987</v>
      </c>
      <c r="B741" s="9" t="s">
        <v>39</v>
      </c>
      <c r="C741" s="9" t="s">
        <v>99</v>
      </c>
      <c r="D741" s="9" t="s">
        <v>148</v>
      </c>
      <c r="E741" s="9" t="s">
        <v>402</v>
      </c>
      <c r="F741" s="9" t="s">
        <v>37</v>
      </c>
      <c r="G741" s="9" t="s">
        <v>18</v>
      </c>
      <c r="H741" s="10">
        <v>45510</v>
      </c>
      <c r="I741" s="10">
        <v>45510</v>
      </c>
      <c r="J741" s="5">
        <f t="shared" si="33"/>
        <v>0</v>
      </c>
      <c r="K741" s="5" t="str">
        <f t="shared" si="34"/>
        <v>Met</v>
      </c>
      <c r="L741" s="7" t="str">
        <f t="shared" si="35"/>
        <v>Aug</v>
      </c>
    </row>
    <row r="742" spans="1:12" x14ac:dyDescent="0.3">
      <c r="A742" s="4" t="s">
        <v>988</v>
      </c>
      <c r="B742" s="5" t="s">
        <v>20</v>
      </c>
      <c r="C742" s="5" t="s">
        <v>93</v>
      </c>
      <c r="D742" s="5" t="s">
        <v>35</v>
      </c>
      <c r="E742" s="5" t="s">
        <v>404</v>
      </c>
      <c r="F742" s="5" t="s">
        <v>24</v>
      </c>
      <c r="G742" s="5" t="s">
        <v>45</v>
      </c>
      <c r="H742" s="6">
        <v>45507</v>
      </c>
      <c r="I742" s="6">
        <v>45508</v>
      </c>
      <c r="J742" s="5">
        <f t="shared" si="33"/>
        <v>1</v>
      </c>
      <c r="K742" s="5" t="str">
        <f t="shared" si="34"/>
        <v>Not Met</v>
      </c>
      <c r="L742" s="7" t="str">
        <f t="shared" si="35"/>
        <v>Aug</v>
      </c>
    </row>
    <row r="743" spans="1:12" x14ac:dyDescent="0.3">
      <c r="A743" s="8" t="s">
        <v>989</v>
      </c>
      <c r="B743" s="9" t="s">
        <v>27</v>
      </c>
      <c r="C743" s="9" t="s">
        <v>28</v>
      </c>
      <c r="D743" s="9" t="s">
        <v>35</v>
      </c>
      <c r="E743" s="9" t="s">
        <v>406</v>
      </c>
      <c r="F743" s="9" t="s">
        <v>37</v>
      </c>
      <c r="G743" s="9" t="s">
        <v>18</v>
      </c>
      <c r="H743" s="10">
        <v>45585</v>
      </c>
      <c r="I743" s="10">
        <v>45585</v>
      </c>
      <c r="J743" s="5">
        <f t="shared" si="33"/>
        <v>0</v>
      </c>
      <c r="K743" s="5" t="str">
        <f t="shared" si="34"/>
        <v>Met</v>
      </c>
      <c r="L743" s="7" t="str">
        <f t="shared" si="35"/>
        <v>Oct</v>
      </c>
    </row>
    <row r="744" spans="1:12" x14ac:dyDescent="0.3">
      <c r="A744" s="4" t="s">
        <v>990</v>
      </c>
      <c r="B744" s="5" t="s">
        <v>27</v>
      </c>
      <c r="C744" s="5" t="s">
        <v>28</v>
      </c>
      <c r="D744" s="5" t="s">
        <v>22</v>
      </c>
      <c r="E744" s="5" t="s">
        <v>408</v>
      </c>
      <c r="F744" s="5" t="s">
        <v>37</v>
      </c>
      <c r="G744" s="5" t="s">
        <v>25</v>
      </c>
      <c r="H744" s="6">
        <v>45615</v>
      </c>
      <c r="I744" s="6">
        <v>45615</v>
      </c>
      <c r="J744" s="5">
        <f t="shared" si="33"/>
        <v>0</v>
      </c>
      <c r="K744" s="5" t="str">
        <f t="shared" si="34"/>
        <v>Met</v>
      </c>
      <c r="L744" s="7" t="str">
        <f t="shared" si="35"/>
        <v>Nov</v>
      </c>
    </row>
    <row r="745" spans="1:12" x14ac:dyDescent="0.3">
      <c r="A745" s="8" t="s">
        <v>991</v>
      </c>
      <c r="B745" s="9" t="s">
        <v>27</v>
      </c>
      <c r="C745" s="9" t="s">
        <v>47</v>
      </c>
      <c r="D745" s="9" t="s">
        <v>79</v>
      </c>
      <c r="E745" s="9" t="s">
        <v>410</v>
      </c>
      <c r="F745" s="9" t="s">
        <v>24</v>
      </c>
      <c r="G745" s="9" t="s">
        <v>45</v>
      </c>
      <c r="H745" s="10">
        <v>45518</v>
      </c>
      <c r="I745" s="10">
        <v>45518</v>
      </c>
      <c r="J745" s="5">
        <f t="shared" si="33"/>
        <v>0</v>
      </c>
      <c r="K745" s="5" t="str">
        <f t="shared" si="34"/>
        <v>Met</v>
      </c>
      <c r="L745" s="7" t="str">
        <f t="shared" si="35"/>
        <v>Aug</v>
      </c>
    </row>
    <row r="746" spans="1:12" x14ac:dyDescent="0.3">
      <c r="A746" s="4" t="s">
        <v>992</v>
      </c>
      <c r="B746" s="5" t="s">
        <v>39</v>
      </c>
      <c r="C746" s="5" t="s">
        <v>40</v>
      </c>
      <c r="D746" s="5" t="s">
        <v>35</v>
      </c>
      <c r="E746" s="5" t="s">
        <v>412</v>
      </c>
      <c r="F746" s="5" t="s">
        <v>37</v>
      </c>
      <c r="G746" s="5" t="s">
        <v>18</v>
      </c>
      <c r="H746" s="6">
        <v>45474</v>
      </c>
      <c r="I746" s="6">
        <v>45474</v>
      </c>
      <c r="J746" s="5">
        <f t="shared" si="33"/>
        <v>0</v>
      </c>
      <c r="K746" s="5" t="str">
        <f t="shared" si="34"/>
        <v>Met</v>
      </c>
      <c r="L746" s="7" t="str">
        <f t="shared" si="35"/>
        <v>Jul</v>
      </c>
    </row>
    <row r="747" spans="1:12" x14ac:dyDescent="0.3">
      <c r="A747" s="8" t="s">
        <v>993</v>
      </c>
      <c r="B747" s="9" t="s">
        <v>27</v>
      </c>
      <c r="C747" s="9" t="s">
        <v>153</v>
      </c>
      <c r="D747" s="9" t="s">
        <v>86</v>
      </c>
      <c r="E747" s="9" t="s">
        <v>414</v>
      </c>
      <c r="F747" s="9" t="s">
        <v>17</v>
      </c>
      <c r="G747" s="9" t="s">
        <v>31</v>
      </c>
      <c r="H747" s="10">
        <v>45628</v>
      </c>
      <c r="I747" s="10">
        <v>45629</v>
      </c>
      <c r="J747" s="5">
        <f t="shared" si="33"/>
        <v>1</v>
      </c>
      <c r="K747" s="5" t="str">
        <f t="shared" si="34"/>
        <v>Not Met</v>
      </c>
      <c r="L747" s="7" t="str">
        <f t="shared" si="35"/>
        <v>Dec</v>
      </c>
    </row>
    <row r="748" spans="1:12" x14ac:dyDescent="0.3">
      <c r="A748" s="4" t="s">
        <v>994</v>
      </c>
      <c r="B748" s="5" t="s">
        <v>33</v>
      </c>
      <c r="C748" s="5" t="s">
        <v>55</v>
      </c>
      <c r="D748" s="5" t="s">
        <v>66</v>
      </c>
      <c r="E748" s="5" t="s">
        <v>416</v>
      </c>
      <c r="F748" s="5" t="s">
        <v>37</v>
      </c>
      <c r="G748" s="5" t="s">
        <v>31</v>
      </c>
      <c r="H748" s="6">
        <v>45522</v>
      </c>
      <c r="I748" s="6">
        <v>45522</v>
      </c>
      <c r="J748" s="5">
        <f t="shared" si="33"/>
        <v>0</v>
      </c>
      <c r="K748" s="5" t="str">
        <f t="shared" si="34"/>
        <v>Met</v>
      </c>
      <c r="L748" s="7" t="str">
        <f t="shared" si="35"/>
        <v>Aug</v>
      </c>
    </row>
    <row r="749" spans="1:12" x14ac:dyDescent="0.3">
      <c r="A749" s="8" t="s">
        <v>995</v>
      </c>
      <c r="B749" s="9" t="s">
        <v>33</v>
      </c>
      <c r="C749" s="9" t="s">
        <v>34</v>
      </c>
      <c r="D749" s="9" t="s">
        <v>35</v>
      </c>
      <c r="E749" s="9" t="s">
        <v>418</v>
      </c>
      <c r="F749" s="9" t="s">
        <v>37</v>
      </c>
      <c r="G749" s="9" t="s">
        <v>42</v>
      </c>
      <c r="H749" s="10">
        <v>45525</v>
      </c>
      <c r="I749" s="10">
        <v>45525</v>
      </c>
      <c r="J749" s="5">
        <f t="shared" si="33"/>
        <v>0</v>
      </c>
      <c r="K749" s="5" t="str">
        <f t="shared" si="34"/>
        <v>Met</v>
      </c>
      <c r="L749" s="7" t="str">
        <f t="shared" si="35"/>
        <v>Aug</v>
      </c>
    </row>
    <row r="750" spans="1:12" x14ac:dyDescent="0.3">
      <c r="A750" s="4" t="s">
        <v>996</v>
      </c>
      <c r="B750" s="5" t="s">
        <v>13</v>
      </c>
      <c r="C750" s="5" t="s">
        <v>58</v>
      </c>
      <c r="D750" s="5" t="s">
        <v>15</v>
      </c>
      <c r="E750" s="5" t="s">
        <v>420</v>
      </c>
      <c r="F750" s="5" t="s">
        <v>17</v>
      </c>
      <c r="G750" s="5" t="s">
        <v>31</v>
      </c>
      <c r="H750" s="6">
        <v>45564</v>
      </c>
      <c r="I750" s="6">
        <v>45564</v>
      </c>
      <c r="J750" s="5">
        <f t="shared" si="33"/>
        <v>0</v>
      </c>
      <c r="K750" s="5" t="str">
        <f t="shared" si="34"/>
        <v>Met</v>
      </c>
      <c r="L750" s="7" t="str">
        <f t="shared" si="35"/>
        <v>Sep</v>
      </c>
    </row>
    <row r="751" spans="1:12" x14ac:dyDescent="0.3">
      <c r="A751" s="8" t="s">
        <v>997</v>
      </c>
      <c r="B751" s="9" t="s">
        <v>20</v>
      </c>
      <c r="C751" s="9" t="s">
        <v>21</v>
      </c>
      <c r="D751" s="9" t="s">
        <v>22</v>
      </c>
      <c r="E751" s="9" t="s">
        <v>422</v>
      </c>
      <c r="F751" s="9" t="s">
        <v>24</v>
      </c>
      <c r="G751" s="9" t="s">
        <v>18</v>
      </c>
      <c r="H751" s="10">
        <v>45565</v>
      </c>
      <c r="I751" s="10">
        <f>[1]!Table1[[#This Row],[Open Date]]</f>
        <v>45565</v>
      </c>
      <c r="J751" s="5">
        <f t="shared" si="33"/>
        <v>0</v>
      </c>
      <c r="K751" s="5" t="str">
        <f t="shared" si="34"/>
        <v>Met</v>
      </c>
      <c r="L751" s="7" t="str">
        <f t="shared" si="35"/>
        <v>Sep</v>
      </c>
    </row>
    <row r="752" spans="1:12" x14ac:dyDescent="0.3">
      <c r="A752" s="4" t="s">
        <v>998</v>
      </c>
      <c r="B752" s="5" t="s">
        <v>33</v>
      </c>
      <c r="C752" s="5" t="s">
        <v>55</v>
      </c>
      <c r="D752" s="5" t="s">
        <v>22</v>
      </c>
      <c r="E752" s="5" t="s">
        <v>424</v>
      </c>
      <c r="F752" s="5" t="s">
        <v>37</v>
      </c>
      <c r="G752" s="5" t="s">
        <v>53</v>
      </c>
      <c r="H752" s="6">
        <v>45633</v>
      </c>
      <c r="I752" s="6">
        <v>45633</v>
      </c>
      <c r="J752" s="5">
        <f t="shared" si="33"/>
        <v>0</v>
      </c>
      <c r="K752" s="5" t="str">
        <f t="shared" si="34"/>
        <v>Met</v>
      </c>
      <c r="L752" s="7" t="str">
        <f t="shared" si="35"/>
        <v>Dec</v>
      </c>
    </row>
    <row r="753" spans="1:12" x14ac:dyDescent="0.3">
      <c r="A753" s="8" t="s">
        <v>999</v>
      </c>
      <c r="B753" s="9" t="s">
        <v>13</v>
      </c>
      <c r="C753" s="9" t="s">
        <v>14</v>
      </c>
      <c r="D753" s="9" t="s">
        <v>35</v>
      </c>
      <c r="E753" s="9" t="s">
        <v>426</v>
      </c>
      <c r="F753" s="9" t="s">
        <v>24</v>
      </c>
      <c r="G753" s="9" t="s">
        <v>25</v>
      </c>
      <c r="H753" s="10">
        <v>45510</v>
      </c>
      <c r="I753" s="10">
        <v>45510</v>
      </c>
      <c r="J753" s="5">
        <f t="shared" si="33"/>
        <v>0</v>
      </c>
      <c r="K753" s="5" t="str">
        <f t="shared" si="34"/>
        <v>Met</v>
      </c>
      <c r="L753" s="7" t="str">
        <f t="shared" si="35"/>
        <v>Aug</v>
      </c>
    </row>
    <row r="754" spans="1:12" x14ac:dyDescent="0.3">
      <c r="A754" s="4" t="s">
        <v>1000</v>
      </c>
      <c r="B754" s="5" t="s">
        <v>27</v>
      </c>
      <c r="C754" s="5" t="s">
        <v>47</v>
      </c>
      <c r="D754" s="5" t="s">
        <v>66</v>
      </c>
      <c r="E754" s="5" t="s">
        <v>428</v>
      </c>
      <c r="F754" s="5" t="s">
        <v>37</v>
      </c>
      <c r="G754" s="5" t="s">
        <v>31</v>
      </c>
      <c r="H754" s="6">
        <v>45633</v>
      </c>
      <c r="I754" s="6">
        <v>45633</v>
      </c>
      <c r="J754" s="5">
        <f t="shared" si="33"/>
        <v>0</v>
      </c>
      <c r="K754" s="5" t="str">
        <f t="shared" si="34"/>
        <v>Met</v>
      </c>
      <c r="L754" s="7" t="str">
        <f t="shared" si="35"/>
        <v>Dec</v>
      </c>
    </row>
    <row r="755" spans="1:12" x14ac:dyDescent="0.3">
      <c r="A755" s="8" t="s">
        <v>1001</v>
      </c>
      <c r="B755" s="9" t="s">
        <v>27</v>
      </c>
      <c r="C755" s="9" t="s">
        <v>28</v>
      </c>
      <c r="D755" s="9" t="s">
        <v>35</v>
      </c>
      <c r="E755" s="9" t="s">
        <v>430</v>
      </c>
      <c r="F755" s="9" t="s">
        <v>24</v>
      </c>
      <c r="G755" s="9" t="s">
        <v>45</v>
      </c>
      <c r="H755" s="10">
        <v>45474</v>
      </c>
      <c r="I755" s="10">
        <v>45474</v>
      </c>
      <c r="J755" s="5">
        <f t="shared" si="33"/>
        <v>0</v>
      </c>
      <c r="K755" s="5" t="str">
        <f t="shared" si="34"/>
        <v>Met</v>
      </c>
      <c r="L755" s="7" t="str">
        <f t="shared" si="35"/>
        <v>Jul</v>
      </c>
    </row>
    <row r="756" spans="1:12" x14ac:dyDescent="0.3">
      <c r="A756" s="4" t="s">
        <v>1002</v>
      </c>
      <c r="B756" s="5" t="s">
        <v>33</v>
      </c>
      <c r="C756" s="5" t="s">
        <v>69</v>
      </c>
      <c r="D756" s="5" t="s">
        <v>15</v>
      </c>
      <c r="E756" s="5" t="s">
        <v>432</v>
      </c>
      <c r="F756" s="5" t="s">
        <v>24</v>
      </c>
      <c r="G756" s="5" t="s">
        <v>45</v>
      </c>
      <c r="H756" s="6">
        <v>45538</v>
      </c>
      <c r="I756" s="6">
        <v>45538</v>
      </c>
      <c r="J756" s="5">
        <f t="shared" si="33"/>
        <v>0</v>
      </c>
      <c r="K756" s="5" t="str">
        <f t="shared" si="34"/>
        <v>Met</v>
      </c>
      <c r="L756" s="7" t="str">
        <f t="shared" si="35"/>
        <v>Sep</v>
      </c>
    </row>
    <row r="757" spans="1:12" x14ac:dyDescent="0.3">
      <c r="A757" s="8" t="s">
        <v>1003</v>
      </c>
      <c r="B757" s="9" t="s">
        <v>27</v>
      </c>
      <c r="C757" s="9" t="s">
        <v>28</v>
      </c>
      <c r="D757" s="9" t="s">
        <v>35</v>
      </c>
      <c r="E757" s="9" t="s">
        <v>434</v>
      </c>
      <c r="F757" s="9" t="s">
        <v>17</v>
      </c>
      <c r="G757" s="9" t="s">
        <v>42</v>
      </c>
      <c r="H757" s="10">
        <v>45492</v>
      </c>
      <c r="I757" s="10">
        <v>45492</v>
      </c>
      <c r="J757" s="5">
        <f t="shared" si="33"/>
        <v>0</v>
      </c>
      <c r="K757" s="5" t="str">
        <f t="shared" si="34"/>
        <v>Met</v>
      </c>
      <c r="L757" s="7" t="str">
        <f t="shared" si="35"/>
        <v>Jul</v>
      </c>
    </row>
    <row r="758" spans="1:12" x14ac:dyDescent="0.3">
      <c r="A758" s="4" t="s">
        <v>1004</v>
      </c>
      <c r="B758" s="5" t="s">
        <v>20</v>
      </c>
      <c r="C758" s="5" t="s">
        <v>76</v>
      </c>
      <c r="D758" s="5" t="s">
        <v>86</v>
      </c>
      <c r="E758" s="5" t="s">
        <v>436</v>
      </c>
      <c r="F758" s="5" t="s">
        <v>24</v>
      </c>
      <c r="G758" s="5" t="s">
        <v>25</v>
      </c>
      <c r="H758" s="6">
        <v>45590</v>
      </c>
      <c r="I758" s="6">
        <v>45590</v>
      </c>
      <c r="J758" s="5">
        <f t="shared" si="33"/>
        <v>0</v>
      </c>
      <c r="K758" s="5" t="str">
        <f t="shared" si="34"/>
        <v>Met</v>
      </c>
      <c r="L758" s="7" t="str">
        <f t="shared" si="35"/>
        <v>Oct</v>
      </c>
    </row>
    <row r="759" spans="1:12" x14ac:dyDescent="0.3">
      <c r="A759" s="8" t="s">
        <v>1005</v>
      </c>
      <c r="B759" s="9" t="s">
        <v>20</v>
      </c>
      <c r="C759" s="9" t="s">
        <v>21</v>
      </c>
      <c r="D759" s="9" t="s">
        <v>66</v>
      </c>
      <c r="E759" s="9" t="s">
        <v>438</v>
      </c>
      <c r="F759" s="9" t="s">
        <v>24</v>
      </c>
      <c r="G759" s="9" t="s">
        <v>42</v>
      </c>
      <c r="H759" s="10">
        <v>45628</v>
      </c>
      <c r="I759" s="10">
        <v>45628</v>
      </c>
      <c r="J759" s="5">
        <f t="shared" si="33"/>
        <v>0</v>
      </c>
      <c r="K759" s="5" t="str">
        <f t="shared" si="34"/>
        <v>Met</v>
      </c>
      <c r="L759" s="7" t="str">
        <f t="shared" si="35"/>
        <v>Dec</v>
      </c>
    </row>
    <row r="760" spans="1:12" x14ac:dyDescent="0.3">
      <c r="A760" s="4" t="s">
        <v>1006</v>
      </c>
      <c r="B760" s="5" t="s">
        <v>20</v>
      </c>
      <c r="C760" s="5" t="s">
        <v>76</v>
      </c>
      <c r="D760" s="5" t="s">
        <v>22</v>
      </c>
      <c r="E760" s="5" t="s">
        <v>440</v>
      </c>
      <c r="F760" s="5" t="s">
        <v>24</v>
      </c>
      <c r="G760" s="5" t="s">
        <v>18</v>
      </c>
      <c r="H760" s="6">
        <v>45599</v>
      </c>
      <c r="I760" s="6">
        <v>45599</v>
      </c>
      <c r="J760" s="5">
        <f t="shared" si="33"/>
        <v>0</v>
      </c>
      <c r="K760" s="5" t="str">
        <f t="shared" si="34"/>
        <v>Met</v>
      </c>
      <c r="L760" s="7" t="str">
        <f t="shared" si="35"/>
        <v>Nov</v>
      </c>
    </row>
    <row r="761" spans="1:12" x14ac:dyDescent="0.3">
      <c r="A761" s="8" t="s">
        <v>1007</v>
      </c>
      <c r="B761" s="9" t="s">
        <v>39</v>
      </c>
      <c r="C761" s="9" t="s">
        <v>40</v>
      </c>
      <c r="D761" s="9" t="s">
        <v>35</v>
      </c>
      <c r="E761" s="9" t="s">
        <v>442</v>
      </c>
      <c r="F761" s="9" t="s">
        <v>24</v>
      </c>
      <c r="G761" s="9" t="s">
        <v>18</v>
      </c>
      <c r="H761" s="10">
        <v>45612</v>
      </c>
      <c r="I761" s="10">
        <v>45612</v>
      </c>
      <c r="J761" s="5">
        <f t="shared" si="33"/>
        <v>0</v>
      </c>
      <c r="K761" s="5" t="str">
        <f t="shared" si="34"/>
        <v>Met</v>
      </c>
      <c r="L761" s="7" t="str">
        <f t="shared" si="35"/>
        <v>Nov</v>
      </c>
    </row>
    <row r="762" spans="1:12" x14ac:dyDescent="0.3">
      <c r="A762" s="4" t="s">
        <v>1008</v>
      </c>
      <c r="B762" s="5" t="s">
        <v>13</v>
      </c>
      <c r="C762" s="13" t="s">
        <v>14</v>
      </c>
      <c r="D762" s="13" t="s">
        <v>15</v>
      </c>
      <c r="E762" s="13" t="s">
        <v>16</v>
      </c>
      <c r="F762" s="13" t="s">
        <v>17</v>
      </c>
      <c r="G762" s="13" t="s">
        <v>18</v>
      </c>
      <c r="H762" s="7">
        <v>45524</v>
      </c>
      <c r="I762" s="7">
        <v>45524</v>
      </c>
      <c r="J762" s="5">
        <f t="shared" si="33"/>
        <v>0</v>
      </c>
      <c r="K762" s="5" t="str">
        <f t="shared" si="34"/>
        <v>Met</v>
      </c>
      <c r="L762" s="7" t="str">
        <f t="shared" si="35"/>
        <v>Aug</v>
      </c>
    </row>
    <row r="763" spans="1:12" x14ac:dyDescent="0.3">
      <c r="A763" s="8" t="s">
        <v>1009</v>
      </c>
      <c r="B763" s="12" t="s">
        <v>20</v>
      </c>
      <c r="C763" s="12" t="s">
        <v>21</v>
      </c>
      <c r="D763" s="12" t="s">
        <v>22</v>
      </c>
      <c r="E763" s="12" t="s">
        <v>23</v>
      </c>
      <c r="F763" s="12" t="s">
        <v>24</v>
      </c>
      <c r="G763" s="12" t="s">
        <v>25</v>
      </c>
      <c r="H763" s="11">
        <v>45628</v>
      </c>
      <c r="I763" s="10">
        <v>45628</v>
      </c>
      <c r="J763" s="5">
        <f t="shared" si="33"/>
        <v>0</v>
      </c>
      <c r="K763" s="5" t="str">
        <f t="shared" si="34"/>
        <v>Met</v>
      </c>
      <c r="L763" s="7" t="str">
        <f t="shared" si="35"/>
        <v>Dec</v>
      </c>
    </row>
    <row r="764" spans="1:12" x14ac:dyDescent="0.3">
      <c r="A764" s="4" t="s">
        <v>1010</v>
      </c>
      <c r="B764" s="13" t="s">
        <v>27</v>
      </c>
      <c r="C764" s="13" t="s">
        <v>28</v>
      </c>
      <c r="D764" s="13" t="s">
        <v>29</v>
      </c>
      <c r="E764" s="13" t="s">
        <v>30</v>
      </c>
      <c r="F764" s="13" t="s">
        <v>24</v>
      </c>
      <c r="G764" s="13" t="s">
        <v>31</v>
      </c>
      <c r="H764" s="7">
        <v>45513</v>
      </c>
      <c r="I764" s="7">
        <v>45513</v>
      </c>
      <c r="J764" s="5">
        <f t="shared" si="33"/>
        <v>0</v>
      </c>
      <c r="K764" s="5" t="str">
        <f t="shared" si="34"/>
        <v>Met</v>
      </c>
      <c r="L764" s="7" t="str">
        <f t="shared" si="35"/>
        <v>Aug</v>
      </c>
    </row>
    <row r="765" spans="1:12" x14ac:dyDescent="0.3">
      <c r="A765" s="8" t="s">
        <v>1011</v>
      </c>
      <c r="B765" s="12" t="s">
        <v>33</v>
      </c>
      <c r="C765" s="12" t="s">
        <v>34</v>
      </c>
      <c r="D765" s="12" t="s">
        <v>35</v>
      </c>
      <c r="E765" s="12" t="s">
        <v>36</v>
      </c>
      <c r="F765" s="12" t="s">
        <v>37</v>
      </c>
      <c r="G765" s="12" t="s">
        <v>18</v>
      </c>
      <c r="H765" s="11">
        <v>45627</v>
      </c>
      <c r="I765" s="10">
        <v>45627</v>
      </c>
      <c r="J765" s="5">
        <f t="shared" si="33"/>
        <v>0</v>
      </c>
      <c r="K765" s="5" t="str">
        <f t="shared" si="34"/>
        <v>Met</v>
      </c>
      <c r="L765" s="7" t="str">
        <f t="shared" si="35"/>
        <v>Dec</v>
      </c>
    </row>
    <row r="766" spans="1:12" x14ac:dyDescent="0.3">
      <c r="A766" s="4" t="s">
        <v>1012</v>
      </c>
      <c r="B766" s="13" t="s">
        <v>39</v>
      </c>
      <c r="C766" s="13" t="s">
        <v>40</v>
      </c>
      <c r="D766" s="13" t="s">
        <v>148</v>
      </c>
      <c r="E766" s="13" t="s">
        <v>41</v>
      </c>
      <c r="F766" s="13" t="s">
        <v>37</v>
      </c>
      <c r="G766" s="13" t="s">
        <v>42</v>
      </c>
      <c r="H766" s="7">
        <v>45486</v>
      </c>
      <c r="I766" s="7">
        <v>45486</v>
      </c>
      <c r="J766" s="5">
        <f t="shared" si="33"/>
        <v>0</v>
      </c>
      <c r="K766" s="5" t="str">
        <f t="shared" si="34"/>
        <v>Met</v>
      </c>
      <c r="L766" s="7" t="str">
        <f t="shared" si="35"/>
        <v>Jul</v>
      </c>
    </row>
    <row r="767" spans="1:12" x14ac:dyDescent="0.3">
      <c r="A767" s="8" t="s">
        <v>1013</v>
      </c>
      <c r="B767" s="12" t="s">
        <v>20</v>
      </c>
      <c r="C767" s="12" t="s">
        <v>21</v>
      </c>
      <c r="D767" s="12" t="s">
        <v>15</v>
      </c>
      <c r="E767" s="12" t="s">
        <v>44</v>
      </c>
      <c r="F767" s="12" t="s">
        <v>37</v>
      </c>
      <c r="G767" s="12" t="s">
        <v>45</v>
      </c>
      <c r="H767" s="11">
        <v>45520</v>
      </c>
      <c r="I767" s="11">
        <v>45521</v>
      </c>
      <c r="J767" s="5">
        <f t="shared" si="33"/>
        <v>1</v>
      </c>
      <c r="K767" s="5" t="str">
        <f t="shared" si="34"/>
        <v>Not Met</v>
      </c>
      <c r="L767" s="7" t="str">
        <f t="shared" si="35"/>
        <v>Aug</v>
      </c>
    </row>
    <row r="768" spans="1:12" x14ac:dyDescent="0.3">
      <c r="A768" s="4" t="s">
        <v>1014</v>
      </c>
      <c r="B768" s="13" t="s">
        <v>27</v>
      </c>
      <c r="C768" s="13" t="s">
        <v>47</v>
      </c>
      <c r="D768" s="13" t="s">
        <v>15</v>
      </c>
      <c r="E768" s="13" t="s">
        <v>48</v>
      </c>
      <c r="F768" s="13" t="s">
        <v>37</v>
      </c>
      <c r="G768" s="13" t="s">
        <v>45</v>
      </c>
      <c r="H768" s="7">
        <v>45496</v>
      </c>
      <c r="I768" s="6">
        <f>[1]!Table1[[#This Row],[Open Date]]</f>
        <v>45496</v>
      </c>
      <c r="J768" s="5">
        <f t="shared" si="33"/>
        <v>0</v>
      </c>
      <c r="K768" s="5" t="str">
        <f t="shared" si="34"/>
        <v>Met</v>
      </c>
      <c r="L768" s="7" t="str">
        <f t="shared" si="35"/>
        <v>Jul</v>
      </c>
    </row>
    <row r="769" spans="1:12" x14ac:dyDescent="0.3">
      <c r="A769" s="8" t="s">
        <v>1015</v>
      </c>
      <c r="B769" s="12" t="s">
        <v>27</v>
      </c>
      <c r="C769" s="12" t="s">
        <v>47</v>
      </c>
      <c r="D769" s="12" t="s">
        <v>29</v>
      </c>
      <c r="E769" s="12" t="s">
        <v>50</v>
      </c>
      <c r="F769" s="12" t="s">
        <v>17</v>
      </c>
      <c r="G769" s="12" t="s">
        <v>31</v>
      </c>
      <c r="H769" s="11">
        <v>45583</v>
      </c>
      <c r="I769" s="10">
        <v>45583</v>
      </c>
      <c r="J769" s="5">
        <f t="shared" si="33"/>
        <v>0</v>
      </c>
      <c r="K769" s="5" t="str">
        <f t="shared" si="34"/>
        <v>Met</v>
      </c>
      <c r="L769" s="7" t="str">
        <f t="shared" si="35"/>
        <v>Oct</v>
      </c>
    </row>
    <row r="770" spans="1:12" x14ac:dyDescent="0.3">
      <c r="A770" s="4" t="s">
        <v>1016</v>
      </c>
      <c r="B770" s="13" t="s">
        <v>39</v>
      </c>
      <c r="C770" s="13" t="s">
        <v>99</v>
      </c>
      <c r="D770" s="13" t="s">
        <v>35</v>
      </c>
      <c r="E770" s="13" t="s">
        <v>52</v>
      </c>
      <c r="F770" s="13" t="s">
        <v>37</v>
      </c>
      <c r="G770" s="13" t="s">
        <v>53</v>
      </c>
      <c r="H770" s="7">
        <v>45612</v>
      </c>
      <c r="I770" s="6">
        <v>45612</v>
      </c>
      <c r="J770" s="5">
        <f t="shared" si="33"/>
        <v>0</v>
      </c>
      <c r="K770" s="5" t="str">
        <f t="shared" si="34"/>
        <v>Met</v>
      </c>
      <c r="L770" s="7" t="str">
        <f t="shared" si="35"/>
        <v>Nov</v>
      </c>
    </row>
    <row r="771" spans="1:12" x14ac:dyDescent="0.3">
      <c r="A771" s="8" t="s">
        <v>1017</v>
      </c>
      <c r="B771" s="12" t="s">
        <v>33</v>
      </c>
      <c r="C771" s="12" t="s">
        <v>55</v>
      </c>
      <c r="D771" s="12" t="s">
        <v>29</v>
      </c>
      <c r="E771" s="12" t="s">
        <v>56</v>
      </c>
      <c r="F771" s="12" t="s">
        <v>24</v>
      </c>
      <c r="G771" s="12" t="s">
        <v>42</v>
      </c>
      <c r="H771" s="11">
        <v>45567</v>
      </c>
      <c r="I771" s="11">
        <v>45567</v>
      </c>
      <c r="J771" s="5">
        <f t="shared" ref="J771:J834" si="36">I771-H771</f>
        <v>0</v>
      </c>
      <c r="K771" s="5" t="str">
        <f t="shared" ref="K771:K834" si="37">IF(J771&gt;= 1, "Not Met","Met")</f>
        <v>Met</v>
      </c>
      <c r="L771" s="7" t="str">
        <f t="shared" ref="L771:L834" si="38">TEXT(H771,"MMM")</f>
        <v>Oct</v>
      </c>
    </row>
    <row r="772" spans="1:12" x14ac:dyDescent="0.3">
      <c r="A772" s="4" t="s">
        <v>1018</v>
      </c>
      <c r="B772" s="13" t="s">
        <v>13</v>
      </c>
      <c r="C772" s="13" t="s">
        <v>58</v>
      </c>
      <c r="D772" s="13" t="s">
        <v>22</v>
      </c>
      <c r="E772" s="13" t="s">
        <v>59</v>
      </c>
      <c r="F772" s="13" t="s">
        <v>24</v>
      </c>
      <c r="G772" s="13" t="s">
        <v>31</v>
      </c>
      <c r="H772" s="7">
        <v>45621</v>
      </c>
      <c r="I772" s="6">
        <v>45621</v>
      </c>
      <c r="J772" s="5">
        <f t="shared" si="36"/>
        <v>0</v>
      </c>
      <c r="K772" s="5" t="str">
        <f t="shared" si="37"/>
        <v>Met</v>
      </c>
      <c r="L772" s="7" t="str">
        <f t="shared" si="38"/>
        <v>Nov</v>
      </c>
    </row>
    <row r="773" spans="1:12" x14ac:dyDescent="0.3">
      <c r="A773" s="8" t="s">
        <v>1019</v>
      </c>
      <c r="B773" s="12" t="s">
        <v>13</v>
      </c>
      <c r="C773" s="12" t="s">
        <v>61</v>
      </c>
      <c r="D773" s="12" t="s">
        <v>35</v>
      </c>
      <c r="E773" s="12" t="s">
        <v>62</v>
      </c>
      <c r="F773" s="12" t="s">
        <v>37</v>
      </c>
      <c r="G773" s="12" t="s">
        <v>45</v>
      </c>
      <c r="H773" s="11">
        <v>45634</v>
      </c>
      <c r="I773" s="10">
        <v>45634</v>
      </c>
      <c r="J773" s="5">
        <f t="shared" si="36"/>
        <v>0</v>
      </c>
      <c r="K773" s="5" t="str">
        <f t="shared" si="37"/>
        <v>Met</v>
      </c>
      <c r="L773" s="7" t="str">
        <f t="shared" si="38"/>
        <v>Dec</v>
      </c>
    </row>
    <row r="774" spans="1:12" x14ac:dyDescent="0.3">
      <c r="A774" s="4" t="s">
        <v>1020</v>
      </c>
      <c r="B774" s="13" t="s">
        <v>33</v>
      </c>
      <c r="C774" s="13" t="s">
        <v>34</v>
      </c>
      <c r="D774" s="13" t="s">
        <v>29</v>
      </c>
      <c r="E774" s="13" t="s">
        <v>64</v>
      </c>
      <c r="F774" s="13" t="s">
        <v>24</v>
      </c>
      <c r="G774" s="13" t="s">
        <v>53</v>
      </c>
      <c r="H774" s="7">
        <v>45526</v>
      </c>
      <c r="I774" s="7">
        <v>45526</v>
      </c>
      <c r="J774" s="5">
        <f t="shared" si="36"/>
        <v>0</v>
      </c>
      <c r="K774" s="5" t="str">
        <f t="shared" si="37"/>
        <v>Met</v>
      </c>
      <c r="L774" s="7" t="str">
        <f t="shared" si="38"/>
        <v>Aug</v>
      </c>
    </row>
    <row r="775" spans="1:12" x14ac:dyDescent="0.3">
      <c r="A775" s="8" t="s">
        <v>1021</v>
      </c>
      <c r="B775" s="12" t="s">
        <v>13</v>
      </c>
      <c r="C775" s="12" t="s">
        <v>14</v>
      </c>
      <c r="D775" s="12" t="s">
        <v>66</v>
      </c>
      <c r="E775" s="12" t="s">
        <v>67</v>
      </c>
      <c r="F775" s="12" t="s">
        <v>17</v>
      </c>
      <c r="G775" s="12" t="s">
        <v>31</v>
      </c>
      <c r="H775" s="11">
        <v>45524</v>
      </c>
      <c r="I775" s="11">
        <v>45524</v>
      </c>
      <c r="J775" s="5">
        <f t="shared" si="36"/>
        <v>0</v>
      </c>
      <c r="K775" s="5" t="str">
        <f t="shared" si="37"/>
        <v>Met</v>
      </c>
      <c r="L775" s="7" t="str">
        <f t="shared" si="38"/>
        <v>Aug</v>
      </c>
    </row>
    <row r="776" spans="1:12" x14ac:dyDescent="0.3">
      <c r="A776" s="4" t="s">
        <v>1022</v>
      </c>
      <c r="B776" s="13" t="s">
        <v>33</v>
      </c>
      <c r="C776" s="13" t="s">
        <v>69</v>
      </c>
      <c r="D776" s="13" t="s">
        <v>66</v>
      </c>
      <c r="E776" s="13" t="s">
        <v>70</v>
      </c>
      <c r="F776" s="13" t="s">
        <v>17</v>
      </c>
      <c r="G776" s="13" t="s">
        <v>18</v>
      </c>
      <c r="H776" s="7">
        <v>45635</v>
      </c>
      <c r="I776" s="6">
        <v>45635</v>
      </c>
      <c r="J776" s="5">
        <f t="shared" si="36"/>
        <v>0</v>
      </c>
      <c r="K776" s="5" t="str">
        <f t="shared" si="37"/>
        <v>Met</v>
      </c>
      <c r="L776" s="7" t="str">
        <f t="shared" si="38"/>
        <v>Dec</v>
      </c>
    </row>
    <row r="777" spans="1:12" x14ac:dyDescent="0.3">
      <c r="A777" s="8" t="s">
        <v>1023</v>
      </c>
      <c r="B777" s="12" t="s">
        <v>13</v>
      </c>
      <c r="C777" s="12" t="s">
        <v>61</v>
      </c>
      <c r="D777" s="12" t="s">
        <v>66</v>
      </c>
      <c r="E777" s="12" t="s">
        <v>72</v>
      </c>
      <c r="F777" s="12" t="s">
        <v>37</v>
      </c>
      <c r="G777" s="12" t="s">
        <v>31</v>
      </c>
      <c r="H777" s="11">
        <v>45478</v>
      </c>
      <c r="I777" s="10">
        <f>[1]!Table1[[#This Row],[Open Date]]</f>
        <v>45478</v>
      </c>
      <c r="J777" s="5">
        <f t="shared" si="36"/>
        <v>0</v>
      </c>
      <c r="K777" s="5" t="str">
        <f t="shared" si="37"/>
        <v>Met</v>
      </c>
      <c r="L777" s="7" t="str">
        <f t="shared" si="38"/>
        <v>Jul</v>
      </c>
    </row>
    <row r="778" spans="1:12" x14ac:dyDescent="0.3">
      <c r="A778" s="4" t="s">
        <v>1024</v>
      </c>
      <c r="B778" s="13" t="s">
        <v>13</v>
      </c>
      <c r="C778" s="13" t="s">
        <v>58</v>
      </c>
      <c r="D778" s="13" t="s">
        <v>35</v>
      </c>
      <c r="E778" s="13" t="s">
        <v>74</v>
      </c>
      <c r="F778" s="13" t="s">
        <v>17</v>
      </c>
      <c r="G778" s="13" t="s">
        <v>18</v>
      </c>
      <c r="H778" s="7">
        <v>45545</v>
      </c>
      <c r="I778" s="6">
        <v>45545</v>
      </c>
      <c r="J778" s="5">
        <f t="shared" si="36"/>
        <v>0</v>
      </c>
      <c r="K778" s="5" t="str">
        <f t="shared" si="37"/>
        <v>Met</v>
      </c>
      <c r="L778" s="7" t="str">
        <f t="shared" si="38"/>
        <v>Sep</v>
      </c>
    </row>
    <row r="779" spans="1:12" x14ac:dyDescent="0.3">
      <c r="A779" s="8" t="s">
        <v>1025</v>
      </c>
      <c r="B779" s="12" t="s">
        <v>20</v>
      </c>
      <c r="C779" s="12" t="s">
        <v>76</v>
      </c>
      <c r="D779" s="12" t="s">
        <v>35</v>
      </c>
      <c r="E779" s="12" t="s">
        <v>77</v>
      </c>
      <c r="F779" s="12" t="s">
        <v>37</v>
      </c>
      <c r="G779" s="12" t="s">
        <v>18</v>
      </c>
      <c r="H779" s="11">
        <v>45588</v>
      </c>
      <c r="I779" s="10">
        <v>45588</v>
      </c>
      <c r="J779" s="5">
        <f t="shared" si="36"/>
        <v>0</v>
      </c>
      <c r="K779" s="5" t="str">
        <f t="shared" si="37"/>
        <v>Met</v>
      </c>
      <c r="L779" s="7" t="str">
        <f t="shared" si="38"/>
        <v>Oct</v>
      </c>
    </row>
    <row r="780" spans="1:12" x14ac:dyDescent="0.3">
      <c r="A780" s="4" t="s">
        <v>1026</v>
      </c>
      <c r="B780" s="5" t="s">
        <v>13</v>
      </c>
      <c r="C780" s="13" t="s">
        <v>14</v>
      </c>
      <c r="D780" s="13" t="s">
        <v>79</v>
      </c>
      <c r="E780" s="13" t="s">
        <v>80</v>
      </c>
      <c r="F780" s="13" t="s">
        <v>17</v>
      </c>
      <c r="G780" s="13" t="s">
        <v>42</v>
      </c>
      <c r="H780" s="7">
        <v>45478</v>
      </c>
      <c r="I780" s="7">
        <v>45478</v>
      </c>
      <c r="J780" s="5">
        <f t="shared" si="36"/>
        <v>0</v>
      </c>
      <c r="K780" s="5" t="str">
        <f t="shared" si="37"/>
        <v>Met</v>
      </c>
      <c r="L780" s="7" t="str">
        <f t="shared" si="38"/>
        <v>Jul</v>
      </c>
    </row>
    <row r="781" spans="1:12" x14ac:dyDescent="0.3">
      <c r="A781" s="8" t="s">
        <v>1027</v>
      </c>
      <c r="B781" s="12" t="s">
        <v>13</v>
      </c>
      <c r="C781" s="12" t="s">
        <v>58</v>
      </c>
      <c r="D781" s="12" t="s">
        <v>35</v>
      </c>
      <c r="E781" s="12" t="s">
        <v>82</v>
      </c>
      <c r="F781" s="12" t="s">
        <v>17</v>
      </c>
      <c r="G781" s="12" t="s">
        <v>42</v>
      </c>
      <c r="H781" s="11">
        <v>45508</v>
      </c>
      <c r="I781" s="11">
        <v>45508</v>
      </c>
      <c r="J781" s="5">
        <f t="shared" si="36"/>
        <v>0</v>
      </c>
      <c r="K781" s="5" t="str">
        <f t="shared" si="37"/>
        <v>Met</v>
      </c>
      <c r="L781" s="7" t="str">
        <f t="shared" si="38"/>
        <v>Aug</v>
      </c>
    </row>
    <row r="782" spans="1:12" x14ac:dyDescent="0.3">
      <c r="A782" s="4" t="s">
        <v>1028</v>
      </c>
      <c r="B782" s="13" t="s">
        <v>27</v>
      </c>
      <c r="C782" s="13" t="s">
        <v>47</v>
      </c>
      <c r="D782" s="13" t="s">
        <v>35</v>
      </c>
      <c r="E782" s="13" t="s">
        <v>84</v>
      </c>
      <c r="F782" s="13" t="s">
        <v>37</v>
      </c>
      <c r="G782" s="13" t="s">
        <v>18</v>
      </c>
      <c r="H782" s="7">
        <v>45511</v>
      </c>
      <c r="I782" s="7">
        <v>45511</v>
      </c>
      <c r="J782" s="5">
        <f t="shared" si="36"/>
        <v>0</v>
      </c>
      <c r="K782" s="5" t="str">
        <f t="shared" si="37"/>
        <v>Met</v>
      </c>
      <c r="L782" s="7" t="str">
        <f t="shared" si="38"/>
        <v>Aug</v>
      </c>
    </row>
    <row r="783" spans="1:12" x14ac:dyDescent="0.3">
      <c r="A783" s="8" t="s">
        <v>1029</v>
      </c>
      <c r="B783" s="12" t="s">
        <v>33</v>
      </c>
      <c r="C783" s="12" t="s">
        <v>34</v>
      </c>
      <c r="D783" s="12" t="s">
        <v>86</v>
      </c>
      <c r="E783" s="12" t="s">
        <v>87</v>
      </c>
      <c r="F783" s="12" t="s">
        <v>37</v>
      </c>
      <c r="G783" s="12" t="s">
        <v>18</v>
      </c>
      <c r="H783" s="11">
        <v>45483</v>
      </c>
      <c r="I783" s="11">
        <v>45483</v>
      </c>
      <c r="J783" s="5">
        <f t="shared" si="36"/>
        <v>0</v>
      </c>
      <c r="K783" s="5" t="str">
        <f t="shared" si="37"/>
        <v>Met</v>
      </c>
      <c r="L783" s="7" t="str">
        <f t="shared" si="38"/>
        <v>Jul</v>
      </c>
    </row>
    <row r="784" spans="1:12" x14ac:dyDescent="0.3">
      <c r="A784" s="4" t="s">
        <v>1030</v>
      </c>
      <c r="B784" s="13" t="s">
        <v>33</v>
      </c>
      <c r="C784" s="13" t="s">
        <v>69</v>
      </c>
      <c r="D784" s="13" t="s">
        <v>35</v>
      </c>
      <c r="E784" s="13" t="s">
        <v>89</v>
      </c>
      <c r="F784" s="13" t="s">
        <v>24</v>
      </c>
      <c r="G784" s="13" t="s">
        <v>53</v>
      </c>
      <c r="H784" s="7">
        <v>45597</v>
      </c>
      <c r="I784" s="6">
        <v>45597</v>
      </c>
      <c r="J784" s="5">
        <f t="shared" si="36"/>
        <v>0</v>
      </c>
      <c r="K784" s="5" t="str">
        <f t="shared" si="37"/>
        <v>Met</v>
      </c>
      <c r="L784" s="7" t="str">
        <f t="shared" si="38"/>
        <v>Nov</v>
      </c>
    </row>
    <row r="785" spans="1:12" x14ac:dyDescent="0.3">
      <c r="A785" s="8" t="s">
        <v>1031</v>
      </c>
      <c r="B785" s="12" t="s">
        <v>13</v>
      </c>
      <c r="C785" s="12" t="s">
        <v>14</v>
      </c>
      <c r="D785" s="12" t="s">
        <v>15</v>
      </c>
      <c r="E785" s="12" t="s">
        <v>91</v>
      </c>
      <c r="F785" s="12" t="s">
        <v>17</v>
      </c>
      <c r="G785" s="12" t="s">
        <v>31</v>
      </c>
      <c r="H785" s="11">
        <v>45561</v>
      </c>
      <c r="I785" s="10">
        <v>45561</v>
      </c>
      <c r="J785" s="5">
        <f t="shared" si="36"/>
        <v>0</v>
      </c>
      <c r="K785" s="5" t="str">
        <f t="shared" si="37"/>
        <v>Met</v>
      </c>
      <c r="L785" s="7" t="str">
        <f t="shared" si="38"/>
        <v>Sep</v>
      </c>
    </row>
    <row r="786" spans="1:12" x14ac:dyDescent="0.3">
      <c r="A786" s="4" t="s">
        <v>1032</v>
      </c>
      <c r="B786" s="13" t="s">
        <v>20</v>
      </c>
      <c r="C786" s="13" t="s">
        <v>93</v>
      </c>
      <c r="D786" s="13" t="s">
        <v>66</v>
      </c>
      <c r="E786" s="13" t="s">
        <v>94</v>
      </c>
      <c r="F786" s="13" t="s">
        <v>24</v>
      </c>
      <c r="G786" s="13" t="s">
        <v>25</v>
      </c>
      <c r="H786" s="7">
        <v>45504</v>
      </c>
      <c r="I786" s="7">
        <v>45504</v>
      </c>
      <c r="J786" s="5">
        <f t="shared" si="36"/>
        <v>0</v>
      </c>
      <c r="K786" s="5" t="str">
        <f t="shared" si="37"/>
        <v>Met</v>
      </c>
      <c r="L786" s="7" t="str">
        <f t="shared" si="38"/>
        <v>Jul</v>
      </c>
    </row>
    <row r="787" spans="1:12" x14ac:dyDescent="0.3">
      <c r="A787" s="8" t="s">
        <v>1033</v>
      </c>
      <c r="B787" s="12" t="s">
        <v>39</v>
      </c>
      <c r="C787" s="12" t="s">
        <v>96</v>
      </c>
      <c r="D787" s="12" t="s">
        <v>148</v>
      </c>
      <c r="E787" s="12" t="s">
        <v>97</v>
      </c>
      <c r="F787" s="12" t="s">
        <v>37</v>
      </c>
      <c r="G787" s="12" t="s">
        <v>53</v>
      </c>
      <c r="H787" s="11">
        <v>45575</v>
      </c>
      <c r="I787" s="11">
        <v>45575</v>
      </c>
      <c r="J787" s="5">
        <f t="shared" si="36"/>
        <v>0</v>
      </c>
      <c r="K787" s="5" t="str">
        <f t="shared" si="37"/>
        <v>Met</v>
      </c>
      <c r="L787" s="7" t="str">
        <f t="shared" si="38"/>
        <v>Oct</v>
      </c>
    </row>
    <row r="788" spans="1:12" x14ac:dyDescent="0.3">
      <c r="A788" s="4" t="s">
        <v>1034</v>
      </c>
      <c r="B788" s="13" t="s">
        <v>39</v>
      </c>
      <c r="C788" s="13" t="s">
        <v>99</v>
      </c>
      <c r="D788" s="13" t="s">
        <v>22</v>
      </c>
      <c r="E788" s="13" t="s">
        <v>100</v>
      </c>
      <c r="F788" s="13" t="s">
        <v>24</v>
      </c>
      <c r="G788" s="5" t="s">
        <v>45</v>
      </c>
      <c r="H788" s="7">
        <v>45497</v>
      </c>
      <c r="I788" s="6">
        <f>[1]!Table1[[#This Row],[Open Date]]</f>
        <v>45497</v>
      </c>
      <c r="J788" s="5">
        <f t="shared" si="36"/>
        <v>0</v>
      </c>
      <c r="K788" s="5" t="str">
        <f t="shared" si="37"/>
        <v>Met</v>
      </c>
      <c r="L788" s="7" t="str">
        <f t="shared" si="38"/>
        <v>Jul</v>
      </c>
    </row>
    <row r="789" spans="1:12" x14ac:dyDescent="0.3">
      <c r="A789" s="8" t="s">
        <v>1035</v>
      </c>
      <c r="B789" s="12" t="s">
        <v>20</v>
      </c>
      <c r="C789" s="12" t="s">
        <v>21</v>
      </c>
      <c r="D789" s="12" t="s">
        <v>148</v>
      </c>
      <c r="E789" s="12" t="s">
        <v>102</v>
      </c>
      <c r="F789" s="12" t="s">
        <v>17</v>
      </c>
      <c r="G789" s="12" t="s">
        <v>42</v>
      </c>
      <c r="H789" s="11">
        <v>45483</v>
      </c>
      <c r="I789" s="11">
        <v>45483</v>
      </c>
      <c r="J789" s="5">
        <f t="shared" si="36"/>
        <v>0</v>
      </c>
      <c r="K789" s="5" t="str">
        <f t="shared" si="37"/>
        <v>Met</v>
      </c>
      <c r="L789" s="7" t="str">
        <f t="shared" si="38"/>
        <v>Jul</v>
      </c>
    </row>
    <row r="790" spans="1:12" x14ac:dyDescent="0.3">
      <c r="A790" s="4" t="s">
        <v>1036</v>
      </c>
      <c r="B790" s="5" t="s">
        <v>13</v>
      </c>
      <c r="C790" s="13" t="s">
        <v>14</v>
      </c>
      <c r="D790" s="13" t="s">
        <v>35</v>
      </c>
      <c r="E790" s="13" t="s">
        <v>106</v>
      </c>
      <c r="F790" s="13" t="s">
        <v>17</v>
      </c>
      <c r="G790" s="13" t="s">
        <v>25</v>
      </c>
      <c r="H790" s="7">
        <v>45504</v>
      </c>
      <c r="I790" s="7">
        <v>45504</v>
      </c>
      <c r="J790" s="5">
        <f t="shared" si="36"/>
        <v>0</v>
      </c>
      <c r="K790" s="5" t="str">
        <f t="shared" si="37"/>
        <v>Met</v>
      </c>
      <c r="L790" s="7" t="str">
        <f t="shared" si="38"/>
        <v>Jul</v>
      </c>
    </row>
    <row r="791" spans="1:12" x14ac:dyDescent="0.3">
      <c r="A791" s="8" t="s">
        <v>1037</v>
      </c>
      <c r="B791" s="12" t="s">
        <v>27</v>
      </c>
      <c r="C791" s="12" t="s">
        <v>47</v>
      </c>
      <c r="D791" s="12" t="s">
        <v>35</v>
      </c>
      <c r="E791" s="12" t="s">
        <v>108</v>
      </c>
      <c r="F791" s="12" t="s">
        <v>37</v>
      </c>
      <c r="G791" s="12" t="s">
        <v>18</v>
      </c>
      <c r="H791" s="11">
        <v>45614</v>
      </c>
      <c r="I791" s="10">
        <v>45614</v>
      </c>
      <c r="J791" s="5">
        <f t="shared" si="36"/>
        <v>0</v>
      </c>
      <c r="K791" s="5" t="str">
        <f t="shared" si="37"/>
        <v>Met</v>
      </c>
      <c r="L791" s="7" t="str">
        <f t="shared" si="38"/>
        <v>Nov</v>
      </c>
    </row>
    <row r="792" spans="1:12" x14ac:dyDescent="0.3">
      <c r="A792" s="4" t="s">
        <v>1038</v>
      </c>
      <c r="B792" s="13" t="s">
        <v>13</v>
      </c>
      <c r="C792" s="13" t="s">
        <v>14</v>
      </c>
      <c r="D792" s="13" t="s">
        <v>79</v>
      </c>
      <c r="E792" s="13" t="s">
        <v>110</v>
      </c>
      <c r="F792" s="13" t="s">
        <v>24</v>
      </c>
      <c r="G792" s="13" t="s">
        <v>25</v>
      </c>
      <c r="H792" s="7">
        <v>45512</v>
      </c>
      <c r="I792" s="7">
        <v>45512</v>
      </c>
      <c r="J792" s="5">
        <f t="shared" si="36"/>
        <v>0</v>
      </c>
      <c r="K792" s="5" t="str">
        <f t="shared" si="37"/>
        <v>Met</v>
      </c>
      <c r="L792" s="7" t="str">
        <f t="shared" si="38"/>
        <v>Aug</v>
      </c>
    </row>
    <row r="793" spans="1:12" x14ac:dyDescent="0.3">
      <c r="A793" s="8" t="s">
        <v>1039</v>
      </c>
      <c r="B793" s="12" t="s">
        <v>13</v>
      </c>
      <c r="C793" s="12" t="s">
        <v>61</v>
      </c>
      <c r="D793" s="12" t="s">
        <v>66</v>
      </c>
      <c r="E793" s="12" t="s">
        <v>112</v>
      </c>
      <c r="F793" s="12" t="s">
        <v>24</v>
      </c>
      <c r="G793" s="12" t="s">
        <v>42</v>
      </c>
      <c r="H793" s="11">
        <v>45486</v>
      </c>
      <c r="I793" s="11">
        <v>45486</v>
      </c>
      <c r="J793" s="5">
        <f t="shared" si="36"/>
        <v>0</v>
      </c>
      <c r="K793" s="5" t="str">
        <f t="shared" si="37"/>
        <v>Met</v>
      </c>
      <c r="L793" s="7" t="str">
        <f t="shared" si="38"/>
        <v>Jul</v>
      </c>
    </row>
    <row r="794" spans="1:12" x14ac:dyDescent="0.3">
      <c r="A794" s="4" t="s">
        <v>1040</v>
      </c>
      <c r="B794" s="13" t="s">
        <v>33</v>
      </c>
      <c r="C794" s="13" t="s">
        <v>34</v>
      </c>
      <c r="D794" s="13" t="s">
        <v>79</v>
      </c>
      <c r="E794" s="13" t="s">
        <v>114</v>
      </c>
      <c r="F794" s="13" t="s">
        <v>24</v>
      </c>
      <c r="G794" s="13" t="s">
        <v>42</v>
      </c>
      <c r="H794" s="7">
        <v>45590</v>
      </c>
      <c r="I794" s="6">
        <v>45590</v>
      </c>
      <c r="J794" s="5">
        <f t="shared" si="36"/>
        <v>0</v>
      </c>
      <c r="K794" s="5" t="str">
        <f t="shared" si="37"/>
        <v>Met</v>
      </c>
      <c r="L794" s="7" t="str">
        <f t="shared" si="38"/>
        <v>Oct</v>
      </c>
    </row>
    <row r="795" spans="1:12" x14ac:dyDescent="0.3">
      <c r="A795" s="8" t="s">
        <v>1041</v>
      </c>
      <c r="B795" s="12" t="s">
        <v>13</v>
      </c>
      <c r="C795" s="12" t="s">
        <v>58</v>
      </c>
      <c r="D795" s="12" t="s">
        <v>79</v>
      </c>
      <c r="E795" s="12" t="s">
        <v>116</v>
      </c>
      <c r="F795" s="12" t="s">
        <v>37</v>
      </c>
      <c r="G795" s="12" t="s">
        <v>25</v>
      </c>
      <c r="H795" s="11">
        <v>45501</v>
      </c>
      <c r="I795" s="11">
        <v>45501</v>
      </c>
      <c r="J795" s="5">
        <f t="shared" si="36"/>
        <v>0</v>
      </c>
      <c r="K795" s="5" t="str">
        <f t="shared" si="37"/>
        <v>Met</v>
      </c>
      <c r="L795" s="7" t="str">
        <f t="shared" si="38"/>
        <v>Jul</v>
      </c>
    </row>
    <row r="796" spans="1:12" x14ac:dyDescent="0.3">
      <c r="A796" s="4" t="s">
        <v>1042</v>
      </c>
      <c r="B796" s="13" t="s">
        <v>33</v>
      </c>
      <c r="C796" s="13" t="s">
        <v>69</v>
      </c>
      <c r="D796" s="13" t="s">
        <v>86</v>
      </c>
      <c r="E796" s="13" t="s">
        <v>118</v>
      </c>
      <c r="F796" s="13" t="s">
        <v>17</v>
      </c>
      <c r="G796" s="13" t="s">
        <v>45</v>
      </c>
      <c r="H796" s="7">
        <v>45542</v>
      </c>
      <c r="I796" s="7">
        <v>45542</v>
      </c>
      <c r="J796" s="5">
        <f t="shared" si="36"/>
        <v>0</v>
      </c>
      <c r="K796" s="5" t="str">
        <f t="shared" si="37"/>
        <v>Met</v>
      </c>
      <c r="L796" s="7" t="str">
        <f t="shared" si="38"/>
        <v>Sep</v>
      </c>
    </row>
    <row r="797" spans="1:12" x14ac:dyDescent="0.3">
      <c r="A797" s="8" t="s">
        <v>1043</v>
      </c>
      <c r="B797" s="12" t="s">
        <v>13</v>
      </c>
      <c r="C797" s="12" t="s">
        <v>14</v>
      </c>
      <c r="D797" s="12" t="s">
        <v>35</v>
      </c>
      <c r="E797" s="12" t="s">
        <v>120</v>
      </c>
      <c r="F797" s="12" t="s">
        <v>37</v>
      </c>
      <c r="G797" s="12" t="s">
        <v>42</v>
      </c>
      <c r="H797" s="11">
        <v>45632</v>
      </c>
      <c r="I797" s="10">
        <v>45632</v>
      </c>
      <c r="J797" s="5">
        <f t="shared" si="36"/>
        <v>0</v>
      </c>
      <c r="K797" s="5" t="str">
        <f t="shared" si="37"/>
        <v>Met</v>
      </c>
      <c r="L797" s="7" t="str">
        <f t="shared" si="38"/>
        <v>Dec</v>
      </c>
    </row>
    <row r="798" spans="1:12" x14ac:dyDescent="0.3">
      <c r="A798" s="4" t="s">
        <v>1044</v>
      </c>
      <c r="B798" s="13" t="s">
        <v>20</v>
      </c>
      <c r="C798" s="13" t="s">
        <v>76</v>
      </c>
      <c r="D798" s="13" t="s">
        <v>15</v>
      </c>
      <c r="E798" s="13" t="s">
        <v>122</v>
      </c>
      <c r="F798" s="13" t="s">
        <v>17</v>
      </c>
      <c r="G798" s="13" t="s">
        <v>31</v>
      </c>
      <c r="H798" s="7">
        <v>45598</v>
      </c>
      <c r="I798" s="6">
        <v>45598</v>
      </c>
      <c r="J798" s="5">
        <f t="shared" si="36"/>
        <v>0</v>
      </c>
      <c r="K798" s="5" t="str">
        <f t="shared" si="37"/>
        <v>Met</v>
      </c>
      <c r="L798" s="7" t="str">
        <f t="shared" si="38"/>
        <v>Nov</v>
      </c>
    </row>
    <row r="799" spans="1:12" x14ac:dyDescent="0.3">
      <c r="A799" s="8" t="s">
        <v>1045</v>
      </c>
      <c r="B799" s="12" t="s">
        <v>20</v>
      </c>
      <c r="C799" s="12" t="s">
        <v>76</v>
      </c>
      <c r="D799" s="12" t="s">
        <v>22</v>
      </c>
      <c r="E799" s="12" t="s">
        <v>124</v>
      </c>
      <c r="F799" s="12" t="s">
        <v>37</v>
      </c>
      <c r="G799" s="12" t="s">
        <v>25</v>
      </c>
      <c r="H799" s="11">
        <v>45508</v>
      </c>
      <c r="I799" s="11">
        <v>45508</v>
      </c>
      <c r="J799" s="5">
        <f t="shared" si="36"/>
        <v>0</v>
      </c>
      <c r="K799" s="5" t="str">
        <f t="shared" si="37"/>
        <v>Met</v>
      </c>
      <c r="L799" s="7" t="str">
        <f t="shared" si="38"/>
        <v>Aug</v>
      </c>
    </row>
    <row r="800" spans="1:12" x14ac:dyDescent="0.3">
      <c r="A800" s="4" t="s">
        <v>1046</v>
      </c>
      <c r="B800" s="5" t="s">
        <v>13</v>
      </c>
      <c r="C800" s="13" t="s">
        <v>58</v>
      </c>
      <c r="D800" s="13" t="s">
        <v>66</v>
      </c>
      <c r="E800" s="13" t="s">
        <v>126</v>
      </c>
      <c r="F800" s="13" t="s">
        <v>17</v>
      </c>
      <c r="G800" s="13" t="s">
        <v>18</v>
      </c>
      <c r="H800" s="7">
        <v>45527</v>
      </c>
      <c r="I800" s="7">
        <v>45527</v>
      </c>
      <c r="J800" s="5">
        <f t="shared" si="36"/>
        <v>0</v>
      </c>
      <c r="K800" s="5" t="str">
        <f t="shared" si="37"/>
        <v>Met</v>
      </c>
      <c r="L800" s="7" t="str">
        <f t="shared" si="38"/>
        <v>Aug</v>
      </c>
    </row>
    <row r="801" spans="1:12" x14ac:dyDescent="0.3">
      <c r="A801" s="8" t="s">
        <v>1047</v>
      </c>
      <c r="B801" s="12" t="s">
        <v>39</v>
      </c>
      <c r="C801" s="12" t="s">
        <v>99</v>
      </c>
      <c r="D801" s="12" t="s">
        <v>66</v>
      </c>
      <c r="E801" s="12" t="s">
        <v>128</v>
      </c>
      <c r="F801" s="12" t="s">
        <v>37</v>
      </c>
      <c r="G801" s="12" t="s">
        <v>25</v>
      </c>
      <c r="H801" s="11">
        <v>45543</v>
      </c>
      <c r="I801" s="10">
        <v>45543</v>
      </c>
      <c r="J801" s="5">
        <f t="shared" si="36"/>
        <v>0</v>
      </c>
      <c r="K801" s="5" t="str">
        <f t="shared" si="37"/>
        <v>Met</v>
      </c>
      <c r="L801" s="7" t="str">
        <f t="shared" si="38"/>
        <v>Sep</v>
      </c>
    </row>
    <row r="802" spans="1:12" x14ac:dyDescent="0.3">
      <c r="A802" s="4" t="s">
        <v>1048</v>
      </c>
      <c r="B802" s="13" t="s">
        <v>39</v>
      </c>
      <c r="C802" s="13" t="s">
        <v>99</v>
      </c>
      <c r="D802" s="13" t="s">
        <v>35</v>
      </c>
      <c r="E802" s="13" t="s">
        <v>130</v>
      </c>
      <c r="F802" s="13" t="s">
        <v>24</v>
      </c>
      <c r="G802" s="13" t="s">
        <v>25</v>
      </c>
      <c r="H802" s="7">
        <v>45580</v>
      </c>
      <c r="I802" s="7">
        <v>45580</v>
      </c>
      <c r="J802" s="5">
        <f t="shared" si="36"/>
        <v>0</v>
      </c>
      <c r="K802" s="5" t="str">
        <f t="shared" si="37"/>
        <v>Met</v>
      </c>
      <c r="L802" s="7" t="str">
        <f t="shared" si="38"/>
        <v>Oct</v>
      </c>
    </row>
    <row r="803" spans="1:12" x14ac:dyDescent="0.3">
      <c r="A803" s="8" t="s">
        <v>1049</v>
      </c>
      <c r="B803" s="12" t="s">
        <v>39</v>
      </c>
      <c r="C803" s="12" t="s">
        <v>96</v>
      </c>
      <c r="D803" s="12" t="s">
        <v>29</v>
      </c>
      <c r="E803" s="12" t="s">
        <v>132</v>
      </c>
      <c r="F803" s="12" t="s">
        <v>37</v>
      </c>
      <c r="G803" s="12" t="s">
        <v>18</v>
      </c>
      <c r="H803" s="11">
        <v>45577</v>
      </c>
      <c r="I803" s="10">
        <v>45577</v>
      </c>
      <c r="J803" s="5">
        <f t="shared" si="36"/>
        <v>0</v>
      </c>
      <c r="K803" s="5" t="str">
        <f t="shared" si="37"/>
        <v>Met</v>
      </c>
      <c r="L803" s="7" t="str">
        <f t="shared" si="38"/>
        <v>Oct</v>
      </c>
    </row>
    <row r="804" spans="1:12" x14ac:dyDescent="0.3">
      <c r="A804" s="4" t="s">
        <v>1050</v>
      </c>
      <c r="B804" s="13" t="s">
        <v>20</v>
      </c>
      <c r="C804" s="13" t="s">
        <v>21</v>
      </c>
      <c r="D804" s="13" t="s">
        <v>29</v>
      </c>
      <c r="E804" s="13" t="s">
        <v>134</v>
      </c>
      <c r="F804" s="13" t="s">
        <v>24</v>
      </c>
      <c r="G804" s="13" t="s">
        <v>42</v>
      </c>
      <c r="H804" s="7">
        <v>45618</v>
      </c>
      <c r="I804" s="6">
        <v>45618</v>
      </c>
      <c r="J804" s="5">
        <f t="shared" si="36"/>
        <v>0</v>
      </c>
      <c r="K804" s="5" t="str">
        <f t="shared" si="37"/>
        <v>Met</v>
      </c>
      <c r="L804" s="7" t="str">
        <f t="shared" si="38"/>
        <v>Nov</v>
      </c>
    </row>
    <row r="805" spans="1:12" x14ac:dyDescent="0.3">
      <c r="A805" s="8" t="s">
        <v>1051</v>
      </c>
      <c r="B805" s="12" t="s">
        <v>27</v>
      </c>
      <c r="C805" s="12" t="s">
        <v>28</v>
      </c>
      <c r="D805" s="12" t="s">
        <v>29</v>
      </c>
      <c r="E805" s="12" t="s">
        <v>136</v>
      </c>
      <c r="F805" s="12" t="s">
        <v>37</v>
      </c>
      <c r="G805" s="12" t="s">
        <v>42</v>
      </c>
      <c r="H805" s="11">
        <v>45503</v>
      </c>
      <c r="I805" s="11">
        <v>45503</v>
      </c>
      <c r="J805" s="5">
        <f t="shared" si="36"/>
        <v>0</v>
      </c>
      <c r="K805" s="5" t="str">
        <f t="shared" si="37"/>
        <v>Met</v>
      </c>
      <c r="L805" s="7" t="str">
        <f t="shared" si="38"/>
        <v>Jul</v>
      </c>
    </row>
    <row r="806" spans="1:12" x14ac:dyDescent="0.3">
      <c r="A806" s="4" t="s">
        <v>1052</v>
      </c>
      <c r="B806" s="13" t="s">
        <v>27</v>
      </c>
      <c r="C806" s="13" t="s">
        <v>28</v>
      </c>
      <c r="D806" s="13" t="s">
        <v>79</v>
      </c>
      <c r="E806" s="13" t="s">
        <v>138</v>
      </c>
      <c r="F806" s="13" t="s">
        <v>37</v>
      </c>
      <c r="G806" s="13" t="s">
        <v>25</v>
      </c>
      <c r="H806" s="7">
        <v>45602</v>
      </c>
      <c r="I806" s="6">
        <v>45602</v>
      </c>
      <c r="J806" s="5">
        <f t="shared" si="36"/>
        <v>0</v>
      </c>
      <c r="K806" s="5" t="str">
        <f t="shared" si="37"/>
        <v>Met</v>
      </c>
      <c r="L806" s="7" t="str">
        <f t="shared" si="38"/>
        <v>Nov</v>
      </c>
    </row>
    <row r="807" spans="1:12" x14ac:dyDescent="0.3">
      <c r="A807" s="8" t="s">
        <v>1053</v>
      </c>
      <c r="B807" s="12" t="s">
        <v>13</v>
      </c>
      <c r="C807" s="12" t="s">
        <v>14</v>
      </c>
      <c r="D807" s="12" t="s">
        <v>35</v>
      </c>
      <c r="E807" s="12" t="s">
        <v>140</v>
      </c>
      <c r="F807" s="12" t="s">
        <v>17</v>
      </c>
      <c r="G807" s="12" t="s">
        <v>18</v>
      </c>
      <c r="H807" s="11">
        <v>45623</v>
      </c>
      <c r="I807" s="10">
        <v>45623</v>
      </c>
      <c r="J807" s="5">
        <f t="shared" si="36"/>
        <v>0</v>
      </c>
      <c r="K807" s="5" t="str">
        <f t="shared" si="37"/>
        <v>Met</v>
      </c>
      <c r="L807" s="7" t="str">
        <f t="shared" si="38"/>
        <v>Nov</v>
      </c>
    </row>
    <row r="808" spans="1:12" x14ac:dyDescent="0.3">
      <c r="A808" s="4" t="s">
        <v>1054</v>
      </c>
      <c r="B808" s="13" t="s">
        <v>13</v>
      </c>
      <c r="C808" s="13" t="s">
        <v>14</v>
      </c>
      <c r="D808" s="13" t="s">
        <v>35</v>
      </c>
      <c r="E808" s="13" t="s">
        <v>142</v>
      </c>
      <c r="F808" s="13" t="s">
        <v>37</v>
      </c>
      <c r="G808" s="13" t="s">
        <v>45</v>
      </c>
      <c r="H808" s="7">
        <v>45556</v>
      </c>
      <c r="I808" s="6">
        <v>45556</v>
      </c>
      <c r="J808" s="5">
        <f t="shared" si="36"/>
        <v>0</v>
      </c>
      <c r="K808" s="5" t="str">
        <f t="shared" si="37"/>
        <v>Met</v>
      </c>
      <c r="L808" s="7" t="str">
        <f t="shared" si="38"/>
        <v>Sep</v>
      </c>
    </row>
    <row r="809" spans="1:12" x14ac:dyDescent="0.3">
      <c r="A809" s="8" t="s">
        <v>1055</v>
      </c>
      <c r="B809" s="12" t="s">
        <v>39</v>
      </c>
      <c r="C809" s="12" t="s">
        <v>96</v>
      </c>
      <c r="D809" s="12" t="s">
        <v>79</v>
      </c>
      <c r="E809" s="12" t="s">
        <v>144</v>
      </c>
      <c r="F809" s="12" t="s">
        <v>37</v>
      </c>
      <c r="G809" s="12" t="s">
        <v>31</v>
      </c>
      <c r="H809" s="11">
        <v>45623</v>
      </c>
      <c r="I809" s="10">
        <v>45623</v>
      </c>
      <c r="J809" s="5">
        <f t="shared" si="36"/>
        <v>0</v>
      </c>
      <c r="K809" s="5" t="str">
        <f t="shared" si="37"/>
        <v>Met</v>
      </c>
      <c r="L809" s="7" t="str">
        <f t="shared" si="38"/>
        <v>Nov</v>
      </c>
    </row>
    <row r="810" spans="1:12" x14ac:dyDescent="0.3">
      <c r="A810" s="4" t="s">
        <v>1056</v>
      </c>
      <c r="B810" s="13" t="s">
        <v>39</v>
      </c>
      <c r="C810" s="13" t="s">
        <v>40</v>
      </c>
      <c r="D810" s="13" t="s">
        <v>29</v>
      </c>
      <c r="E810" s="13" t="s">
        <v>146</v>
      </c>
      <c r="F810" s="13" t="s">
        <v>37</v>
      </c>
      <c r="G810" s="13" t="s">
        <v>31</v>
      </c>
      <c r="H810" s="7">
        <v>45573</v>
      </c>
      <c r="I810" s="7">
        <v>45573</v>
      </c>
      <c r="J810" s="5">
        <f t="shared" si="36"/>
        <v>0</v>
      </c>
      <c r="K810" s="5" t="str">
        <f t="shared" si="37"/>
        <v>Met</v>
      </c>
      <c r="L810" s="7" t="str">
        <f t="shared" si="38"/>
        <v>Oct</v>
      </c>
    </row>
    <row r="811" spans="1:12" x14ac:dyDescent="0.3">
      <c r="A811" s="8" t="s">
        <v>1057</v>
      </c>
      <c r="B811" s="12" t="s">
        <v>39</v>
      </c>
      <c r="C811" s="12" t="s">
        <v>99</v>
      </c>
      <c r="D811" s="12" t="s">
        <v>148</v>
      </c>
      <c r="E811" s="12" t="s">
        <v>149</v>
      </c>
      <c r="F811" s="12" t="s">
        <v>37</v>
      </c>
      <c r="G811" s="12" t="s">
        <v>18</v>
      </c>
      <c r="H811" s="11">
        <v>45474</v>
      </c>
      <c r="I811" s="11">
        <v>45474</v>
      </c>
      <c r="J811" s="5">
        <f t="shared" si="36"/>
        <v>0</v>
      </c>
      <c r="K811" s="5" t="str">
        <f t="shared" si="37"/>
        <v>Met</v>
      </c>
      <c r="L811" s="7" t="str">
        <f t="shared" si="38"/>
        <v>Jul</v>
      </c>
    </row>
    <row r="812" spans="1:12" x14ac:dyDescent="0.3">
      <c r="A812" s="4" t="s">
        <v>1058</v>
      </c>
      <c r="B812" s="5" t="s">
        <v>13</v>
      </c>
      <c r="C812" s="13" t="s">
        <v>14</v>
      </c>
      <c r="D812" s="13" t="s">
        <v>86</v>
      </c>
      <c r="E812" s="13" t="s">
        <v>151</v>
      </c>
      <c r="F812" s="13" t="s">
        <v>17</v>
      </c>
      <c r="G812" s="13" t="s">
        <v>45</v>
      </c>
      <c r="H812" s="7">
        <v>45635</v>
      </c>
      <c r="I812" s="6">
        <v>45635</v>
      </c>
      <c r="J812" s="5">
        <f t="shared" si="36"/>
        <v>0</v>
      </c>
      <c r="K812" s="5" t="str">
        <f t="shared" si="37"/>
        <v>Met</v>
      </c>
      <c r="L812" s="7" t="str">
        <f t="shared" si="38"/>
        <v>Dec</v>
      </c>
    </row>
    <row r="813" spans="1:12" x14ac:dyDescent="0.3">
      <c r="A813" s="8" t="s">
        <v>1059</v>
      </c>
      <c r="B813" s="12" t="s">
        <v>27</v>
      </c>
      <c r="C813" s="12" t="s">
        <v>153</v>
      </c>
      <c r="D813" s="12" t="s">
        <v>22</v>
      </c>
      <c r="E813" s="12" t="s">
        <v>154</v>
      </c>
      <c r="F813" s="12" t="s">
        <v>17</v>
      </c>
      <c r="G813" s="12" t="s">
        <v>42</v>
      </c>
      <c r="H813" s="11">
        <v>45607</v>
      </c>
      <c r="I813" s="10">
        <v>45607</v>
      </c>
      <c r="J813" s="5">
        <f t="shared" si="36"/>
        <v>0</v>
      </c>
      <c r="K813" s="5" t="str">
        <f t="shared" si="37"/>
        <v>Met</v>
      </c>
      <c r="L813" s="7" t="str">
        <f t="shared" si="38"/>
        <v>Nov</v>
      </c>
    </row>
    <row r="814" spans="1:12" x14ac:dyDescent="0.3">
      <c r="A814" s="4" t="s">
        <v>1060</v>
      </c>
      <c r="B814" s="5" t="s">
        <v>13</v>
      </c>
      <c r="C814" s="13" t="s">
        <v>14</v>
      </c>
      <c r="D814" s="13" t="s">
        <v>66</v>
      </c>
      <c r="E814" s="13" t="s">
        <v>156</v>
      </c>
      <c r="F814" s="13" t="s">
        <v>17</v>
      </c>
      <c r="G814" s="13" t="s">
        <v>18</v>
      </c>
      <c r="H814" s="7">
        <v>45588</v>
      </c>
      <c r="I814" s="6">
        <v>45588</v>
      </c>
      <c r="J814" s="5">
        <f t="shared" si="36"/>
        <v>0</v>
      </c>
      <c r="K814" s="5" t="str">
        <f t="shared" si="37"/>
        <v>Met</v>
      </c>
      <c r="L814" s="7" t="str">
        <f t="shared" si="38"/>
        <v>Oct</v>
      </c>
    </row>
    <row r="815" spans="1:12" x14ac:dyDescent="0.3">
      <c r="A815" s="8" t="s">
        <v>1061</v>
      </c>
      <c r="B815" s="12" t="s">
        <v>20</v>
      </c>
      <c r="C815" s="12" t="s">
        <v>76</v>
      </c>
      <c r="D815" s="12" t="s">
        <v>35</v>
      </c>
      <c r="E815" s="12" t="s">
        <v>158</v>
      </c>
      <c r="F815" s="12" t="s">
        <v>37</v>
      </c>
      <c r="G815" s="12" t="s">
        <v>31</v>
      </c>
      <c r="H815" s="11">
        <v>45607</v>
      </c>
      <c r="I815" s="10">
        <v>45607</v>
      </c>
      <c r="J815" s="5">
        <f t="shared" si="36"/>
        <v>0</v>
      </c>
      <c r="K815" s="5" t="str">
        <f t="shared" si="37"/>
        <v>Met</v>
      </c>
      <c r="L815" s="7" t="str">
        <f t="shared" si="38"/>
        <v>Nov</v>
      </c>
    </row>
    <row r="816" spans="1:12" x14ac:dyDescent="0.3">
      <c r="A816" s="4" t="s">
        <v>1062</v>
      </c>
      <c r="B816" s="13" t="s">
        <v>33</v>
      </c>
      <c r="C816" s="13" t="s">
        <v>69</v>
      </c>
      <c r="D816" s="13" t="s">
        <v>79</v>
      </c>
      <c r="E816" s="13" t="s">
        <v>160</v>
      </c>
      <c r="F816" s="13" t="s">
        <v>17</v>
      </c>
      <c r="G816" s="13" t="s">
        <v>53</v>
      </c>
      <c r="H816" s="7">
        <v>45486</v>
      </c>
      <c r="I816" s="6">
        <f>[1]!Table1[[#This Row],[Open Date]]</f>
        <v>45486</v>
      </c>
      <c r="J816" s="5">
        <f t="shared" si="36"/>
        <v>0</v>
      </c>
      <c r="K816" s="5" t="str">
        <f t="shared" si="37"/>
        <v>Met</v>
      </c>
      <c r="L816" s="7" t="str">
        <f t="shared" si="38"/>
        <v>Jul</v>
      </c>
    </row>
    <row r="817" spans="1:12" x14ac:dyDescent="0.3">
      <c r="A817" s="8" t="s">
        <v>1063</v>
      </c>
      <c r="B817" s="12" t="s">
        <v>33</v>
      </c>
      <c r="C817" s="12" t="s">
        <v>69</v>
      </c>
      <c r="D817" s="12" t="s">
        <v>66</v>
      </c>
      <c r="E817" s="12" t="s">
        <v>162</v>
      </c>
      <c r="F817" s="12" t="s">
        <v>24</v>
      </c>
      <c r="G817" s="12" t="s">
        <v>45</v>
      </c>
      <c r="H817" s="11">
        <v>45615</v>
      </c>
      <c r="I817" s="10">
        <v>45615</v>
      </c>
      <c r="J817" s="5">
        <f t="shared" si="36"/>
        <v>0</v>
      </c>
      <c r="K817" s="5" t="str">
        <f t="shared" si="37"/>
        <v>Met</v>
      </c>
      <c r="L817" s="7" t="str">
        <f t="shared" si="38"/>
        <v>Nov</v>
      </c>
    </row>
    <row r="818" spans="1:12" x14ac:dyDescent="0.3">
      <c r="A818" s="4" t="s">
        <v>1064</v>
      </c>
      <c r="B818" s="13" t="s">
        <v>13</v>
      </c>
      <c r="C818" s="13" t="s">
        <v>58</v>
      </c>
      <c r="D818" s="13" t="s">
        <v>86</v>
      </c>
      <c r="E818" s="13" t="s">
        <v>164</v>
      </c>
      <c r="F818" s="13" t="s">
        <v>17</v>
      </c>
      <c r="G818" s="13" t="s">
        <v>45</v>
      </c>
      <c r="H818" s="7">
        <v>45579</v>
      </c>
      <c r="I818" s="7">
        <v>45579</v>
      </c>
      <c r="J818" s="5">
        <f t="shared" si="36"/>
        <v>0</v>
      </c>
      <c r="K818" s="5" t="str">
        <f t="shared" si="37"/>
        <v>Met</v>
      </c>
      <c r="L818" s="7" t="str">
        <f t="shared" si="38"/>
        <v>Oct</v>
      </c>
    </row>
    <row r="819" spans="1:12" x14ac:dyDescent="0.3">
      <c r="A819" s="8" t="s">
        <v>1065</v>
      </c>
      <c r="B819" s="12" t="s">
        <v>33</v>
      </c>
      <c r="C819" s="12" t="s">
        <v>55</v>
      </c>
      <c r="D819" s="12" t="s">
        <v>35</v>
      </c>
      <c r="E819" s="12" t="s">
        <v>166</v>
      </c>
      <c r="F819" s="12" t="s">
        <v>24</v>
      </c>
      <c r="G819" s="12" t="s">
        <v>53</v>
      </c>
      <c r="H819" s="11">
        <v>45572</v>
      </c>
      <c r="I819" s="10">
        <v>45572</v>
      </c>
      <c r="J819" s="5">
        <f t="shared" si="36"/>
        <v>0</v>
      </c>
      <c r="K819" s="5" t="str">
        <f t="shared" si="37"/>
        <v>Met</v>
      </c>
      <c r="L819" s="7" t="str">
        <f t="shared" si="38"/>
        <v>Oct</v>
      </c>
    </row>
    <row r="820" spans="1:12" x14ac:dyDescent="0.3">
      <c r="A820" s="4" t="s">
        <v>1066</v>
      </c>
      <c r="B820" s="13" t="s">
        <v>20</v>
      </c>
      <c r="C820" s="13" t="s">
        <v>76</v>
      </c>
      <c r="D820" s="13" t="s">
        <v>22</v>
      </c>
      <c r="E820" s="13" t="s">
        <v>168</v>
      </c>
      <c r="F820" s="13" t="s">
        <v>37</v>
      </c>
      <c r="G820" s="13" t="s">
        <v>45</v>
      </c>
      <c r="H820" s="7">
        <v>45600</v>
      </c>
      <c r="I820" s="6">
        <v>45600</v>
      </c>
      <c r="J820" s="5">
        <f t="shared" si="36"/>
        <v>0</v>
      </c>
      <c r="K820" s="5" t="str">
        <f t="shared" si="37"/>
        <v>Met</v>
      </c>
      <c r="L820" s="7" t="str">
        <f t="shared" si="38"/>
        <v>Nov</v>
      </c>
    </row>
    <row r="821" spans="1:12" x14ac:dyDescent="0.3">
      <c r="A821" s="8" t="s">
        <v>1067</v>
      </c>
      <c r="B821" s="12" t="s">
        <v>13</v>
      </c>
      <c r="C821" s="12" t="s">
        <v>14</v>
      </c>
      <c r="D821" s="12" t="s">
        <v>29</v>
      </c>
      <c r="E821" s="12" t="s">
        <v>170</v>
      </c>
      <c r="F821" s="12" t="s">
        <v>17</v>
      </c>
      <c r="G821" s="12" t="s">
        <v>45</v>
      </c>
      <c r="H821" s="11">
        <v>45524</v>
      </c>
      <c r="I821" s="11">
        <v>45524</v>
      </c>
      <c r="J821" s="5">
        <f t="shared" si="36"/>
        <v>0</v>
      </c>
      <c r="K821" s="5" t="str">
        <f t="shared" si="37"/>
        <v>Met</v>
      </c>
      <c r="L821" s="7" t="str">
        <f t="shared" si="38"/>
        <v>Aug</v>
      </c>
    </row>
    <row r="822" spans="1:12" x14ac:dyDescent="0.3">
      <c r="A822" s="4" t="s">
        <v>1068</v>
      </c>
      <c r="B822" s="13" t="s">
        <v>27</v>
      </c>
      <c r="C822" s="13" t="s">
        <v>47</v>
      </c>
      <c r="D822" s="13" t="s">
        <v>35</v>
      </c>
      <c r="E822" s="13" t="s">
        <v>172</v>
      </c>
      <c r="F822" s="13" t="s">
        <v>37</v>
      </c>
      <c r="G822" s="13" t="s">
        <v>31</v>
      </c>
      <c r="H822" s="7">
        <v>45614</v>
      </c>
      <c r="I822" s="6">
        <v>45614</v>
      </c>
      <c r="J822" s="5">
        <f t="shared" si="36"/>
        <v>0</v>
      </c>
      <c r="K822" s="5" t="str">
        <f t="shared" si="37"/>
        <v>Met</v>
      </c>
      <c r="L822" s="7" t="str">
        <f t="shared" si="38"/>
        <v>Nov</v>
      </c>
    </row>
    <row r="823" spans="1:12" x14ac:dyDescent="0.3">
      <c r="A823" s="8" t="s">
        <v>1069</v>
      </c>
      <c r="B823" s="12" t="s">
        <v>13</v>
      </c>
      <c r="C823" s="12" t="s">
        <v>58</v>
      </c>
      <c r="D823" s="12" t="s">
        <v>79</v>
      </c>
      <c r="E823" s="12" t="s">
        <v>174</v>
      </c>
      <c r="F823" s="12" t="s">
        <v>24</v>
      </c>
      <c r="G823" s="12" t="s">
        <v>53</v>
      </c>
      <c r="H823" s="11">
        <v>45573</v>
      </c>
      <c r="I823" s="11">
        <v>45573</v>
      </c>
      <c r="J823" s="5">
        <f t="shared" si="36"/>
        <v>0</v>
      </c>
      <c r="K823" s="5" t="str">
        <f t="shared" si="37"/>
        <v>Met</v>
      </c>
      <c r="L823" s="7" t="str">
        <f t="shared" si="38"/>
        <v>Oct</v>
      </c>
    </row>
    <row r="824" spans="1:12" x14ac:dyDescent="0.3">
      <c r="A824" s="4" t="s">
        <v>1070</v>
      </c>
      <c r="B824" s="13" t="s">
        <v>13</v>
      </c>
      <c r="C824" s="13" t="s">
        <v>61</v>
      </c>
      <c r="D824" s="13" t="s">
        <v>148</v>
      </c>
      <c r="E824" s="13" t="s">
        <v>176</v>
      </c>
      <c r="F824" s="13" t="s">
        <v>24</v>
      </c>
      <c r="G824" s="13" t="s">
        <v>45</v>
      </c>
      <c r="H824" s="7">
        <v>45536</v>
      </c>
      <c r="I824" s="6">
        <v>45536</v>
      </c>
      <c r="J824" s="5">
        <f t="shared" si="36"/>
        <v>0</v>
      </c>
      <c r="K824" s="5" t="str">
        <f t="shared" si="37"/>
        <v>Met</v>
      </c>
      <c r="L824" s="7" t="str">
        <f t="shared" si="38"/>
        <v>Sep</v>
      </c>
    </row>
    <row r="825" spans="1:12" x14ac:dyDescent="0.3">
      <c r="A825" s="8" t="s">
        <v>1071</v>
      </c>
      <c r="B825" s="12" t="s">
        <v>27</v>
      </c>
      <c r="C825" s="12" t="s">
        <v>47</v>
      </c>
      <c r="D825" s="12" t="s">
        <v>35</v>
      </c>
      <c r="E825" s="12" t="s">
        <v>178</v>
      </c>
      <c r="F825" s="12" t="s">
        <v>37</v>
      </c>
      <c r="G825" s="12" t="s">
        <v>18</v>
      </c>
      <c r="H825" s="11">
        <v>45605</v>
      </c>
      <c r="I825" s="10">
        <v>45605</v>
      </c>
      <c r="J825" s="5">
        <f t="shared" si="36"/>
        <v>0</v>
      </c>
      <c r="K825" s="5" t="str">
        <f t="shared" si="37"/>
        <v>Met</v>
      </c>
      <c r="L825" s="7" t="str">
        <f t="shared" si="38"/>
        <v>Nov</v>
      </c>
    </row>
    <row r="826" spans="1:12" x14ac:dyDescent="0.3">
      <c r="A826" s="4" t="s">
        <v>1072</v>
      </c>
      <c r="B826" s="13" t="s">
        <v>27</v>
      </c>
      <c r="C826" s="13" t="s">
        <v>153</v>
      </c>
      <c r="D826" s="13" t="s">
        <v>29</v>
      </c>
      <c r="E826" s="13" t="s">
        <v>180</v>
      </c>
      <c r="F826" s="13" t="s">
        <v>37</v>
      </c>
      <c r="G826" s="13" t="s">
        <v>18</v>
      </c>
      <c r="H826" s="7">
        <v>45491</v>
      </c>
      <c r="I826" s="7">
        <v>45491</v>
      </c>
      <c r="J826" s="5">
        <f t="shared" si="36"/>
        <v>0</v>
      </c>
      <c r="K826" s="5" t="str">
        <f t="shared" si="37"/>
        <v>Met</v>
      </c>
      <c r="L826" s="7" t="str">
        <f t="shared" si="38"/>
        <v>Jul</v>
      </c>
    </row>
    <row r="827" spans="1:12" x14ac:dyDescent="0.3">
      <c r="A827" s="8" t="s">
        <v>1073</v>
      </c>
      <c r="B827" s="9" t="s">
        <v>13</v>
      </c>
      <c r="C827" s="12" t="s">
        <v>58</v>
      </c>
      <c r="D827" s="12" t="s">
        <v>66</v>
      </c>
      <c r="E827" s="12" t="s">
        <v>182</v>
      </c>
      <c r="F827" s="12" t="s">
        <v>17</v>
      </c>
      <c r="G827" s="12" t="s">
        <v>18</v>
      </c>
      <c r="H827" s="11">
        <v>45623</v>
      </c>
      <c r="I827" s="10">
        <v>45623</v>
      </c>
      <c r="J827" s="5">
        <f t="shared" si="36"/>
        <v>0</v>
      </c>
      <c r="K827" s="5" t="str">
        <f t="shared" si="37"/>
        <v>Met</v>
      </c>
      <c r="L827" s="7" t="str">
        <f t="shared" si="38"/>
        <v>Nov</v>
      </c>
    </row>
    <row r="828" spans="1:12" x14ac:dyDescent="0.3">
      <c r="A828" s="4" t="s">
        <v>1074</v>
      </c>
      <c r="B828" s="13" t="s">
        <v>27</v>
      </c>
      <c r="C828" s="13" t="s">
        <v>28</v>
      </c>
      <c r="D828" s="13" t="s">
        <v>22</v>
      </c>
      <c r="E828" s="13" t="s">
        <v>184</v>
      </c>
      <c r="F828" s="13" t="s">
        <v>24</v>
      </c>
      <c r="G828" s="13" t="s">
        <v>25</v>
      </c>
      <c r="H828" s="7">
        <v>45589</v>
      </c>
      <c r="I828" s="6">
        <v>45589</v>
      </c>
      <c r="J828" s="5">
        <f t="shared" si="36"/>
        <v>0</v>
      </c>
      <c r="K828" s="5" t="str">
        <f t="shared" si="37"/>
        <v>Met</v>
      </c>
      <c r="L828" s="7" t="str">
        <f t="shared" si="38"/>
        <v>Oct</v>
      </c>
    </row>
    <row r="829" spans="1:12" x14ac:dyDescent="0.3">
      <c r="A829" s="8" t="s">
        <v>1075</v>
      </c>
      <c r="B829" s="12" t="s">
        <v>13</v>
      </c>
      <c r="C829" s="12" t="s">
        <v>14</v>
      </c>
      <c r="D829" s="12" t="s">
        <v>66</v>
      </c>
      <c r="E829" s="12" t="s">
        <v>186</v>
      </c>
      <c r="F829" s="12" t="s">
        <v>24</v>
      </c>
      <c r="G829" s="12" t="s">
        <v>31</v>
      </c>
      <c r="H829" s="11">
        <v>45476</v>
      </c>
      <c r="I829" s="11">
        <v>45476</v>
      </c>
      <c r="J829" s="5">
        <f t="shared" si="36"/>
        <v>0</v>
      </c>
      <c r="K829" s="5" t="str">
        <f t="shared" si="37"/>
        <v>Met</v>
      </c>
      <c r="L829" s="7" t="str">
        <f t="shared" si="38"/>
        <v>Jul</v>
      </c>
    </row>
    <row r="830" spans="1:12" x14ac:dyDescent="0.3">
      <c r="A830" s="4" t="s">
        <v>1076</v>
      </c>
      <c r="B830" s="13" t="s">
        <v>27</v>
      </c>
      <c r="C830" s="13" t="s">
        <v>153</v>
      </c>
      <c r="D830" s="13" t="s">
        <v>15</v>
      </c>
      <c r="E830" s="13" t="s">
        <v>188</v>
      </c>
      <c r="F830" s="13" t="s">
        <v>17</v>
      </c>
      <c r="G830" s="13" t="s">
        <v>42</v>
      </c>
      <c r="H830" s="7">
        <v>45591</v>
      </c>
      <c r="I830" s="6">
        <v>45591</v>
      </c>
      <c r="J830" s="5">
        <f t="shared" si="36"/>
        <v>0</v>
      </c>
      <c r="K830" s="5" t="str">
        <f t="shared" si="37"/>
        <v>Met</v>
      </c>
      <c r="L830" s="7" t="str">
        <f t="shared" si="38"/>
        <v>Oct</v>
      </c>
    </row>
    <row r="831" spans="1:12" x14ac:dyDescent="0.3">
      <c r="A831" s="8" t="s">
        <v>1077</v>
      </c>
      <c r="B831" s="12" t="s">
        <v>20</v>
      </c>
      <c r="C831" s="12" t="s">
        <v>93</v>
      </c>
      <c r="D831" s="12" t="s">
        <v>22</v>
      </c>
      <c r="E831" s="12" t="s">
        <v>190</v>
      </c>
      <c r="F831" s="12" t="s">
        <v>37</v>
      </c>
      <c r="G831" s="12" t="s">
        <v>25</v>
      </c>
      <c r="H831" s="11">
        <v>45527</v>
      </c>
      <c r="I831" s="11">
        <v>45527</v>
      </c>
      <c r="J831" s="5">
        <f t="shared" si="36"/>
        <v>0</v>
      </c>
      <c r="K831" s="5" t="str">
        <f t="shared" si="37"/>
        <v>Met</v>
      </c>
      <c r="L831" s="7" t="str">
        <f t="shared" si="38"/>
        <v>Aug</v>
      </c>
    </row>
    <row r="832" spans="1:12" x14ac:dyDescent="0.3">
      <c r="A832" s="4" t="s">
        <v>1078</v>
      </c>
      <c r="B832" s="13" t="s">
        <v>27</v>
      </c>
      <c r="C832" s="13" t="s">
        <v>153</v>
      </c>
      <c r="D832" s="13" t="s">
        <v>22</v>
      </c>
      <c r="E832" s="13" t="s">
        <v>192</v>
      </c>
      <c r="F832" s="13" t="s">
        <v>17</v>
      </c>
      <c r="G832" s="13" t="s">
        <v>31</v>
      </c>
      <c r="H832" s="7">
        <v>45580</v>
      </c>
      <c r="I832" s="7">
        <v>45580</v>
      </c>
      <c r="J832" s="5">
        <f t="shared" si="36"/>
        <v>0</v>
      </c>
      <c r="K832" s="5" t="str">
        <f t="shared" si="37"/>
        <v>Met</v>
      </c>
      <c r="L832" s="7" t="str">
        <f t="shared" si="38"/>
        <v>Oct</v>
      </c>
    </row>
    <row r="833" spans="1:12" x14ac:dyDescent="0.3">
      <c r="A833" s="8" t="s">
        <v>1079</v>
      </c>
      <c r="B833" s="12" t="s">
        <v>20</v>
      </c>
      <c r="C833" s="12" t="s">
        <v>76</v>
      </c>
      <c r="D833" s="12" t="s">
        <v>86</v>
      </c>
      <c r="E833" s="12" t="s">
        <v>194</v>
      </c>
      <c r="F833" s="12" t="s">
        <v>17</v>
      </c>
      <c r="G833" s="12" t="s">
        <v>42</v>
      </c>
      <c r="H833" s="11">
        <v>45569</v>
      </c>
      <c r="I833" s="11">
        <v>45569</v>
      </c>
      <c r="J833" s="5">
        <f t="shared" si="36"/>
        <v>0</v>
      </c>
      <c r="K833" s="5" t="str">
        <f t="shared" si="37"/>
        <v>Met</v>
      </c>
      <c r="L833" s="7" t="str">
        <f t="shared" si="38"/>
        <v>Oct</v>
      </c>
    </row>
    <row r="834" spans="1:12" x14ac:dyDescent="0.3">
      <c r="A834" s="4" t="s">
        <v>1080</v>
      </c>
      <c r="B834" s="13" t="s">
        <v>20</v>
      </c>
      <c r="C834" s="13" t="s">
        <v>93</v>
      </c>
      <c r="D834" s="13" t="s">
        <v>15</v>
      </c>
      <c r="E834" s="13" t="s">
        <v>196</v>
      </c>
      <c r="F834" s="13" t="s">
        <v>24</v>
      </c>
      <c r="G834" s="13" t="s">
        <v>42</v>
      </c>
      <c r="H834" s="7">
        <v>45621</v>
      </c>
      <c r="I834" s="6">
        <v>45621</v>
      </c>
      <c r="J834" s="5">
        <f t="shared" si="36"/>
        <v>0</v>
      </c>
      <c r="K834" s="5" t="str">
        <f t="shared" si="37"/>
        <v>Met</v>
      </c>
      <c r="L834" s="7" t="str">
        <f t="shared" si="38"/>
        <v>Nov</v>
      </c>
    </row>
    <row r="835" spans="1:12" x14ac:dyDescent="0.3">
      <c r="A835" s="8" t="s">
        <v>1081</v>
      </c>
      <c r="B835" s="12" t="s">
        <v>20</v>
      </c>
      <c r="C835" s="12" t="s">
        <v>93</v>
      </c>
      <c r="D835" s="12" t="s">
        <v>22</v>
      </c>
      <c r="E835" s="12" t="s">
        <v>198</v>
      </c>
      <c r="F835" s="12" t="s">
        <v>24</v>
      </c>
      <c r="G835" s="12" t="s">
        <v>42</v>
      </c>
      <c r="H835" s="11">
        <v>45571</v>
      </c>
      <c r="I835" s="11">
        <v>45571</v>
      </c>
      <c r="J835" s="5">
        <f t="shared" ref="J835:J898" si="39">I835-H835</f>
        <v>0</v>
      </c>
      <c r="K835" s="5" t="str">
        <f t="shared" ref="K835:K898" si="40">IF(J835&gt;= 1, "Not Met","Met")</f>
        <v>Met</v>
      </c>
      <c r="L835" s="7" t="str">
        <f t="shared" ref="L835:L898" si="41">TEXT(H835,"MMM")</f>
        <v>Oct</v>
      </c>
    </row>
    <row r="836" spans="1:12" x14ac:dyDescent="0.3">
      <c r="A836" s="4" t="s">
        <v>1082</v>
      </c>
      <c r="B836" s="13" t="s">
        <v>13</v>
      </c>
      <c r="C836" s="13" t="s">
        <v>58</v>
      </c>
      <c r="D836" s="13" t="s">
        <v>86</v>
      </c>
      <c r="E836" s="13" t="s">
        <v>200</v>
      </c>
      <c r="F836" s="13" t="s">
        <v>24</v>
      </c>
      <c r="G836" s="13" t="s">
        <v>25</v>
      </c>
      <c r="H836" s="7">
        <v>45555</v>
      </c>
      <c r="I836" s="6">
        <v>45555</v>
      </c>
      <c r="J836" s="5">
        <f t="shared" si="39"/>
        <v>0</v>
      </c>
      <c r="K836" s="5" t="str">
        <f t="shared" si="40"/>
        <v>Met</v>
      </c>
      <c r="L836" s="7" t="str">
        <f t="shared" si="41"/>
        <v>Sep</v>
      </c>
    </row>
    <row r="837" spans="1:12" x14ac:dyDescent="0.3">
      <c r="A837" s="8" t="s">
        <v>1083</v>
      </c>
      <c r="B837" s="12" t="s">
        <v>20</v>
      </c>
      <c r="C837" s="12" t="s">
        <v>76</v>
      </c>
      <c r="D837" s="12" t="s">
        <v>22</v>
      </c>
      <c r="E837" s="12" t="s">
        <v>202</v>
      </c>
      <c r="F837" s="12" t="s">
        <v>24</v>
      </c>
      <c r="G837" s="12" t="s">
        <v>31</v>
      </c>
      <c r="H837" s="11">
        <v>45544</v>
      </c>
      <c r="I837" s="11">
        <v>45544</v>
      </c>
      <c r="J837" s="5">
        <f t="shared" si="39"/>
        <v>0</v>
      </c>
      <c r="K837" s="5" t="str">
        <f t="shared" si="40"/>
        <v>Met</v>
      </c>
      <c r="L837" s="7" t="str">
        <f t="shared" si="41"/>
        <v>Sep</v>
      </c>
    </row>
    <row r="838" spans="1:12" x14ac:dyDescent="0.3">
      <c r="A838" s="4" t="s">
        <v>1084</v>
      </c>
      <c r="B838" s="13" t="s">
        <v>13</v>
      </c>
      <c r="C838" s="13" t="s">
        <v>61</v>
      </c>
      <c r="D838" s="13" t="s">
        <v>29</v>
      </c>
      <c r="E838" s="13" t="s">
        <v>204</v>
      </c>
      <c r="F838" s="13" t="s">
        <v>17</v>
      </c>
      <c r="G838" s="13" t="s">
        <v>42</v>
      </c>
      <c r="H838" s="7">
        <v>45618</v>
      </c>
      <c r="I838" s="6">
        <v>45618</v>
      </c>
      <c r="J838" s="5">
        <f t="shared" si="39"/>
        <v>0</v>
      </c>
      <c r="K838" s="5" t="str">
        <f t="shared" si="40"/>
        <v>Met</v>
      </c>
      <c r="L838" s="7" t="str">
        <f t="shared" si="41"/>
        <v>Nov</v>
      </c>
    </row>
    <row r="839" spans="1:12" x14ac:dyDescent="0.3">
      <c r="A839" s="8" t="s">
        <v>1085</v>
      </c>
      <c r="B839" s="12" t="s">
        <v>27</v>
      </c>
      <c r="C839" s="12" t="s">
        <v>28</v>
      </c>
      <c r="D839" s="12" t="s">
        <v>86</v>
      </c>
      <c r="E839" s="12" t="s">
        <v>206</v>
      </c>
      <c r="F839" s="12" t="s">
        <v>17</v>
      </c>
      <c r="G839" s="12" t="s">
        <v>31</v>
      </c>
      <c r="H839" s="11">
        <v>45600</v>
      </c>
      <c r="I839" s="10">
        <v>45600</v>
      </c>
      <c r="J839" s="5">
        <f t="shared" si="39"/>
        <v>0</v>
      </c>
      <c r="K839" s="5" t="str">
        <f t="shared" si="40"/>
        <v>Met</v>
      </c>
      <c r="L839" s="7" t="str">
        <f t="shared" si="41"/>
        <v>Nov</v>
      </c>
    </row>
    <row r="840" spans="1:12" x14ac:dyDescent="0.3">
      <c r="A840" s="4" t="s">
        <v>1086</v>
      </c>
      <c r="B840" s="13" t="s">
        <v>39</v>
      </c>
      <c r="C840" s="13" t="s">
        <v>96</v>
      </c>
      <c r="D840" s="13" t="s">
        <v>86</v>
      </c>
      <c r="E840" s="13" t="s">
        <v>208</v>
      </c>
      <c r="F840" s="13" t="s">
        <v>37</v>
      </c>
      <c r="G840" s="13" t="s">
        <v>45</v>
      </c>
      <c r="H840" s="7">
        <v>45518</v>
      </c>
      <c r="I840" s="7">
        <v>45518</v>
      </c>
      <c r="J840" s="5">
        <f t="shared" si="39"/>
        <v>0</v>
      </c>
      <c r="K840" s="5" t="str">
        <f t="shared" si="40"/>
        <v>Met</v>
      </c>
      <c r="L840" s="7" t="str">
        <f t="shared" si="41"/>
        <v>Aug</v>
      </c>
    </row>
    <row r="841" spans="1:12" x14ac:dyDescent="0.3">
      <c r="A841" s="8" t="s">
        <v>1087</v>
      </c>
      <c r="B841" s="12" t="s">
        <v>27</v>
      </c>
      <c r="C841" s="12" t="s">
        <v>153</v>
      </c>
      <c r="D841" s="12" t="s">
        <v>66</v>
      </c>
      <c r="E841" s="12" t="s">
        <v>210</v>
      </c>
      <c r="F841" s="12" t="s">
        <v>17</v>
      </c>
      <c r="G841" s="12" t="s">
        <v>42</v>
      </c>
      <c r="H841" s="11">
        <v>45540</v>
      </c>
      <c r="I841" s="11">
        <v>45540</v>
      </c>
      <c r="J841" s="5">
        <f t="shared" si="39"/>
        <v>0</v>
      </c>
      <c r="K841" s="5" t="str">
        <f t="shared" si="40"/>
        <v>Met</v>
      </c>
      <c r="L841" s="7" t="str">
        <f t="shared" si="41"/>
        <v>Sep</v>
      </c>
    </row>
    <row r="842" spans="1:12" x14ac:dyDescent="0.3">
      <c r="A842" s="4" t="s">
        <v>1088</v>
      </c>
      <c r="B842" s="13" t="s">
        <v>13</v>
      </c>
      <c r="C842" s="13" t="s">
        <v>14</v>
      </c>
      <c r="D842" s="13" t="s">
        <v>35</v>
      </c>
      <c r="E842" s="13" t="s">
        <v>212</v>
      </c>
      <c r="F842" s="13" t="s">
        <v>17</v>
      </c>
      <c r="G842" s="13" t="s">
        <v>31</v>
      </c>
      <c r="H842" s="7">
        <v>45592</v>
      </c>
      <c r="I842" s="7">
        <v>45592</v>
      </c>
      <c r="J842" s="5">
        <f t="shared" si="39"/>
        <v>0</v>
      </c>
      <c r="K842" s="5" t="str">
        <f t="shared" si="40"/>
        <v>Met</v>
      </c>
      <c r="L842" s="7" t="str">
        <f t="shared" si="41"/>
        <v>Oct</v>
      </c>
    </row>
    <row r="843" spans="1:12" x14ac:dyDescent="0.3">
      <c r="A843" s="8" t="s">
        <v>1089</v>
      </c>
      <c r="B843" s="12" t="s">
        <v>33</v>
      </c>
      <c r="C843" s="12" t="s">
        <v>34</v>
      </c>
      <c r="D843" s="12" t="s">
        <v>148</v>
      </c>
      <c r="E843" s="12" t="s">
        <v>214</v>
      </c>
      <c r="F843" s="12" t="s">
        <v>37</v>
      </c>
      <c r="G843" s="12" t="s">
        <v>18</v>
      </c>
      <c r="H843" s="11">
        <v>45579</v>
      </c>
      <c r="I843" s="11">
        <v>45579</v>
      </c>
      <c r="J843" s="5">
        <f t="shared" si="39"/>
        <v>0</v>
      </c>
      <c r="K843" s="5" t="str">
        <f t="shared" si="40"/>
        <v>Met</v>
      </c>
      <c r="L843" s="7" t="str">
        <f t="shared" si="41"/>
        <v>Oct</v>
      </c>
    </row>
    <row r="844" spans="1:12" x14ac:dyDescent="0.3">
      <c r="A844" s="4" t="s">
        <v>1090</v>
      </c>
      <c r="B844" s="13" t="s">
        <v>33</v>
      </c>
      <c r="C844" s="13" t="s">
        <v>34</v>
      </c>
      <c r="D844" s="13" t="s">
        <v>79</v>
      </c>
      <c r="E844" s="13" t="s">
        <v>216</v>
      </c>
      <c r="F844" s="13" t="s">
        <v>17</v>
      </c>
      <c r="G844" s="13" t="s">
        <v>45</v>
      </c>
      <c r="H844" s="7">
        <v>45521</v>
      </c>
      <c r="I844" s="7">
        <v>45521</v>
      </c>
      <c r="J844" s="5">
        <f t="shared" si="39"/>
        <v>0</v>
      </c>
      <c r="K844" s="5" t="str">
        <f t="shared" si="40"/>
        <v>Met</v>
      </c>
      <c r="L844" s="7" t="str">
        <f t="shared" si="41"/>
        <v>Aug</v>
      </c>
    </row>
    <row r="845" spans="1:12" x14ac:dyDescent="0.3">
      <c r="A845" s="8" t="s">
        <v>1091</v>
      </c>
      <c r="B845" s="12" t="s">
        <v>27</v>
      </c>
      <c r="C845" s="12" t="s">
        <v>47</v>
      </c>
      <c r="D845" s="12" t="s">
        <v>66</v>
      </c>
      <c r="E845" s="12" t="s">
        <v>218</v>
      </c>
      <c r="F845" s="12" t="s">
        <v>17</v>
      </c>
      <c r="G845" s="12" t="s">
        <v>31</v>
      </c>
      <c r="H845" s="11">
        <v>45561</v>
      </c>
      <c r="I845" s="11">
        <v>45561</v>
      </c>
      <c r="J845" s="5">
        <f t="shared" si="39"/>
        <v>0</v>
      </c>
      <c r="K845" s="5" t="str">
        <f t="shared" si="40"/>
        <v>Met</v>
      </c>
      <c r="L845" s="7" t="str">
        <f t="shared" si="41"/>
        <v>Sep</v>
      </c>
    </row>
    <row r="846" spans="1:12" x14ac:dyDescent="0.3">
      <c r="A846" s="4" t="s">
        <v>1092</v>
      </c>
      <c r="B846" s="13" t="s">
        <v>13</v>
      </c>
      <c r="C846" s="13" t="s">
        <v>61</v>
      </c>
      <c r="D846" s="13" t="s">
        <v>35</v>
      </c>
      <c r="E846" s="13" t="s">
        <v>220</v>
      </c>
      <c r="F846" s="13" t="s">
        <v>24</v>
      </c>
      <c r="G846" s="13" t="s">
        <v>18</v>
      </c>
      <c r="H846" s="7">
        <v>45622</v>
      </c>
      <c r="I846" s="6">
        <v>45622</v>
      </c>
      <c r="J846" s="5">
        <f t="shared" si="39"/>
        <v>0</v>
      </c>
      <c r="K846" s="5" t="str">
        <f t="shared" si="40"/>
        <v>Met</v>
      </c>
      <c r="L846" s="7" t="str">
        <f t="shared" si="41"/>
        <v>Nov</v>
      </c>
    </row>
    <row r="847" spans="1:12" x14ac:dyDescent="0.3">
      <c r="A847" s="8" t="s">
        <v>1093</v>
      </c>
      <c r="B847" s="12" t="s">
        <v>27</v>
      </c>
      <c r="C847" s="12" t="s">
        <v>153</v>
      </c>
      <c r="D847" s="12" t="s">
        <v>35</v>
      </c>
      <c r="E847" s="12" t="s">
        <v>222</v>
      </c>
      <c r="F847" s="12" t="s">
        <v>24</v>
      </c>
      <c r="G847" s="12" t="s">
        <v>25</v>
      </c>
      <c r="H847" s="11">
        <v>45592</v>
      </c>
      <c r="I847" s="10">
        <v>45592</v>
      </c>
      <c r="J847" s="5">
        <f t="shared" si="39"/>
        <v>0</v>
      </c>
      <c r="K847" s="5" t="str">
        <f t="shared" si="40"/>
        <v>Met</v>
      </c>
      <c r="L847" s="7" t="str">
        <f t="shared" si="41"/>
        <v>Oct</v>
      </c>
    </row>
    <row r="848" spans="1:12" x14ac:dyDescent="0.3">
      <c r="A848" s="4" t="s">
        <v>1094</v>
      </c>
      <c r="B848" s="13" t="s">
        <v>33</v>
      </c>
      <c r="C848" s="13" t="s">
        <v>69</v>
      </c>
      <c r="D848" s="13" t="s">
        <v>148</v>
      </c>
      <c r="E848" s="13" t="s">
        <v>224</v>
      </c>
      <c r="F848" s="13" t="s">
        <v>37</v>
      </c>
      <c r="G848" s="13" t="s">
        <v>45</v>
      </c>
      <c r="H848" s="7">
        <v>45605</v>
      </c>
      <c r="I848" s="6">
        <v>45605</v>
      </c>
      <c r="J848" s="5">
        <f t="shared" si="39"/>
        <v>0</v>
      </c>
      <c r="K848" s="5" t="str">
        <f t="shared" si="40"/>
        <v>Met</v>
      </c>
      <c r="L848" s="7" t="str">
        <f t="shared" si="41"/>
        <v>Nov</v>
      </c>
    </row>
    <row r="849" spans="1:12" x14ac:dyDescent="0.3">
      <c r="A849" s="8" t="s">
        <v>1095</v>
      </c>
      <c r="B849" s="12" t="s">
        <v>13</v>
      </c>
      <c r="C849" s="12" t="s">
        <v>14</v>
      </c>
      <c r="D849" s="12" t="s">
        <v>86</v>
      </c>
      <c r="E849" s="12" t="s">
        <v>226</v>
      </c>
      <c r="F849" s="12" t="s">
        <v>24</v>
      </c>
      <c r="G849" s="12" t="s">
        <v>42</v>
      </c>
      <c r="H849" s="11">
        <v>45542</v>
      </c>
      <c r="I849" s="10">
        <v>45542</v>
      </c>
      <c r="J849" s="5">
        <f t="shared" si="39"/>
        <v>0</v>
      </c>
      <c r="K849" s="5" t="str">
        <f t="shared" si="40"/>
        <v>Met</v>
      </c>
      <c r="L849" s="7" t="str">
        <f t="shared" si="41"/>
        <v>Sep</v>
      </c>
    </row>
    <row r="850" spans="1:12" x14ac:dyDescent="0.3">
      <c r="A850" s="4" t="s">
        <v>1096</v>
      </c>
      <c r="B850" s="13" t="s">
        <v>13</v>
      </c>
      <c r="C850" s="13" t="s">
        <v>61</v>
      </c>
      <c r="D850" s="13" t="s">
        <v>86</v>
      </c>
      <c r="E850" s="13" t="s">
        <v>228</v>
      </c>
      <c r="F850" s="13" t="s">
        <v>17</v>
      </c>
      <c r="G850" s="13" t="s">
        <v>42</v>
      </c>
      <c r="H850" s="7">
        <v>45584</v>
      </c>
      <c r="I850" s="7">
        <v>45584</v>
      </c>
      <c r="J850" s="5">
        <f t="shared" si="39"/>
        <v>0</v>
      </c>
      <c r="K850" s="5" t="str">
        <f t="shared" si="40"/>
        <v>Met</v>
      </c>
      <c r="L850" s="7" t="str">
        <f t="shared" si="41"/>
        <v>Oct</v>
      </c>
    </row>
    <row r="851" spans="1:12" x14ac:dyDescent="0.3">
      <c r="A851" s="8" t="s">
        <v>1097</v>
      </c>
      <c r="B851" s="12" t="s">
        <v>39</v>
      </c>
      <c r="C851" s="12" t="s">
        <v>40</v>
      </c>
      <c r="D851" s="12" t="s">
        <v>148</v>
      </c>
      <c r="E851" s="12" t="s">
        <v>230</v>
      </c>
      <c r="F851" s="12" t="s">
        <v>24</v>
      </c>
      <c r="G851" s="12" t="s">
        <v>53</v>
      </c>
      <c r="H851" s="11">
        <v>45502</v>
      </c>
      <c r="I851" s="11">
        <v>45502</v>
      </c>
      <c r="J851" s="5">
        <f t="shared" si="39"/>
        <v>0</v>
      </c>
      <c r="K851" s="5" t="str">
        <f t="shared" si="40"/>
        <v>Met</v>
      </c>
      <c r="L851" s="7" t="str">
        <f t="shared" si="41"/>
        <v>Jul</v>
      </c>
    </row>
    <row r="852" spans="1:12" x14ac:dyDescent="0.3">
      <c r="A852" s="4" t="s">
        <v>1098</v>
      </c>
      <c r="B852" s="13" t="s">
        <v>13</v>
      </c>
      <c r="C852" s="13" t="s">
        <v>14</v>
      </c>
      <c r="D852" s="13" t="s">
        <v>66</v>
      </c>
      <c r="E852" s="13" t="s">
        <v>232</v>
      </c>
      <c r="F852" s="13" t="s">
        <v>24</v>
      </c>
      <c r="G852" s="13" t="s">
        <v>45</v>
      </c>
      <c r="H852" s="7">
        <v>45550</v>
      </c>
      <c r="I852" s="6">
        <v>45550</v>
      </c>
      <c r="J852" s="5">
        <f t="shared" si="39"/>
        <v>0</v>
      </c>
      <c r="K852" s="5" t="str">
        <f t="shared" si="40"/>
        <v>Met</v>
      </c>
      <c r="L852" s="7" t="str">
        <f t="shared" si="41"/>
        <v>Sep</v>
      </c>
    </row>
    <row r="853" spans="1:12" x14ac:dyDescent="0.3">
      <c r="A853" s="8" t="s">
        <v>1099</v>
      </c>
      <c r="B853" s="12" t="s">
        <v>27</v>
      </c>
      <c r="C853" s="12" t="s">
        <v>153</v>
      </c>
      <c r="D853" s="12" t="s">
        <v>35</v>
      </c>
      <c r="E853" s="12" t="s">
        <v>234</v>
      </c>
      <c r="F853" s="12" t="s">
        <v>37</v>
      </c>
      <c r="G853" s="12" t="s">
        <v>53</v>
      </c>
      <c r="H853" s="11">
        <v>45556</v>
      </c>
      <c r="I853" s="11">
        <v>45556</v>
      </c>
      <c r="J853" s="5">
        <f t="shared" si="39"/>
        <v>0</v>
      </c>
      <c r="K853" s="5" t="str">
        <f t="shared" si="40"/>
        <v>Met</v>
      </c>
      <c r="L853" s="7" t="str">
        <f t="shared" si="41"/>
        <v>Sep</v>
      </c>
    </row>
    <row r="854" spans="1:12" x14ac:dyDescent="0.3">
      <c r="A854" s="4" t="s">
        <v>1100</v>
      </c>
      <c r="B854" s="13" t="s">
        <v>20</v>
      </c>
      <c r="C854" s="13" t="s">
        <v>21</v>
      </c>
      <c r="D854" s="13" t="s">
        <v>86</v>
      </c>
      <c r="E854" s="13" t="s">
        <v>236</v>
      </c>
      <c r="F854" s="13" t="s">
        <v>37</v>
      </c>
      <c r="G854" s="13" t="s">
        <v>25</v>
      </c>
      <c r="H854" s="7">
        <v>45598</v>
      </c>
      <c r="I854" s="6">
        <v>45598</v>
      </c>
      <c r="J854" s="5">
        <f t="shared" si="39"/>
        <v>0</v>
      </c>
      <c r="K854" s="5" t="str">
        <f t="shared" si="40"/>
        <v>Met</v>
      </c>
      <c r="L854" s="7" t="str">
        <f t="shared" si="41"/>
        <v>Nov</v>
      </c>
    </row>
    <row r="855" spans="1:12" x14ac:dyDescent="0.3">
      <c r="A855" s="8" t="s">
        <v>1101</v>
      </c>
      <c r="B855" s="12" t="s">
        <v>33</v>
      </c>
      <c r="C855" s="12" t="s">
        <v>55</v>
      </c>
      <c r="D855" s="12" t="s">
        <v>79</v>
      </c>
      <c r="E855" s="12" t="s">
        <v>238</v>
      </c>
      <c r="F855" s="12" t="s">
        <v>24</v>
      </c>
      <c r="G855" s="12" t="s">
        <v>31</v>
      </c>
      <c r="H855" s="11">
        <v>45483</v>
      </c>
      <c r="I855" s="11">
        <v>45483</v>
      </c>
      <c r="J855" s="5">
        <f t="shared" si="39"/>
        <v>0</v>
      </c>
      <c r="K855" s="5" t="str">
        <f t="shared" si="40"/>
        <v>Met</v>
      </c>
      <c r="L855" s="7" t="str">
        <f t="shared" si="41"/>
        <v>Jul</v>
      </c>
    </row>
    <row r="856" spans="1:12" x14ac:dyDescent="0.3">
      <c r="A856" s="4" t="s">
        <v>1102</v>
      </c>
      <c r="B856" s="5" t="s">
        <v>13</v>
      </c>
      <c r="C856" s="13" t="s">
        <v>14</v>
      </c>
      <c r="D856" s="13" t="s">
        <v>22</v>
      </c>
      <c r="E856" s="13" t="s">
        <v>240</v>
      </c>
      <c r="F856" s="13" t="s">
        <v>17</v>
      </c>
      <c r="G856" s="13" t="s">
        <v>18</v>
      </c>
      <c r="H856" s="7">
        <v>45582</v>
      </c>
      <c r="I856" s="7">
        <v>45582</v>
      </c>
      <c r="J856" s="5">
        <f t="shared" si="39"/>
        <v>0</v>
      </c>
      <c r="K856" s="5" t="str">
        <f t="shared" si="40"/>
        <v>Met</v>
      </c>
      <c r="L856" s="7" t="str">
        <f t="shared" si="41"/>
        <v>Oct</v>
      </c>
    </row>
    <row r="857" spans="1:12" x14ac:dyDescent="0.3">
      <c r="A857" s="8" t="s">
        <v>1103</v>
      </c>
      <c r="B857" s="12" t="s">
        <v>20</v>
      </c>
      <c r="C857" s="12" t="s">
        <v>21</v>
      </c>
      <c r="D857" s="9" t="s">
        <v>29</v>
      </c>
      <c r="E857" s="12" t="s">
        <v>242</v>
      </c>
      <c r="F857" s="12" t="s">
        <v>24</v>
      </c>
      <c r="G857" s="12" t="s">
        <v>45</v>
      </c>
      <c r="H857" s="11">
        <v>45557</v>
      </c>
      <c r="I857" s="10">
        <v>45557</v>
      </c>
      <c r="J857" s="5">
        <f t="shared" si="39"/>
        <v>0</v>
      </c>
      <c r="K857" s="5" t="str">
        <f t="shared" si="40"/>
        <v>Met</v>
      </c>
      <c r="L857" s="7" t="str">
        <f t="shared" si="41"/>
        <v>Sep</v>
      </c>
    </row>
    <row r="858" spans="1:12" x14ac:dyDescent="0.3">
      <c r="A858" s="4" t="s">
        <v>1104</v>
      </c>
      <c r="B858" s="13" t="s">
        <v>27</v>
      </c>
      <c r="C858" s="13" t="s">
        <v>28</v>
      </c>
      <c r="D858" s="13" t="s">
        <v>86</v>
      </c>
      <c r="E858" s="13" t="s">
        <v>244</v>
      </c>
      <c r="F858" s="13" t="s">
        <v>37</v>
      </c>
      <c r="G858" s="13" t="s">
        <v>18</v>
      </c>
      <c r="H858" s="7">
        <v>45540</v>
      </c>
      <c r="I858" s="7">
        <v>45540</v>
      </c>
      <c r="J858" s="5">
        <f t="shared" si="39"/>
        <v>0</v>
      </c>
      <c r="K858" s="5" t="str">
        <f t="shared" si="40"/>
        <v>Met</v>
      </c>
      <c r="L858" s="7" t="str">
        <f t="shared" si="41"/>
        <v>Sep</v>
      </c>
    </row>
    <row r="859" spans="1:12" x14ac:dyDescent="0.3">
      <c r="A859" s="8" t="s">
        <v>1105</v>
      </c>
      <c r="B859" s="12" t="s">
        <v>20</v>
      </c>
      <c r="C859" s="12" t="s">
        <v>93</v>
      </c>
      <c r="D859" s="12" t="s">
        <v>66</v>
      </c>
      <c r="E859" s="12" t="s">
        <v>246</v>
      </c>
      <c r="F859" s="12" t="s">
        <v>24</v>
      </c>
      <c r="G859" s="12" t="s">
        <v>31</v>
      </c>
      <c r="H859" s="11">
        <v>45503</v>
      </c>
      <c r="I859" s="11">
        <v>45503</v>
      </c>
      <c r="J859" s="5">
        <f t="shared" si="39"/>
        <v>0</v>
      </c>
      <c r="K859" s="5" t="str">
        <f t="shared" si="40"/>
        <v>Met</v>
      </c>
      <c r="L859" s="7" t="str">
        <f t="shared" si="41"/>
        <v>Jul</v>
      </c>
    </row>
    <row r="860" spans="1:12" x14ac:dyDescent="0.3">
      <c r="A860" s="4" t="s">
        <v>1106</v>
      </c>
      <c r="B860" s="13" t="s">
        <v>39</v>
      </c>
      <c r="C860" s="13" t="s">
        <v>96</v>
      </c>
      <c r="D860" s="13" t="s">
        <v>35</v>
      </c>
      <c r="E860" s="13" t="s">
        <v>248</v>
      </c>
      <c r="F860" s="13" t="s">
        <v>37</v>
      </c>
      <c r="G860" s="13" t="s">
        <v>53</v>
      </c>
      <c r="H860" s="7">
        <v>45485</v>
      </c>
      <c r="I860" s="7">
        <v>45485</v>
      </c>
      <c r="J860" s="5">
        <f t="shared" si="39"/>
        <v>0</v>
      </c>
      <c r="K860" s="5" t="str">
        <f t="shared" si="40"/>
        <v>Met</v>
      </c>
      <c r="L860" s="7" t="str">
        <f t="shared" si="41"/>
        <v>Jul</v>
      </c>
    </row>
    <row r="861" spans="1:12" x14ac:dyDescent="0.3">
      <c r="A861" s="8" t="s">
        <v>1107</v>
      </c>
      <c r="B861" s="12" t="s">
        <v>39</v>
      </c>
      <c r="C861" s="12" t="s">
        <v>99</v>
      </c>
      <c r="D861" s="12" t="s">
        <v>86</v>
      </c>
      <c r="E861" s="12" t="s">
        <v>250</v>
      </c>
      <c r="F861" s="12" t="s">
        <v>24</v>
      </c>
      <c r="G861" s="12" t="s">
        <v>45</v>
      </c>
      <c r="H861" s="11">
        <v>45617</v>
      </c>
      <c r="I861" s="10">
        <v>45617</v>
      </c>
      <c r="J861" s="5">
        <f t="shared" si="39"/>
        <v>0</v>
      </c>
      <c r="K861" s="5" t="str">
        <f t="shared" si="40"/>
        <v>Met</v>
      </c>
      <c r="L861" s="7" t="str">
        <f t="shared" si="41"/>
        <v>Nov</v>
      </c>
    </row>
    <row r="862" spans="1:12" x14ac:dyDescent="0.3">
      <c r="A862" s="4" t="s">
        <v>1108</v>
      </c>
      <c r="B862" s="13" t="s">
        <v>27</v>
      </c>
      <c r="C862" s="13" t="s">
        <v>47</v>
      </c>
      <c r="D862" s="13" t="s">
        <v>86</v>
      </c>
      <c r="E862" s="13" t="s">
        <v>252</v>
      </c>
      <c r="F862" s="13" t="s">
        <v>37</v>
      </c>
      <c r="G862" s="13" t="s">
        <v>25</v>
      </c>
      <c r="H862" s="7">
        <v>45599</v>
      </c>
      <c r="I862" s="6">
        <v>45599</v>
      </c>
      <c r="J862" s="5">
        <f t="shared" si="39"/>
        <v>0</v>
      </c>
      <c r="K862" s="5" t="str">
        <f t="shared" si="40"/>
        <v>Met</v>
      </c>
      <c r="L862" s="7" t="str">
        <f t="shared" si="41"/>
        <v>Nov</v>
      </c>
    </row>
    <row r="863" spans="1:12" x14ac:dyDescent="0.3">
      <c r="A863" s="8" t="s">
        <v>1109</v>
      </c>
      <c r="B863" s="12" t="s">
        <v>39</v>
      </c>
      <c r="C863" s="12" t="s">
        <v>99</v>
      </c>
      <c r="D863" s="12" t="s">
        <v>29</v>
      </c>
      <c r="E863" s="12" t="s">
        <v>254</v>
      </c>
      <c r="F863" s="12" t="s">
        <v>37</v>
      </c>
      <c r="G863" s="12" t="s">
        <v>53</v>
      </c>
      <c r="H863" s="11">
        <v>45605</v>
      </c>
      <c r="I863" s="10">
        <v>45605</v>
      </c>
      <c r="J863" s="5">
        <f t="shared" si="39"/>
        <v>0</v>
      </c>
      <c r="K863" s="5" t="str">
        <f t="shared" si="40"/>
        <v>Met</v>
      </c>
      <c r="L863" s="7" t="str">
        <f t="shared" si="41"/>
        <v>Nov</v>
      </c>
    </row>
    <row r="864" spans="1:12" x14ac:dyDescent="0.3">
      <c r="A864" s="4" t="s">
        <v>1110</v>
      </c>
      <c r="B864" s="13" t="s">
        <v>39</v>
      </c>
      <c r="C864" s="13" t="s">
        <v>40</v>
      </c>
      <c r="D864" s="13" t="s">
        <v>148</v>
      </c>
      <c r="E864" s="13" t="s">
        <v>256</v>
      </c>
      <c r="F864" s="13" t="s">
        <v>24</v>
      </c>
      <c r="G864" s="13" t="s">
        <v>53</v>
      </c>
      <c r="H864" s="7">
        <v>45644</v>
      </c>
      <c r="I864" s="6">
        <v>45644</v>
      </c>
      <c r="J864" s="5">
        <f t="shared" si="39"/>
        <v>0</v>
      </c>
      <c r="K864" s="5" t="str">
        <f t="shared" si="40"/>
        <v>Met</v>
      </c>
      <c r="L864" s="7" t="str">
        <f t="shared" si="41"/>
        <v>Dec</v>
      </c>
    </row>
    <row r="865" spans="1:12" x14ac:dyDescent="0.3">
      <c r="A865" s="8" t="s">
        <v>1111</v>
      </c>
      <c r="B865" s="12" t="s">
        <v>27</v>
      </c>
      <c r="C865" s="12" t="s">
        <v>47</v>
      </c>
      <c r="D865" s="12" t="s">
        <v>148</v>
      </c>
      <c r="E865" s="12" t="s">
        <v>258</v>
      </c>
      <c r="F865" s="12" t="s">
        <v>17</v>
      </c>
      <c r="G865" s="12" t="s">
        <v>42</v>
      </c>
      <c r="H865" s="11">
        <v>45595</v>
      </c>
      <c r="I865" s="11">
        <v>45595</v>
      </c>
      <c r="J865" s="5">
        <f t="shared" si="39"/>
        <v>0</v>
      </c>
      <c r="K865" s="5" t="str">
        <f t="shared" si="40"/>
        <v>Met</v>
      </c>
      <c r="L865" s="7" t="str">
        <f t="shared" si="41"/>
        <v>Oct</v>
      </c>
    </row>
    <row r="866" spans="1:12" x14ac:dyDescent="0.3">
      <c r="A866" s="4" t="s">
        <v>1112</v>
      </c>
      <c r="B866" s="13" t="s">
        <v>39</v>
      </c>
      <c r="C866" s="13" t="s">
        <v>99</v>
      </c>
      <c r="D866" s="13" t="s">
        <v>35</v>
      </c>
      <c r="E866" s="13" t="s">
        <v>260</v>
      </c>
      <c r="F866" s="13" t="s">
        <v>24</v>
      </c>
      <c r="G866" s="13" t="s">
        <v>31</v>
      </c>
      <c r="H866" s="7">
        <v>45574</v>
      </c>
      <c r="I866" s="7">
        <v>45574</v>
      </c>
      <c r="J866" s="5">
        <f t="shared" si="39"/>
        <v>0</v>
      </c>
      <c r="K866" s="5" t="str">
        <f t="shared" si="40"/>
        <v>Met</v>
      </c>
      <c r="L866" s="7" t="str">
        <f t="shared" si="41"/>
        <v>Oct</v>
      </c>
    </row>
    <row r="867" spans="1:12" x14ac:dyDescent="0.3">
      <c r="A867" s="8" t="s">
        <v>1113</v>
      </c>
      <c r="B867" s="12" t="s">
        <v>33</v>
      </c>
      <c r="C867" s="12" t="s">
        <v>69</v>
      </c>
      <c r="D867" s="12" t="s">
        <v>22</v>
      </c>
      <c r="E867" s="12" t="s">
        <v>262</v>
      </c>
      <c r="F867" s="12" t="s">
        <v>37</v>
      </c>
      <c r="G867" s="12" t="s">
        <v>42</v>
      </c>
      <c r="H867" s="11">
        <v>45591</v>
      </c>
      <c r="I867" s="10">
        <v>45591</v>
      </c>
      <c r="J867" s="5">
        <f t="shared" si="39"/>
        <v>0</v>
      </c>
      <c r="K867" s="5" t="str">
        <f t="shared" si="40"/>
        <v>Met</v>
      </c>
      <c r="L867" s="7" t="str">
        <f t="shared" si="41"/>
        <v>Oct</v>
      </c>
    </row>
    <row r="868" spans="1:12" x14ac:dyDescent="0.3">
      <c r="A868" s="4" t="s">
        <v>1114</v>
      </c>
      <c r="B868" s="13" t="s">
        <v>27</v>
      </c>
      <c r="C868" s="13" t="s">
        <v>47</v>
      </c>
      <c r="D868" s="13" t="s">
        <v>29</v>
      </c>
      <c r="E868" s="13" t="s">
        <v>264</v>
      </c>
      <c r="F868" s="13" t="s">
        <v>37</v>
      </c>
      <c r="G868" s="13" t="s">
        <v>45</v>
      </c>
      <c r="H868" s="7">
        <v>45540</v>
      </c>
      <c r="I868" s="6">
        <v>45541</v>
      </c>
      <c r="J868" s="5">
        <f t="shared" si="39"/>
        <v>1</v>
      </c>
      <c r="K868" s="5" t="str">
        <f t="shared" si="40"/>
        <v>Not Met</v>
      </c>
      <c r="L868" s="7" t="str">
        <f t="shared" si="41"/>
        <v>Sep</v>
      </c>
    </row>
    <row r="869" spans="1:12" x14ac:dyDescent="0.3">
      <c r="A869" s="8" t="s">
        <v>1115</v>
      </c>
      <c r="B869" s="12" t="s">
        <v>27</v>
      </c>
      <c r="C869" s="12" t="s">
        <v>28</v>
      </c>
      <c r="D869" s="12" t="s">
        <v>35</v>
      </c>
      <c r="E869" s="12" t="s">
        <v>266</v>
      </c>
      <c r="F869" s="12" t="s">
        <v>37</v>
      </c>
      <c r="G869" s="12" t="s">
        <v>31</v>
      </c>
      <c r="H869" s="11">
        <v>45614</v>
      </c>
      <c r="I869" s="10">
        <v>45614</v>
      </c>
      <c r="J869" s="5">
        <f t="shared" si="39"/>
        <v>0</v>
      </c>
      <c r="K869" s="5" t="str">
        <f t="shared" si="40"/>
        <v>Met</v>
      </c>
      <c r="L869" s="7" t="str">
        <f t="shared" si="41"/>
        <v>Nov</v>
      </c>
    </row>
    <row r="870" spans="1:12" x14ac:dyDescent="0.3">
      <c r="A870" s="4" t="s">
        <v>1116</v>
      </c>
      <c r="B870" s="5" t="s">
        <v>13</v>
      </c>
      <c r="C870" s="13" t="s">
        <v>61</v>
      </c>
      <c r="D870" s="13" t="s">
        <v>79</v>
      </c>
      <c r="E870" s="13" t="s">
        <v>268</v>
      </c>
      <c r="F870" s="13" t="s">
        <v>17</v>
      </c>
      <c r="G870" s="13" t="s">
        <v>53</v>
      </c>
      <c r="H870" s="7">
        <v>45544</v>
      </c>
      <c r="I870" s="7">
        <v>45544</v>
      </c>
      <c r="J870" s="5">
        <f t="shared" si="39"/>
        <v>0</v>
      </c>
      <c r="K870" s="5" t="str">
        <f t="shared" si="40"/>
        <v>Met</v>
      </c>
      <c r="L870" s="7" t="str">
        <f t="shared" si="41"/>
        <v>Sep</v>
      </c>
    </row>
    <row r="871" spans="1:12" x14ac:dyDescent="0.3">
      <c r="A871" s="8" t="s">
        <v>1117</v>
      </c>
      <c r="B871" s="12" t="s">
        <v>39</v>
      </c>
      <c r="C871" s="12" t="s">
        <v>96</v>
      </c>
      <c r="D871" s="12" t="s">
        <v>15</v>
      </c>
      <c r="E871" s="12" t="s">
        <v>270</v>
      </c>
      <c r="F871" s="12" t="s">
        <v>37</v>
      </c>
      <c r="G871" s="12" t="s">
        <v>42</v>
      </c>
      <c r="H871" s="11">
        <v>45500</v>
      </c>
      <c r="I871" s="11">
        <v>45500</v>
      </c>
      <c r="J871" s="5">
        <f t="shared" si="39"/>
        <v>0</v>
      </c>
      <c r="K871" s="5" t="str">
        <f t="shared" si="40"/>
        <v>Met</v>
      </c>
      <c r="L871" s="7" t="str">
        <f t="shared" si="41"/>
        <v>Jul</v>
      </c>
    </row>
    <row r="872" spans="1:12" x14ac:dyDescent="0.3">
      <c r="A872" s="4" t="s">
        <v>1118</v>
      </c>
      <c r="B872" s="13" t="s">
        <v>27</v>
      </c>
      <c r="C872" s="13" t="s">
        <v>153</v>
      </c>
      <c r="D872" s="13" t="s">
        <v>35</v>
      </c>
      <c r="E872" s="13" t="s">
        <v>272</v>
      </c>
      <c r="F872" s="13" t="s">
        <v>24</v>
      </c>
      <c r="G872" s="13" t="s">
        <v>45</v>
      </c>
      <c r="H872" s="7">
        <v>45495</v>
      </c>
      <c r="I872" s="7">
        <v>45495</v>
      </c>
      <c r="J872" s="5">
        <f t="shared" si="39"/>
        <v>0</v>
      </c>
      <c r="K872" s="5" t="str">
        <f t="shared" si="40"/>
        <v>Met</v>
      </c>
      <c r="L872" s="7" t="str">
        <f t="shared" si="41"/>
        <v>Jul</v>
      </c>
    </row>
    <row r="873" spans="1:12" x14ac:dyDescent="0.3">
      <c r="A873" s="8" t="s">
        <v>1119</v>
      </c>
      <c r="B873" s="12" t="s">
        <v>20</v>
      </c>
      <c r="C873" s="12" t="s">
        <v>93</v>
      </c>
      <c r="D873" s="12" t="s">
        <v>35</v>
      </c>
      <c r="E873" s="12" t="s">
        <v>274</v>
      </c>
      <c r="F873" s="12" t="s">
        <v>24</v>
      </c>
      <c r="G873" s="12" t="s">
        <v>45</v>
      </c>
      <c r="H873" s="11">
        <v>45562</v>
      </c>
      <c r="I873" s="10">
        <f>[1]!Table1[[#This Row],[Open Date]]+1</f>
        <v>45563</v>
      </c>
      <c r="J873" s="5">
        <f t="shared" si="39"/>
        <v>1</v>
      </c>
      <c r="K873" s="5" t="str">
        <f t="shared" si="40"/>
        <v>Not Met</v>
      </c>
      <c r="L873" s="7" t="str">
        <f t="shared" si="41"/>
        <v>Sep</v>
      </c>
    </row>
    <row r="874" spans="1:12" x14ac:dyDescent="0.3">
      <c r="A874" s="4" t="s">
        <v>1120</v>
      </c>
      <c r="B874" s="13" t="s">
        <v>33</v>
      </c>
      <c r="C874" s="13" t="s">
        <v>34</v>
      </c>
      <c r="D874" s="13" t="s">
        <v>35</v>
      </c>
      <c r="E874" s="13" t="s">
        <v>276</v>
      </c>
      <c r="F874" s="13" t="s">
        <v>17</v>
      </c>
      <c r="G874" s="13" t="s">
        <v>25</v>
      </c>
      <c r="H874" s="7">
        <v>45549</v>
      </c>
      <c r="I874" s="7">
        <v>45549</v>
      </c>
      <c r="J874" s="5">
        <f t="shared" si="39"/>
        <v>0</v>
      </c>
      <c r="K874" s="5" t="str">
        <f t="shared" si="40"/>
        <v>Met</v>
      </c>
      <c r="L874" s="7" t="str">
        <f t="shared" si="41"/>
        <v>Sep</v>
      </c>
    </row>
    <row r="875" spans="1:12" x14ac:dyDescent="0.3">
      <c r="A875" s="8" t="s">
        <v>1121</v>
      </c>
      <c r="B875" s="9" t="s">
        <v>13</v>
      </c>
      <c r="C875" s="12" t="s">
        <v>58</v>
      </c>
      <c r="D875" s="12" t="s">
        <v>66</v>
      </c>
      <c r="E875" s="12" t="s">
        <v>278</v>
      </c>
      <c r="F875" s="12" t="s">
        <v>17</v>
      </c>
      <c r="G875" s="12" t="s">
        <v>45</v>
      </c>
      <c r="H875" s="11">
        <v>45576</v>
      </c>
      <c r="I875" s="11">
        <v>45576</v>
      </c>
      <c r="J875" s="5">
        <f t="shared" si="39"/>
        <v>0</v>
      </c>
      <c r="K875" s="5" t="str">
        <f t="shared" si="40"/>
        <v>Met</v>
      </c>
      <c r="L875" s="7" t="str">
        <f t="shared" si="41"/>
        <v>Oct</v>
      </c>
    </row>
    <row r="876" spans="1:12" x14ac:dyDescent="0.3">
      <c r="A876" s="4" t="s">
        <v>1122</v>
      </c>
      <c r="B876" s="13" t="s">
        <v>27</v>
      </c>
      <c r="C876" s="13" t="s">
        <v>28</v>
      </c>
      <c r="D876" s="13" t="s">
        <v>66</v>
      </c>
      <c r="E876" s="13" t="s">
        <v>280</v>
      </c>
      <c r="F876" s="13" t="s">
        <v>24</v>
      </c>
      <c r="G876" s="13" t="s">
        <v>25</v>
      </c>
      <c r="H876" s="7">
        <v>45616</v>
      </c>
      <c r="I876" s="6">
        <v>45616</v>
      </c>
      <c r="J876" s="5">
        <f t="shared" si="39"/>
        <v>0</v>
      </c>
      <c r="K876" s="5" t="str">
        <f t="shared" si="40"/>
        <v>Met</v>
      </c>
      <c r="L876" s="7" t="str">
        <f t="shared" si="41"/>
        <v>Nov</v>
      </c>
    </row>
    <row r="877" spans="1:12" x14ac:dyDescent="0.3">
      <c r="A877" s="8" t="s">
        <v>1123</v>
      </c>
      <c r="B877" s="12" t="s">
        <v>27</v>
      </c>
      <c r="C877" s="12" t="s">
        <v>153</v>
      </c>
      <c r="D877" s="12" t="s">
        <v>79</v>
      </c>
      <c r="E877" s="12" t="s">
        <v>282</v>
      </c>
      <c r="F877" s="12" t="s">
        <v>37</v>
      </c>
      <c r="G877" s="12" t="s">
        <v>53</v>
      </c>
      <c r="H877" s="11">
        <v>45478</v>
      </c>
      <c r="I877" s="11">
        <v>45478</v>
      </c>
      <c r="J877" s="5">
        <f t="shared" si="39"/>
        <v>0</v>
      </c>
      <c r="K877" s="5" t="str">
        <f t="shared" si="40"/>
        <v>Met</v>
      </c>
      <c r="L877" s="7" t="str">
        <f t="shared" si="41"/>
        <v>Jul</v>
      </c>
    </row>
    <row r="878" spans="1:12" x14ac:dyDescent="0.3">
      <c r="A878" s="4" t="s">
        <v>1124</v>
      </c>
      <c r="B878" s="13" t="s">
        <v>20</v>
      </c>
      <c r="C878" s="13" t="s">
        <v>76</v>
      </c>
      <c r="D878" s="13" t="s">
        <v>148</v>
      </c>
      <c r="E878" s="13" t="s">
        <v>284</v>
      </c>
      <c r="F878" s="13" t="s">
        <v>37</v>
      </c>
      <c r="G878" s="13" t="s">
        <v>53</v>
      </c>
      <c r="H878" s="7">
        <v>45569</v>
      </c>
      <c r="I878" s="7">
        <v>45569</v>
      </c>
      <c r="J878" s="5">
        <f t="shared" si="39"/>
        <v>0</v>
      </c>
      <c r="K878" s="5" t="str">
        <f t="shared" si="40"/>
        <v>Met</v>
      </c>
      <c r="L878" s="7" t="str">
        <f t="shared" si="41"/>
        <v>Oct</v>
      </c>
    </row>
    <row r="879" spans="1:12" x14ac:dyDescent="0.3">
      <c r="A879" s="8" t="s">
        <v>1125</v>
      </c>
      <c r="B879" s="12" t="s">
        <v>39</v>
      </c>
      <c r="C879" s="12" t="s">
        <v>99</v>
      </c>
      <c r="D879" s="12" t="s">
        <v>79</v>
      </c>
      <c r="E879" s="12" t="s">
        <v>286</v>
      </c>
      <c r="F879" s="12" t="s">
        <v>24</v>
      </c>
      <c r="G879" s="12" t="s">
        <v>18</v>
      </c>
      <c r="H879" s="11">
        <v>45589</v>
      </c>
      <c r="I879" s="11">
        <v>45589</v>
      </c>
      <c r="J879" s="5">
        <f t="shared" si="39"/>
        <v>0</v>
      </c>
      <c r="K879" s="5" t="str">
        <f t="shared" si="40"/>
        <v>Met</v>
      </c>
      <c r="L879" s="7" t="str">
        <f t="shared" si="41"/>
        <v>Oct</v>
      </c>
    </row>
    <row r="880" spans="1:12" x14ac:dyDescent="0.3">
      <c r="A880" s="4" t="s">
        <v>1126</v>
      </c>
      <c r="B880" s="13" t="s">
        <v>20</v>
      </c>
      <c r="C880" s="13" t="s">
        <v>21</v>
      </c>
      <c r="D880" s="13" t="s">
        <v>66</v>
      </c>
      <c r="E880" s="13" t="s">
        <v>288</v>
      </c>
      <c r="F880" s="13" t="s">
        <v>17</v>
      </c>
      <c r="G880" s="13" t="s">
        <v>53</v>
      </c>
      <c r="H880" s="7">
        <v>45520</v>
      </c>
      <c r="I880" s="7">
        <v>45520</v>
      </c>
      <c r="J880" s="5">
        <f t="shared" si="39"/>
        <v>0</v>
      </c>
      <c r="K880" s="5" t="str">
        <f t="shared" si="40"/>
        <v>Met</v>
      </c>
      <c r="L880" s="7" t="str">
        <f t="shared" si="41"/>
        <v>Aug</v>
      </c>
    </row>
    <row r="881" spans="1:12" x14ac:dyDescent="0.3">
      <c r="A881" s="8" t="s">
        <v>1127</v>
      </c>
      <c r="B881" s="12" t="s">
        <v>13</v>
      </c>
      <c r="C881" s="12" t="s">
        <v>14</v>
      </c>
      <c r="D881" s="12" t="s">
        <v>22</v>
      </c>
      <c r="E881" s="12" t="s">
        <v>290</v>
      </c>
      <c r="F881" s="12" t="s">
        <v>24</v>
      </c>
      <c r="G881" s="12" t="s">
        <v>25</v>
      </c>
      <c r="H881" s="11">
        <v>45586</v>
      </c>
      <c r="I881" s="11">
        <v>45586</v>
      </c>
      <c r="J881" s="5">
        <f t="shared" si="39"/>
        <v>0</v>
      </c>
      <c r="K881" s="5" t="str">
        <f t="shared" si="40"/>
        <v>Met</v>
      </c>
      <c r="L881" s="7" t="str">
        <f t="shared" si="41"/>
        <v>Oct</v>
      </c>
    </row>
    <row r="882" spans="1:12" x14ac:dyDescent="0.3">
      <c r="A882" s="4" t="s">
        <v>1128</v>
      </c>
      <c r="B882" s="13" t="s">
        <v>20</v>
      </c>
      <c r="C882" s="13" t="s">
        <v>76</v>
      </c>
      <c r="D882" s="13" t="s">
        <v>22</v>
      </c>
      <c r="E882" s="13" t="s">
        <v>292</v>
      </c>
      <c r="F882" s="13" t="s">
        <v>24</v>
      </c>
      <c r="G882" s="13" t="s">
        <v>42</v>
      </c>
      <c r="H882" s="7">
        <v>45633</v>
      </c>
      <c r="I882" s="6">
        <v>45633</v>
      </c>
      <c r="J882" s="5">
        <f t="shared" si="39"/>
        <v>0</v>
      </c>
      <c r="K882" s="5" t="str">
        <f t="shared" si="40"/>
        <v>Met</v>
      </c>
      <c r="L882" s="7" t="str">
        <f t="shared" si="41"/>
        <v>Dec</v>
      </c>
    </row>
    <row r="883" spans="1:12" x14ac:dyDescent="0.3">
      <c r="A883" s="8" t="s">
        <v>1129</v>
      </c>
      <c r="B883" s="12" t="s">
        <v>33</v>
      </c>
      <c r="C883" s="12" t="s">
        <v>34</v>
      </c>
      <c r="D883" s="12" t="s">
        <v>79</v>
      </c>
      <c r="E883" s="12" t="s">
        <v>294</v>
      </c>
      <c r="F883" s="12" t="s">
        <v>37</v>
      </c>
      <c r="G883" s="12" t="s">
        <v>53</v>
      </c>
      <c r="H883" s="11">
        <v>45481</v>
      </c>
      <c r="I883" s="11">
        <v>45481</v>
      </c>
      <c r="J883" s="5">
        <f t="shared" si="39"/>
        <v>0</v>
      </c>
      <c r="K883" s="5" t="str">
        <f t="shared" si="40"/>
        <v>Met</v>
      </c>
      <c r="L883" s="7" t="str">
        <f t="shared" si="41"/>
        <v>Jul</v>
      </c>
    </row>
    <row r="884" spans="1:12" x14ac:dyDescent="0.3">
      <c r="A884" s="4" t="s">
        <v>1130</v>
      </c>
      <c r="B884" s="13" t="s">
        <v>33</v>
      </c>
      <c r="C884" s="13" t="s">
        <v>55</v>
      </c>
      <c r="D884" s="13" t="s">
        <v>148</v>
      </c>
      <c r="E884" s="13" t="s">
        <v>296</v>
      </c>
      <c r="F884" s="13" t="s">
        <v>17</v>
      </c>
      <c r="G884" s="13" t="s">
        <v>53</v>
      </c>
      <c r="H884" s="7">
        <v>45616</v>
      </c>
      <c r="I884" s="6">
        <v>45616</v>
      </c>
      <c r="J884" s="5">
        <f t="shared" si="39"/>
        <v>0</v>
      </c>
      <c r="K884" s="5" t="str">
        <f t="shared" si="40"/>
        <v>Met</v>
      </c>
      <c r="L884" s="7" t="str">
        <f t="shared" si="41"/>
        <v>Nov</v>
      </c>
    </row>
    <row r="885" spans="1:12" x14ac:dyDescent="0.3">
      <c r="A885" s="8" t="s">
        <v>1131</v>
      </c>
      <c r="B885" s="12" t="s">
        <v>27</v>
      </c>
      <c r="C885" s="12" t="s">
        <v>28</v>
      </c>
      <c r="D885" s="12" t="s">
        <v>86</v>
      </c>
      <c r="E885" s="12" t="s">
        <v>298</v>
      </c>
      <c r="F885" s="12" t="s">
        <v>24</v>
      </c>
      <c r="G885" s="12" t="s">
        <v>18</v>
      </c>
      <c r="H885" s="11">
        <v>45588</v>
      </c>
      <c r="I885" s="10">
        <v>45588</v>
      </c>
      <c r="J885" s="5">
        <f t="shared" si="39"/>
        <v>0</v>
      </c>
      <c r="K885" s="5" t="str">
        <f t="shared" si="40"/>
        <v>Met</v>
      </c>
      <c r="L885" s="7" t="str">
        <f t="shared" si="41"/>
        <v>Oct</v>
      </c>
    </row>
    <row r="886" spans="1:12" x14ac:dyDescent="0.3">
      <c r="A886" s="4" t="s">
        <v>1132</v>
      </c>
      <c r="B886" s="13" t="s">
        <v>39</v>
      </c>
      <c r="C886" s="13" t="s">
        <v>40</v>
      </c>
      <c r="D886" s="13" t="s">
        <v>15</v>
      </c>
      <c r="E886" s="13" t="s">
        <v>300</v>
      </c>
      <c r="F886" s="13" t="s">
        <v>24</v>
      </c>
      <c r="G886" s="13" t="s">
        <v>42</v>
      </c>
      <c r="H886" s="7">
        <v>45512</v>
      </c>
      <c r="I886" s="7">
        <v>45512</v>
      </c>
      <c r="J886" s="5">
        <f t="shared" si="39"/>
        <v>0</v>
      </c>
      <c r="K886" s="5" t="str">
        <f t="shared" si="40"/>
        <v>Met</v>
      </c>
      <c r="L886" s="7" t="str">
        <f t="shared" si="41"/>
        <v>Aug</v>
      </c>
    </row>
    <row r="887" spans="1:12" x14ac:dyDescent="0.3">
      <c r="A887" s="8" t="s">
        <v>1133</v>
      </c>
      <c r="B887" s="12" t="s">
        <v>27</v>
      </c>
      <c r="C887" s="12" t="s">
        <v>28</v>
      </c>
      <c r="D887" s="12" t="s">
        <v>35</v>
      </c>
      <c r="E887" s="12" t="s">
        <v>302</v>
      </c>
      <c r="F887" s="12" t="s">
        <v>24</v>
      </c>
      <c r="G887" s="12" t="s">
        <v>45</v>
      </c>
      <c r="H887" s="11">
        <v>45598</v>
      </c>
      <c r="I887" s="10">
        <v>45598</v>
      </c>
      <c r="J887" s="5">
        <f t="shared" si="39"/>
        <v>0</v>
      </c>
      <c r="K887" s="5" t="str">
        <f t="shared" si="40"/>
        <v>Met</v>
      </c>
      <c r="L887" s="7" t="str">
        <f t="shared" si="41"/>
        <v>Nov</v>
      </c>
    </row>
    <row r="888" spans="1:12" x14ac:dyDescent="0.3">
      <c r="A888" s="4" t="s">
        <v>1134</v>
      </c>
      <c r="B888" s="13" t="s">
        <v>13</v>
      </c>
      <c r="C888" s="13" t="s">
        <v>58</v>
      </c>
      <c r="D888" s="13" t="s">
        <v>86</v>
      </c>
      <c r="E888" s="13" t="s">
        <v>304</v>
      </c>
      <c r="F888" s="13" t="s">
        <v>37</v>
      </c>
      <c r="G888" s="13" t="s">
        <v>42</v>
      </c>
      <c r="H888" s="7">
        <v>45582</v>
      </c>
      <c r="I888" s="7">
        <v>45582</v>
      </c>
      <c r="J888" s="5">
        <f t="shared" si="39"/>
        <v>0</v>
      </c>
      <c r="K888" s="5" t="str">
        <f t="shared" si="40"/>
        <v>Met</v>
      </c>
      <c r="L888" s="7" t="str">
        <f t="shared" si="41"/>
        <v>Oct</v>
      </c>
    </row>
    <row r="889" spans="1:12" x14ac:dyDescent="0.3">
      <c r="A889" s="8" t="s">
        <v>1135</v>
      </c>
      <c r="B889" s="12" t="s">
        <v>27</v>
      </c>
      <c r="C889" s="12" t="s">
        <v>47</v>
      </c>
      <c r="D889" s="12" t="s">
        <v>66</v>
      </c>
      <c r="E889" s="12" t="s">
        <v>306</v>
      </c>
      <c r="F889" s="12" t="s">
        <v>17</v>
      </c>
      <c r="G889" s="12" t="s">
        <v>18</v>
      </c>
      <c r="H889" s="11">
        <v>45486</v>
      </c>
      <c r="I889" s="11">
        <v>45486</v>
      </c>
      <c r="J889" s="5">
        <f t="shared" si="39"/>
        <v>0</v>
      </c>
      <c r="K889" s="5" t="str">
        <f t="shared" si="40"/>
        <v>Met</v>
      </c>
      <c r="L889" s="7" t="str">
        <f t="shared" si="41"/>
        <v>Jul</v>
      </c>
    </row>
    <row r="890" spans="1:12" x14ac:dyDescent="0.3">
      <c r="A890" s="4" t="s">
        <v>1136</v>
      </c>
      <c r="B890" s="13" t="s">
        <v>20</v>
      </c>
      <c r="C890" s="13" t="s">
        <v>21</v>
      </c>
      <c r="D890" s="13" t="s">
        <v>35</v>
      </c>
      <c r="E890" s="13" t="s">
        <v>308</v>
      </c>
      <c r="F890" s="13" t="s">
        <v>17</v>
      </c>
      <c r="G890" s="13" t="s">
        <v>31</v>
      </c>
      <c r="H890" s="7">
        <v>45487</v>
      </c>
      <c r="I890" s="6">
        <f>[1]!Table1[[#This Row],[Open Date]]</f>
        <v>45487</v>
      </c>
      <c r="J890" s="5">
        <f t="shared" si="39"/>
        <v>0</v>
      </c>
      <c r="K890" s="5" t="str">
        <f t="shared" si="40"/>
        <v>Met</v>
      </c>
      <c r="L890" s="7" t="str">
        <f t="shared" si="41"/>
        <v>Jul</v>
      </c>
    </row>
    <row r="891" spans="1:12" x14ac:dyDescent="0.3">
      <c r="A891" s="8" t="s">
        <v>1137</v>
      </c>
      <c r="B891" s="12" t="s">
        <v>13</v>
      </c>
      <c r="C891" s="12" t="s">
        <v>58</v>
      </c>
      <c r="D891" s="12" t="s">
        <v>35</v>
      </c>
      <c r="E891" s="12" t="s">
        <v>310</v>
      </c>
      <c r="F891" s="12" t="s">
        <v>17</v>
      </c>
      <c r="G891" s="12" t="s">
        <v>53</v>
      </c>
      <c r="H891" s="11">
        <v>45519</v>
      </c>
      <c r="I891" s="11">
        <v>45519</v>
      </c>
      <c r="J891" s="5">
        <f t="shared" si="39"/>
        <v>0</v>
      </c>
      <c r="K891" s="5" t="str">
        <f t="shared" si="40"/>
        <v>Met</v>
      </c>
      <c r="L891" s="7" t="str">
        <f t="shared" si="41"/>
        <v>Aug</v>
      </c>
    </row>
    <row r="892" spans="1:12" x14ac:dyDescent="0.3">
      <c r="A892" s="4" t="s">
        <v>1138</v>
      </c>
      <c r="B892" s="13" t="s">
        <v>27</v>
      </c>
      <c r="C892" s="13" t="s">
        <v>153</v>
      </c>
      <c r="D892" s="13" t="s">
        <v>15</v>
      </c>
      <c r="E892" s="13" t="s">
        <v>312</v>
      </c>
      <c r="F892" s="13" t="s">
        <v>24</v>
      </c>
      <c r="G892" s="13" t="s">
        <v>31</v>
      </c>
      <c r="H892" s="7">
        <v>45484</v>
      </c>
      <c r="I892" s="7">
        <v>45484</v>
      </c>
      <c r="J892" s="5">
        <f t="shared" si="39"/>
        <v>0</v>
      </c>
      <c r="K892" s="5" t="str">
        <f t="shared" si="40"/>
        <v>Met</v>
      </c>
      <c r="L892" s="7" t="str">
        <f t="shared" si="41"/>
        <v>Jul</v>
      </c>
    </row>
    <row r="893" spans="1:12" x14ac:dyDescent="0.3">
      <c r="A893" s="8" t="s">
        <v>1139</v>
      </c>
      <c r="B893" s="12" t="s">
        <v>33</v>
      </c>
      <c r="C893" s="12" t="s">
        <v>69</v>
      </c>
      <c r="D893" s="12" t="s">
        <v>35</v>
      </c>
      <c r="E893" s="12" t="s">
        <v>314</v>
      </c>
      <c r="F893" s="12" t="s">
        <v>37</v>
      </c>
      <c r="G893" s="12" t="s">
        <v>53</v>
      </c>
      <c r="H893" s="11">
        <v>45565</v>
      </c>
      <c r="I893" s="11">
        <v>45565</v>
      </c>
      <c r="J893" s="5">
        <f t="shared" si="39"/>
        <v>0</v>
      </c>
      <c r="K893" s="5" t="str">
        <f t="shared" si="40"/>
        <v>Met</v>
      </c>
      <c r="L893" s="7" t="str">
        <f t="shared" si="41"/>
        <v>Sep</v>
      </c>
    </row>
    <row r="894" spans="1:12" x14ac:dyDescent="0.3">
      <c r="A894" s="4" t="s">
        <v>1140</v>
      </c>
      <c r="B894" s="13" t="s">
        <v>13</v>
      </c>
      <c r="C894" s="13" t="s">
        <v>14</v>
      </c>
      <c r="D894" s="13" t="s">
        <v>148</v>
      </c>
      <c r="E894" s="13" t="s">
        <v>316</v>
      </c>
      <c r="F894" s="13" t="s">
        <v>17</v>
      </c>
      <c r="G894" s="13" t="s">
        <v>45</v>
      </c>
      <c r="H894" s="7">
        <v>45488</v>
      </c>
      <c r="I894" s="6">
        <f>[1]!Table1[[#This Row],[Open Date]]</f>
        <v>45488</v>
      </c>
      <c r="J894" s="5">
        <f t="shared" si="39"/>
        <v>0</v>
      </c>
      <c r="K894" s="5" t="str">
        <f t="shared" si="40"/>
        <v>Met</v>
      </c>
      <c r="L894" s="7" t="str">
        <f t="shared" si="41"/>
        <v>Jul</v>
      </c>
    </row>
    <row r="895" spans="1:12" x14ac:dyDescent="0.3">
      <c r="A895" s="8" t="s">
        <v>1141</v>
      </c>
      <c r="B895" s="9" t="s">
        <v>13</v>
      </c>
      <c r="C895" s="12" t="s">
        <v>61</v>
      </c>
      <c r="D895" s="12" t="s">
        <v>35</v>
      </c>
      <c r="E895" s="12" t="s">
        <v>318</v>
      </c>
      <c r="F895" s="12" t="s">
        <v>17</v>
      </c>
      <c r="G895" s="12" t="s">
        <v>42</v>
      </c>
      <c r="H895" s="11">
        <v>45569</v>
      </c>
      <c r="I895" s="11">
        <v>45569</v>
      </c>
      <c r="J895" s="5">
        <f t="shared" si="39"/>
        <v>0</v>
      </c>
      <c r="K895" s="5" t="str">
        <f t="shared" si="40"/>
        <v>Met</v>
      </c>
      <c r="L895" s="7" t="str">
        <f t="shared" si="41"/>
        <v>Oct</v>
      </c>
    </row>
    <row r="896" spans="1:12" x14ac:dyDescent="0.3">
      <c r="A896" s="4" t="s">
        <v>1142</v>
      </c>
      <c r="B896" s="13" t="s">
        <v>13</v>
      </c>
      <c r="C896" s="13" t="s">
        <v>14</v>
      </c>
      <c r="D896" s="13" t="s">
        <v>29</v>
      </c>
      <c r="E896" s="13" t="s">
        <v>320</v>
      </c>
      <c r="F896" s="13" t="s">
        <v>24</v>
      </c>
      <c r="G896" s="13" t="s">
        <v>18</v>
      </c>
      <c r="H896" s="7">
        <v>45515</v>
      </c>
      <c r="I896" s="7">
        <v>45515</v>
      </c>
      <c r="J896" s="5">
        <f t="shared" si="39"/>
        <v>0</v>
      </c>
      <c r="K896" s="5" t="str">
        <f t="shared" si="40"/>
        <v>Met</v>
      </c>
      <c r="L896" s="7" t="str">
        <f t="shared" si="41"/>
        <v>Aug</v>
      </c>
    </row>
    <row r="897" spans="1:12" x14ac:dyDescent="0.3">
      <c r="A897" s="8" t="s">
        <v>1143</v>
      </c>
      <c r="B897" s="12" t="s">
        <v>20</v>
      </c>
      <c r="C897" s="12" t="s">
        <v>93</v>
      </c>
      <c r="D897" s="12" t="s">
        <v>35</v>
      </c>
      <c r="E897" s="12" t="s">
        <v>322</v>
      </c>
      <c r="F897" s="12" t="s">
        <v>24</v>
      </c>
      <c r="G897" s="12" t="s">
        <v>53</v>
      </c>
      <c r="H897" s="11">
        <v>45537</v>
      </c>
      <c r="I897" s="11">
        <v>45537</v>
      </c>
      <c r="J897" s="5">
        <f t="shared" si="39"/>
        <v>0</v>
      </c>
      <c r="K897" s="5" t="str">
        <f t="shared" si="40"/>
        <v>Met</v>
      </c>
      <c r="L897" s="7" t="str">
        <f t="shared" si="41"/>
        <v>Sep</v>
      </c>
    </row>
    <row r="898" spans="1:12" x14ac:dyDescent="0.3">
      <c r="A898" s="4" t="s">
        <v>1144</v>
      </c>
      <c r="B898" s="13" t="s">
        <v>39</v>
      </c>
      <c r="C898" s="13" t="s">
        <v>99</v>
      </c>
      <c r="D898" s="13" t="s">
        <v>35</v>
      </c>
      <c r="E898" s="13" t="s">
        <v>324</v>
      </c>
      <c r="F898" s="13" t="s">
        <v>24</v>
      </c>
      <c r="G898" s="13" t="s">
        <v>53</v>
      </c>
      <c r="H898" s="7">
        <v>45650</v>
      </c>
      <c r="I898" s="6">
        <v>45650</v>
      </c>
      <c r="J898" s="5">
        <f t="shared" si="39"/>
        <v>0</v>
      </c>
      <c r="K898" s="5" t="str">
        <f t="shared" si="40"/>
        <v>Met</v>
      </c>
      <c r="L898" s="7" t="str">
        <f t="shared" si="41"/>
        <v>Dec</v>
      </c>
    </row>
    <row r="899" spans="1:12" x14ac:dyDescent="0.3">
      <c r="A899" s="8" t="s">
        <v>1145</v>
      </c>
      <c r="B899" s="12" t="s">
        <v>13</v>
      </c>
      <c r="C899" s="12" t="s">
        <v>61</v>
      </c>
      <c r="D899" s="12" t="s">
        <v>35</v>
      </c>
      <c r="E899" s="12" t="s">
        <v>326</v>
      </c>
      <c r="F899" s="12" t="s">
        <v>37</v>
      </c>
      <c r="G899" s="12" t="s">
        <v>42</v>
      </c>
      <c r="H899" s="11">
        <v>45536</v>
      </c>
      <c r="I899" s="11">
        <v>45536</v>
      </c>
      <c r="J899" s="5">
        <f t="shared" ref="J899:J962" si="42">I899-H899</f>
        <v>0</v>
      </c>
      <c r="K899" s="5" t="str">
        <f t="shared" ref="K899:K962" si="43">IF(J899&gt;= 1, "Not Met","Met")</f>
        <v>Met</v>
      </c>
      <c r="L899" s="7" t="str">
        <f t="shared" ref="L899:L962" si="44">TEXT(H899,"MMM")</f>
        <v>Sep</v>
      </c>
    </row>
    <row r="900" spans="1:12" x14ac:dyDescent="0.3">
      <c r="A900" s="4" t="s">
        <v>1146</v>
      </c>
      <c r="B900" s="13" t="s">
        <v>20</v>
      </c>
      <c r="C900" s="13" t="s">
        <v>76</v>
      </c>
      <c r="D900" s="13" t="s">
        <v>148</v>
      </c>
      <c r="E900" s="13" t="s">
        <v>328</v>
      </c>
      <c r="F900" s="13" t="s">
        <v>17</v>
      </c>
      <c r="G900" s="13" t="s">
        <v>53</v>
      </c>
      <c r="H900" s="7">
        <v>45521</v>
      </c>
      <c r="I900" s="7">
        <v>45521</v>
      </c>
      <c r="J900" s="5">
        <f t="shared" si="42"/>
        <v>0</v>
      </c>
      <c r="K900" s="5" t="str">
        <f t="shared" si="43"/>
        <v>Met</v>
      </c>
      <c r="L900" s="7" t="str">
        <f t="shared" si="44"/>
        <v>Aug</v>
      </c>
    </row>
    <row r="901" spans="1:12" x14ac:dyDescent="0.3">
      <c r="A901" s="8" t="s">
        <v>1147</v>
      </c>
      <c r="B901" s="12" t="s">
        <v>13</v>
      </c>
      <c r="C901" s="12" t="s">
        <v>14</v>
      </c>
      <c r="D901" s="9" t="s">
        <v>35</v>
      </c>
      <c r="E901" s="12" t="s">
        <v>330</v>
      </c>
      <c r="F901" s="12" t="s">
        <v>37</v>
      </c>
      <c r="G901" s="9" t="s">
        <v>45</v>
      </c>
      <c r="H901" s="11">
        <v>45486</v>
      </c>
      <c r="I901" s="10">
        <f>[1]!Table1[[#This Row],[Open Date]]</f>
        <v>45486</v>
      </c>
      <c r="J901" s="5">
        <f t="shared" si="42"/>
        <v>0</v>
      </c>
      <c r="K901" s="5" t="str">
        <f t="shared" si="43"/>
        <v>Met</v>
      </c>
      <c r="L901" s="7" t="str">
        <f t="shared" si="44"/>
        <v>Jul</v>
      </c>
    </row>
    <row r="902" spans="1:12" x14ac:dyDescent="0.3">
      <c r="A902" s="4" t="s">
        <v>1148</v>
      </c>
      <c r="B902" s="13" t="s">
        <v>20</v>
      </c>
      <c r="C902" s="13" t="s">
        <v>21</v>
      </c>
      <c r="D902" s="13" t="s">
        <v>15</v>
      </c>
      <c r="E902" s="13" t="s">
        <v>332</v>
      </c>
      <c r="F902" s="13" t="s">
        <v>24</v>
      </c>
      <c r="G902" s="13" t="s">
        <v>31</v>
      </c>
      <c r="H902" s="7">
        <v>45562</v>
      </c>
      <c r="I902" s="7">
        <v>45562</v>
      </c>
      <c r="J902" s="5">
        <f t="shared" si="42"/>
        <v>0</v>
      </c>
      <c r="K902" s="5" t="str">
        <f t="shared" si="43"/>
        <v>Met</v>
      </c>
      <c r="L902" s="7" t="str">
        <f t="shared" si="44"/>
        <v>Sep</v>
      </c>
    </row>
    <row r="903" spans="1:12" x14ac:dyDescent="0.3">
      <c r="A903" s="8" t="s">
        <v>1149</v>
      </c>
      <c r="B903" s="12" t="s">
        <v>33</v>
      </c>
      <c r="C903" s="12" t="s">
        <v>34</v>
      </c>
      <c r="D903" s="12" t="s">
        <v>148</v>
      </c>
      <c r="E903" s="12" t="s">
        <v>334</v>
      </c>
      <c r="F903" s="12" t="s">
        <v>24</v>
      </c>
      <c r="G903" s="12" t="s">
        <v>53</v>
      </c>
      <c r="H903" s="11">
        <v>45544</v>
      </c>
      <c r="I903" s="11">
        <v>45544</v>
      </c>
      <c r="J903" s="5">
        <f t="shared" si="42"/>
        <v>0</v>
      </c>
      <c r="K903" s="5" t="str">
        <f t="shared" si="43"/>
        <v>Met</v>
      </c>
      <c r="L903" s="7" t="str">
        <f t="shared" si="44"/>
        <v>Sep</v>
      </c>
    </row>
    <row r="904" spans="1:12" x14ac:dyDescent="0.3">
      <c r="A904" s="4" t="s">
        <v>1150</v>
      </c>
      <c r="B904" s="13" t="s">
        <v>20</v>
      </c>
      <c r="C904" s="13" t="s">
        <v>76</v>
      </c>
      <c r="D904" s="13" t="s">
        <v>15</v>
      </c>
      <c r="E904" s="13" t="s">
        <v>336</v>
      </c>
      <c r="F904" s="13" t="s">
        <v>37</v>
      </c>
      <c r="G904" s="13" t="s">
        <v>25</v>
      </c>
      <c r="H904" s="7">
        <v>45588</v>
      </c>
      <c r="I904" s="6">
        <v>45588</v>
      </c>
      <c r="J904" s="5">
        <f t="shared" si="42"/>
        <v>0</v>
      </c>
      <c r="K904" s="5" t="str">
        <f t="shared" si="43"/>
        <v>Met</v>
      </c>
      <c r="L904" s="7" t="str">
        <f t="shared" si="44"/>
        <v>Oct</v>
      </c>
    </row>
    <row r="905" spans="1:12" x14ac:dyDescent="0.3">
      <c r="A905" s="8" t="s">
        <v>1151</v>
      </c>
      <c r="B905" s="12" t="s">
        <v>27</v>
      </c>
      <c r="C905" s="12" t="s">
        <v>153</v>
      </c>
      <c r="D905" s="12" t="s">
        <v>79</v>
      </c>
      <c r="E905" s="12" t="s">
        <v>338</v>
      </c>
      <c r="F905" s="12" t="s">
        <v>17</v>
      </c>
      <c r="G905" s="12" t="s">
        <v>18</v>
      </c>
      <c r="H905" s="11">
        <v>45576</v>
      </c>
      <c r="I905" s="10">
        <v>45576</v>
      </c>
      <c r="J905" s="5">
        <f t="shared" si="42"/>
        <v>0</v>
      </c>
      <c r="K905" s="5" t="str">
        <f t="shared" si="43"/>
        <v>Met</v>
      </c>
      <c r="L905" s="7" t="str">
        <f t="shared" si="44"/>
        <v>Oct</v>
      </c>
    </row>
    <row r="906" spans="1:12" x14ac:dyDescent="0.3">
      <c r="A906" s="4" t="s">
        <v>1152</v>
      </c>
      <c r="B906" s="13" t="s">
        <v>20</v>
      </c>
      <c r="C906" s="13" t="s">
        <v>76</v>
      </c>
      <c r="D906" s="13" t="s">
        <v>79</v>
      </c>
      <c r="E906" s="13" t="s">
        <v>588</v>
      </c>
      <c r="F906" s="13" t="s">
        <v>24</v>
      </c>
      <c r="G906" s="13" t="s">
        <v>45</v>
      </c>
      <c r="H906" s="7">
        <v>45486</v>
      </c>
      <c r="I906" s="7">
        <v>45486</v>
      </c>
      <c r="J906" s="5">
        <f t="shared" si="42"/>
        <v>0</v>
      </c>
      <c r="K906" s="5" t="str">
        <f t="shared" si="43"/>
        <v>Met</v>
      </c>
      <c r="L906" s="7" t="str">
        <f t="shared" si="44"/>
        <v>Jul</v>
      </c>
    </row>
    <row r="907" spans="1:12" x14ac:dyDescent="0.3">
      <c r="A907" s="8" t="s">
        <v>1153</v>
      </c>
      <c r="B907" s="12" t="s">
        <v>20</v>
      </c>
      <c r="C907" s="12" t="s">
        <v>76</v>
      </c>
      <c r="D907" s="12" t="s">
        <v>86</v>
      </c>
      <c r="E907" s="12" t="s">
        <v>340</v>
      </c>
      <c r="F907" s="12" t="s">
        <v>37</v>
      </c>
      <c r="G907" s="12" t="s">
        <v>31</v>
      </c>
      <c r="H907" s="11">
        <v>45559</v>
      </c>
      <c r="I907" s="11">
        <v>45559</v>
      </c>
      <c r="J907" s="5">
        <f t="shared" si="42"/>
        <v>0</v>
      </c>
      <c r="K907" s="5" t="str">
        <f t="shared" si="43"/>
        <v>Met</v>
      </c>
      <c r="L907" s="7" t="str">
        <f t="shared" si="44"/>
        <v>Sep</v>
      </c>
    </row>
    <row r="908" spans="1:12" x14ac:dyDescent="0.3">
      <c r="A908" s="4" t="s">
        <v>1154</v>
      </c>
      <c r="B908" s="13" t="s">
        <v>13</v>
      </c>
      <c r="C908" s="13" t="s">
        <v>61</v>
      </c>
      <c r="D908" s="13" t="s">
        <v>148</v>
      </c>
      <c r="E908" s="13" t="s">
        <v>342</v>
      </c>
      <c r="F908" s="13" t="s">
        <v>17</v>
      </c>
      <c r="G908" s="13" t="s">
        <v>53</v>
      </c>
      <c r="H908" s="7">
        <v>45497</v>
      </c>
      <c r="I908" s="7">
        <v>45497</v>
      </c>
      <c r="J908" s="5">
        <f t="shared" si="42"/>
        <v>0</v>
      </c>
      <c r="K908" s="5" t="str">
        <f t="shared" si="43"/>
        <v>Met</v>
      </c>
      <c r="L908" s="7" t="str">
        <f t="shared" si="44"/>
        <v>Jul</v>
      </c>
    </row>
    <row r="909" spans="1:12" x14ac:dyDescent="0.3">
      <c r="A909" s="8" t="s">
        <v>1155</v>
      </c>
      <c r="B909" s="12" t="s">
        <v>33</v>
      </c>
      <c r="C909" s="12" t="s">
        <v>69</v>
      </c>
      <c r="D909" s="12" t="s">
        <v>29</v>
      </c>
      <c r="E909" s="12" t="s">
        <v>344</v>
      </c>
      <c r="F909" s="12" t="s">
        <v>37</v>
      </c>
      <c r="G909" s="12" t="s">
        <v>25</v>
      </c>
      <c r="H909" s="11">
        <v>45582</v>
      </c>
      <c r="I909" s="11">
        <v>45582</v>
      </c>
      <c r="J909" s="5">
        <f t="shared" si="42"/>
        <v>0</v>
      </c>
      <c r="K909" s="5" t="str">
        <f t="shared" si="43"/>
        <v>Met</v>
      </c>
      <c r="L909" s="7" t="str">
        <f t="shared" si="44"/>
        <v>Oct</v>
      </c>
    </row>
    <row r="910" spans="1:12" x14ac:dyDescent="0.3">
      <c r="A910" s="4" t="s">
        <v>1156</v>
      </c>
      <c r="B910" s="13" t="s">
        <v>33</v>
      </c>
      <c r="C910" s="13" t="s">
        <v>69</v>
      </c>
      <c r="D910" s="13" t="s">
        <v>35</v>
      </c>
      <c r="E910" s="13" t="s">
        <v>346</v>
      </c>
      <c r="F910" s="13" t="s">
        <v>37</v>
      </c>
      <c r="G910" s="13" t="s">
        <v>53</v>
      </c>
      <c r="H910" s="7">
        <v>45609</v>
      </c>
      <c r="I910" s="6">
        <v>45609</v>
      </c>
      <c r="J910" s="5">
        <f t="shared" si="42"/>
        <v>0</v>
      </c>
      <c r="K910" s="5" t="str">
        <f t="shared" si="43"/>
        <v>Met</v>
      </c>
      <c r="L910" s="7" t="str">
        <f t="shared" si="44"/>
        <v>Nov</v>
      </c>
    </row>
    <row r="911" spans="1:12" x14ac:dyDescent="0.3">
      <c r="A911" s="8" t="s">
        <v>1157</v>
      </c>
      <c r="B911" s="12" t="s">
        <v>39</v>
      </c>
      <c r="C911" s="12" t="s">
        <v>40</v>
      </c>
      <c r="D911" s="12" t="s">
        <v>79</v>
      </c>
      <c r="E911" s="12" t="s">
        <v>348</v>
      </c>
      <c r="F911" s="12" t="s">
        <v>24</v>
      </c>
      <c r="G911" s="12" t="s">
        <v>45</v>
      </c>
      <c r="H911" s="11">
        <v>45588</v>
      </c>
      <c r="I911" s="11">
        <v>45588</v>
      </c>
      <c r="J911" s="5">
        <f t="shared" si="42"/>
        <v>0</v>
      </c>
      <c r="K911" s="5" t="str">
        <f t="shared" si="43"/>
        <v>Met</v>
      </c>
      <c r="L911" s="7" t="str">
        <f t="shared" si="44"/>
        <v>Oct</v>
      </c>
    </row>
    <row r="912" spans="1:12" x14ac:dyDescent="0.3">
      <c r="A912" s="4" t="s">
        <v>1158</v>
      </c>
      <c r="B912" s="13" t="s">
        <v>13</v>
      </c>
      <c r="C912" s="13" t="s">
        <v>14</v>
      </c>
      <c r="D912" s="13" t="s">
        <v>15</v>
      </c>
      <c r="E912" s="13" t="s">
        <v>350</v>
      </c>
      <c r="F912" s="13" t="s">
        <v>37</v>
      </c>
      <c r="G912" s="13" t="s">
        <v>53</v>
      </c>
      <c r="H912" s="7">
        <v>45515</v>
      </c>
      <c r="I912" s="7">
        <v>45515</v>
      </c>
      <c r="J912" s="5">
        <f t="shared" si="42"/>
        <v>0</v>
      </c>
      <c r="K912" s="5" t="str">
        <f t="shared" si="43"/>
        <v>Met</v>
      </c>
      <c r="L912" s="7" t="str">
        <f t="shared" si="44"/>
        <v>Aug</v>
      </c>
    </row>
    <row r="913" spans="1:12" x14ac:dyDescent="0.3">
      <c r="A913" s="8" t="s">
        <v>1159</v>
      </c>
      <c r="B913" s="12" t="s">
        <v>33</v>
      </c>
      <c r="C913" s="12" t="s">
        <v>34</v>
      </c>
      <c r="D913" s="12" t="s">
        <v>148</v>
      </c>
      <c r="E913" s="12" t="s">
        <v>352</v>
      </c>
      <c r="F913" s="12" t="s">
        <v>17</v>
      </c>
      <c r="G913" s="12" t="s">
        <v>18</v>
      </c>
      <c r="H913" s="11">
        <v>45563</v>
      </c>
      <c r="I913" s="11">
        <v>45563</v>
      </c>
      <c r="J913" s="5">
        <f t="shared" si="42"/>
        <v>0</v>
      </c>
      <c r="K913" s="5" t="str">
        <f t="shared" si="43"/>
        <v>Met</v>
      </c>
      <c r="L913" s="7" t="str">
        <f t="shared" si="44"/>
        <v>Sep</v>
      </c>
    </row>
    <row r="914" spans="1:12" x14ac:dyDescent="0.3">
      <c r="A914" s="4" t="s">
        <v>1160</v>
      </c>
      <c r="B914" s="13" t="s">
        <v>20</v>
      </c>
      <c r="C914" s="13" t="s">
        <v>76</v>
      </c>
      <c r="D914" s="13" t="s">
        <v>79</v>
      </c>
      <c r="E914" s="13" t="s">
        <v>354</v>
      </c>
      <c r="F914" s="13" t="s">
        <v>17</v>
      </c>
      <c r="G914" s="13" t="s">
        <v>42</v>
      </c>
      <c r="H914" s="7">
        <v>45630</v>
      </c>
      <c r="I914" s="6">
        <v>45630</v>
      </c>
      <c r="J914" s="5">
        <f t="shared" si="42"/>
        <v>0</v>
      </c>
      <c r="K914" s="5" t="str">
        <f t="shared" si="43"/>
        <v>Met</v>
      </c>
      <c r="L914" s="7" t="str">
        <f t="shared" si="44"/>
        <v>Dec</v>
      </c>
    </row>
    <row r="915" spans="1:12" x14ac:dyDescent="0.3">
      <c r="A915" s="8" t="s">
        <v>1161</v>
      </c>
      <c r="B915" s="12" t="s">
        <v>39</v>
      </c>
      <c r="C915" s="12" t="s">
        <v>99</v>
      </c>
      <c r="D915" s="12" t="s">
        <v>35</v>
      </c>
      <c r="E915" s="12" t="s">
        <v>356</v>
      </c>
      <c r="F915" s="12" t="s">
        <v>24</v>
      </c>
      <c r="G915" s="12" t="s">
        <v>53</v>
      </c>
      <c r="H915" s="11">
        <v>45551</v>
      </c>
      <c r="I915" s="11">
        <v>45551</v>
      </c>
      <c r="J915" s="5">
        <f t="shared" si="42"/>
        <v>0</v>
      </c>
      <c r="K915" s="5" t="str">
        <f t="shared" si="43"/>
        <v>Met</v>
      </c>
      <c r="L915" s="7" t="str">
        <f t="shared" si="44"/>
        <v>Sep</v>
      </c>
    </row>
    <row r="916" spans="1:12" x14ac:dyDescent="0.3">
      <c r="A916" s="4" t="s">
        <v>1162</v>
      </c>
      <c r="B916" s="13" t="s">
        <v>33</v>
      </c>
      <c r="C916" s="13" t="s">
        <v>55</v>
      </c>
      <c r="D916" s="13" t="s">
        <v>35</v>
      </c>
      <c r="E916" s="13" t="s">
        <v>358</v>
      </c>
      <c r="F916" s="13" t="s">
        <v>24</v>
      </c>
      <c r="G916" s="13" t="s">
        <v>31</v>
      </c>
      <c r="H916" s="7">
        <v>45601</v>
      </c>
      <c r="I916" s="6">
        <v>45601</v>
      </c>
      <c r="J916" s="5">
        <f t="shared" si="42"/>
        <v>0</v>
      </c>
      <c r="K916" s="5" t="str">
        <f t="shared" si="43"/>
        <v>Met</v>
      </c>
      <c r="L916" s="7" t="str">
        <f t="shared" si="44"/>
        <v>Nov</v>
      </c>
    </row>
    <row r="917" spans="1:12" x14ac:dyDescent="0.3">
      <c r="A917" s="8" t="s">
        <v>1163</v>
      </c>
      <c r="B917" s="12" t="s">
        <v>39</v>
      </c>
      <c r="C917" s="12" t="s">
        <v>99</v>
      </c>
      <c r="D917" s="12" t="s">
        <v>15</v>
      </c>
      <c r="E917" s="12" t="s">
        <v>360</v>
      </c>
      <c r="F917" s="12" t="s">
        <v>37</v>
      </c>
      <c r="G917" s="12" t="s">
        <v>25</v>
      </c>
      <c r="H917" s="11">
        <v>45567</v>
      </c>
      <c r="I917" s="11">
        <v>45567</v>
      </c>
      <c r="J917" s="5">
        <f t="shared" si="42"/>
        <v>0</v>
      </c>
      <c r="K917" s="5" t="str">
        <f t="shared" si="43"/>
        <v>Met</v>
      </c>
      <c r="L917" s="7" t="str">
        <f t="shared" si="44"/>
        <v>Oct</v>
      </c>
    </row>
    <row r="918" spans="1:12" x14ac:dyDescent="0.3">
      <c r="A918" s="4" t="s">
        <v>1164</v>
      </c>
      <c r="B918" s="13" t="s">
        <v>33</v>
      </c>
      <c r="C918" s="13" t="s">
        <v>34</v>
      </c>
      <c r="D918" s="13" t="s">
        <v>22</v>
      </c>
      <c r="E918" s="13" t="s">
        <v>362</v>
      </c>
      <c r="F918" s="13" t="s">
        <v>37</v>
      </c>
      <c r="G918" s="13" t="s">
        <v>42</v>
      </c>
      <c r="H918" s="7">
        <v>45493</v>
      </c>
      <c r="I918" s="7">
        <v>45493</v>
      </c>
      <c r="J918" s="5">
        <f t="shared" si="42"/>
        <v>0</v>
      </c>
      <c r="K918" s="5" t="str">
        <f t="shared" si="43"/>
        <v>Met</v>
      </c>
      <c r="L918" s="7" t="str">
        <f t="shared" si="44"/>
        <v>Jul</v>
      </c>
    </row>
    <row r="919" spans="1:12" x14ac:dyDescent="0.3">
      <c r="A919" s="8" t="s">
        <v>1165</v>
      </c>
      <c r="B919" s="12" t="s">
        <v>13</v>
      </c>
      <c r="C919" s="12" t="s">
        <v>61</v>
      </c>
      <c r="D919" s="12" t="s">
        <v>15</v>
      </c>
      <c r="E919" s="12" t="s">
        <v>364</v>
      </c>
      <c r="F919" s="12" t="s">
        <v>24</v>
      </c>
      <c r="G919" s="12" t="s">
        <v>25</v>
      </c>
      <c r="H919" s="11">
        <v>45629</v>
      </c>
      <c r="I919" s="10">
        <v>45629</v>
      </c>
      <c r="J919" s="5">
        <f t="shared" si="42"/>
        <v>0</v>
      </c>
      <c r="K919" s="5" t="str">
        <f t="shared" si="43"/>
        <v>Met</v>
      </c>
      <c r="L919" s="7" t="str">
        <f t="shared" si="44"/>
        <v>Dec</v>
      </c>
    </row>
    <row r="920" spans="1:12" x14ac:dyDescent="0.3">
      <c r="A920" s="4" t="s">
        <v>1166</v>
      </c>
      <c r="B920" s="5" t="s">
        <v>13</v>
      </c>
      <c r="C920" s="13" t="s">
        <v>61</v>
      </c>
      <c r="D920" s="13" t="s">
        <v>79</v>
      </c>
      <c r="E920" s="13" t="s">
        <v>366</v>
      </c>
      <c r="F920" s="13" t="s">
        <v>17</v>
      </c>
      <c r="G920" s="13" t="s">
        <v>18</v>
      </c>
      <c r="H920" s="7">
        <v>45554</v>
      </c>
      <c r="I920" s="7">
        <v>45554</v>
      </c>
      <c r="J920" s="5">
        <f t="shared" si="42"/>
        <v>0</v>
      </c>
      <c r="K920" s="5" t="str">
        <f t="shared" si="43"/>
        <v>Met</v>
      </c>
      <c r="L920" s="7" t="str">
        <f t="shared" si="44"/>
        <v>Sep</v>
      </c>
    </row>
    <row r="921" spans="1:12" x14ac:dyDescent="0.3">
      <c r="A921" s="8" t="s">
        <v>1167</v>
      </c>
      <c r="B921" s="12" t="s">
        <v>13</v>
      </c>
      <c r="C921" s="12" t="s">
        <v>58</v>
      </c>
      <c r="D921" s="12" t="s">
        <v>35</v>
      </c>
      <c r="E921" s="12" t="s">
        <v>368</v>
      </c>
      <c r="F921" s="12" t="s">
        <v>17</v>
      </c>
      <c r="G921" s="12" t="s">
        <v>53</v>
      </c>
      <c r="H921" s="11">
        <v>45561</v>
      </c>
      <c r="I921" s="11">
        <v>45561</v>
      </c>
      <c r="J921" s="5">
        <f t="shared" si="42"/>
        <v>0</v>
      </c>
      <c r="K921" s="5" t="str">
        <f t="shared" si="43"/>
        <v>Met</v>
      </c>
      <c r="L921" s="7" t="str">
        <f t="shared" si="44"/>
        <v>Sep</v>
      </c>
    </row>
    <row r="922" spans="1:12" x14ac:dyDescent="0.3">
      <c r="A922" s="4" t="s">
        <v>1168</v>
      </c>
      <c r="B922" s="13" t="s">
        <v>27</v>
      </c>
      <c r="C922" s="13" t="s">
        <v>47</v>
      </c>
      <c r="D922" s="13" t="s">
        <v>29</v>
      </c>
      <c r="E922" s="13" t="s">
        <v>370</v>
      </c>
      <c r="F922" s="13" t="s">
        <v>17</v>
      </c>
      <c r="G922" s="13" t="s">
        <v>18</v>
      </c>
      <c r="H922" s="7">
        <v>45546</v>
      </c>
      <c r="I922" s="7">
        <v>45546</v>
      </c>
      <c r="J922" s="5">
        <f t="shared" si="42"/>
        <v>0</v>
      </c>
      <c r="K922" s="5" t="str">
        <f t="shared" si="43"/>
        <v>Met</v>
      </c>
      <c r="L922" s="7" t="str">
        <f t="shared" si="44"/>
        <v>Sep</v>
      </c>
    </row>
    <row r="923" spans="1:12" x14ac:dyDescent="0.3">
      <c r="A923" s="8" t="s">
        <v>1169</v>
      </c>
      <c r="B923" s="12" t="s">
        <v>20</v>
      </c>
      <c r="C923" s="12" t="s">
        <v>21</v>
      </c>
      <c r="D923" s="12" t="s">
        <v>15</v>
      </c>
      <c r="E923" s="12" t="s">
        <v>372</v>
      </c>
      <c r="F923" s="12" t="s">
        <v>37</v>
      </c>
      <c r="G923" s="12" t="s">
        <v>42</v>
      </c>
      <c r="H923" s="11">
        <v>45621</v>
      </c>
      <c r="I923" s="10">
        <v>45621</v>
      </c>
      <c r="J923" s="5">
        <f t="shared" si="42"/>
        <v>0</v>
      </c>
      <c r="K923" s="5" t="str">
        <f t="shared" si="43"/>
        <v>Met</v>
      </c>
      <c r="L923" s="7" t="str">
        <f t="shared" si="44"/>
        <v>Nov</v>
      </c>
    </row>
    <row r="924" spans="1:12" x14ac:dyDescent="0.3">
      <c r="A924" s="4" t="s">
        <v>1170</v>
      </c>
      <c r="B924" s="13" t="s">
        <v>27</v>
      </c>
      <c r="C924" s="13" t="s">
        <v>47</v>
      </c>
      <c r="D924" s="13" t="s">
        <v>15</v>
      </c>
      <c r="E924" s="13" t="s">
        <v>374</v>
      </c>
      <c r="F924" s="13" t="s">
        <v>37</v>
      </c>
      <c r="G924" s="13" t="s">
        <v>18</v>
      </c>
      <c r="H924" s="7">
        <v>45478</v>
      </c>
      <c r="I924" s="7">
        <v>45478</v>
      </c>
      <c r="J924" s="5">
        <f t="shared" si="42"/>
        <v>0</v>
      </c>
      <c r="K924" s="5" t="str">
        <f t="shared" si="43"/>
        <v>Met</v>
      </c>
      <c r="L924" s="7" t="str">
        <f t="shared" si="44"/>
        <v>Jul</v>
      </c>
    </row>
    <row r="925" spans="1:12" x14ac:dyDescent="0.3">
      <c r="A925" s="8" t="s">
        <v>1171</v>
      </c>
      <c r="B925" s="12" t="s">
        <v>39</v>
      </c>
      <c r="C925" s="12" t="s">
        <v>99</v>
      </c>
      <c r="D925" s="12" t="s">
        <v>35</v>
      </c>
      <c r="E925" s="12" t="s">
        <v>376</v>
      </c>
      <c r="F925" s="12" t="s">
        <v>37</v>
      </c>
      <c r="G925" s="12" t="s">
        <v>31</v>
      </c>
      <c r="H925" s="11">
        <v>45486</v>
      </c>
      <c r="I925" s="11">
        <v>45486</v>
      </c>
      <c r="J925" s="5">
        <f t="shared" si="42"/>
        <v>0</v>
      </c>
      <c r="K925" s="5" t="str">
        <f t="shared" si="43"/>
        <v>Met</v>
      </c>
      <c r="L925" s="7" t="str">
        <f t="shared" si="44"/>
        <v>Jul</v>
      </c>
    </row>
    <row r="926" spans="1:12" x14ac:dyDescent="0.3">
      <c r="A926" s="4" t="s">
        <v>1172</v>
      </c>
      <c r="B926" s="13" t="s">
        <v>20</v>
      </c>
      <c r="C926" s="13" t="s">
        <v>93</v>
      </c>
      <c r="D926" s="13" t="s">
        <v>66</v>
      </c>
      <c r="E926" s="13" t="s">
        <v>378</v>
      </c>
      <c r="F926" s="13" t="s">
        <v>37</v>
      </c>
      <c r="G926" s="13" t="s">
        <v>53</v>
      </c>
      <c r="H926" s="7">
        <v>45586</v>
      </c>
      <c r="I926" s="7">
        <v>45586</v>
      </c>
      <c r="J926" s="5">
        <f t="shared" si="42"/>
        <v>0</v>
      </c>
      <c r="K926" s="5" t="str">
        <f t="shared" si="43"/>
        <v>Met</v>
      </c>
      <c r="L926" s="7" t="str">
        <f t="shared" si="44"/>
        <v>Oct</v>
      </c>
    </row>
    <row r="927" spans="1:12" x14ac:dyDescent="0.3">
      <c r="A927" s="8" t="s">
        <v>1173</v>
      </c>
      <c r="B927" s="12" t="s">
        <v>33</v>
      </c>
      <c r="C927" s="12" t="s">
        <v>34</v>
      </c>
      <c r="D927" s="12" t="s">
        <v>35</v>
      </c>
      <c r="E927" s="12" t="s">
        <v>380</v>
      </c>
      <c r="F927" s="12" t="s">
        <v>24</v>
      </c>
      <c r="G927" s="12" t="s">
        <v>31</v>
      </c>
      <c r="H927" s="11">
        <v>45582</v>
      </c>
      <c r="I927" s="11">
        <v>45582</v>
      </c>
      <c r="J927" s="5">
        <f t="shared" si="42"/>
        <v>0</v>
      </c>
      <c r="K927" s="5" t="str">
        <f t="shared" si="43"/>
        <v>Met</v>
      </c>
      <c r="L927" s="7" t="str">
        <f t="shared" si="44"/>
        <v>Oct</v>
      </c>
    </row>
    <row r="928" spans="1:12" x14ac:dyDescent="0.3">
      <c r="A928" s="4" t="s">
        <v>1174</v>
      </c>
      <c r="B928" s="13" t="s">
        <v>27</v>
      </c>
      <c r="C928" s="13" t="s">
        <v>47</v>
      </c>
      <c r="D928" s="13" t="s">
        <v>35</v>
      </c>
      <c r="E928" s="13" t="s">
        <v>382</v>
      </c>
      <c r="F928" s="13" t="s">
        <v>17</v>
      </c>
      <c r="G928" s="13" t="s">
        <v>53</v>
      </c>
      <c r="H928" s="7">
        <v>45565</v>
      </c>
      <c r="I928" s="7">
        <v>45565</v>
      </c>
      <c r="J928" s="5">
        <f t="shared" si="42"/>
        <v>0</v>
      </c>
      <c r="K928" s="5" t="str">
        <f t="shared" si="43"/>
        <v>Met</v>
      </c>
      <c r="L928" s="7" t="str">
        <f t="shared" si="44"/>
        <v>Sep</v>
      </c>
    </row>
    <row r="929" spans="1:12" x14ac:dyDescent="0.3">
      <c r="A929" s="8" t="s">
        <v>1175</v>
      </c>
      <c r="B929" s="12" t="s">
        <v>20</v>
      </c>
      <c r="C929" s="12" t="s">
        <v>21</v>
      </c>
      <c r="D929" s="12" t="s">
        <v>29</v>
      </c>
      <c r="E929" s="12" t="s">
        <v>384</v>
      </c>
      <c r="F929" s="12" t="s">
        <v>17</v>
      </c>
      <c r="G929" s="12" t="s">
        <v>25</v>
      </c>
      <c r="H929" s="11">
        <v>45525</v>
      </c>
      <c r="I929" s="11">
        <v>45525</v>
      </c>
      <c r="J929" s="5">
        <f t="shared" si="42"/>
        <v>0</v>
      </c>
      <c r="K929" s="5" t="str">
        <f t="shared" si="43"/>
        <v>Met</v>
      </c>
      <c r="L929" s="7" t="str">
        <f t="shared" si="44"/>
        <v>Aug</v>
      </c>
    </row>
    <row r="930" spans="1:12" x14ac:dyDescent="0.3">
      <c r="A930" s="4" t="s">
        <v>1176</v>
      </c>
      <c r="B930" s="13" t="s">
        <v>20</v>
      </c>
      <c r="C930" s="13" t="s">
        <v>21</v>
      </c>
      <c r="D930" s="13" t="s">
        <v>15</v>
      </c>
      <c r="E930" s="13" t="s">
        <v>386</v>
      </c>
      <c r="F930" s="13" t="s">
        <v>24</v>
      </c>
      <c r="G930" s="13" t="s">
        <v>25</v>
      </c>
      <c r="H930" s="7">
        <v>45528</v>
      </c>
      <c r="I930" s="7">
        <v>45528</v>
      </c>
      <c r="J930" s="5">
        <f t="shared" si="42"/>
        <v>0</v>
      </c>
      <c r="K930" s="5" t="str">
        <f t="shared" si="43"/>
        <v>Met</v>
      </c>
      <c r="L930" s="7" t="str">
        <f t="shared" si="44"/>
        <v>Aug</v>
      </c>
    </row>
    <row r="931" spans="1:12" x14ac:dyDescent="0.3">
      <c r="A931" s="8" t="s">
        <v>1177</v>
      </c>
      <c r="B931" s="12" t="s">
        <v>33</v>
      </c>
      <c r="C931" s="12" t="s">
        <v>34</v>
      </c>
      <c r="D931" s="12" t="s">
        <v>29</v>
      </c>
      <c r="E931" s="12" t="s">
        <v>388</v>
      </c>
      <c r="F931" s="12" t="s">
        <v>17</v>
      </c>
      <c r="G931" s="12" t="s">
        <v>31</v>
      </c>
      <c r="H931" s="11">
        <v>45489</v>
      </c>
      <c r="I931" s="10">
        <f>[1]!Table1[[#This Row],[Open Date]]</f>
        <v>45489</v>
      </c>
      <c r="J931" s="5">
        <f t="shared" si="42"/>
        <v>0</v>
      </c>
      <c r="K931" s="5" t="str">
        <f t="shared" si="43"/>
        <v>Met</v>
      </c>
      <c r="L931" s="7" t="str">
        <f t="shared" si="44"/>
        <v>Jul</v>
      </c>
    </row>
    <row r="932" spans="1:12" x14ac:dyDescent="0.3">
      <c r="A932" s="4" t="s">
        <v>1178</v>
      </c>
      <c r="B932" s="13" t="s">
        <v>13</v>
      </c>
      <c r="C932" s="13" t="s">
        <v>58</v>
      </c>
      <c r="D932" s="13" t="s">
        <v>35</v>
      </c>
      <c r="E932" s="13" t="s">
        <v>390</v>
      </c>
      <c r="F932" s="13" t="s">
        <v>37</v>
      </c>
      <c r="G932" s="13" t="s">
        <v>25</v>
      </c>
      <c r="H932" s="7">
        <v>45487</v>
      </c>
      <c r="I932" s="7">
        <v>45487</v>
      </c>
      <c r="J932" s="5">
        <f t="shared" si="42"/>
        <v>0</v>
      </c>
      <c r="K932" s="5" t="str">
        <f t="shared" si="43"/>
        <v>Met</v>
      </c>
      <c r="L932" s="7" t="str">
        <f t="shared" si="44"/>
        <v>Jul</v>
      </c>
    </row>
    <row r="933" spans="1:12" x14ac:dyDescent="0.3">
      <c r="A933" s="8" t="s">
        <v>1179</v>
      </c>
      <c r="B933" s="12" t="s">
        <v>39</v>
      </c>
      <c r="C933" s="12" t="s">
        <v>96</v>
      </c>
      <c r="D933" s="12" t="s">
        <v>148</v>
      </c>
      <c r="E933" s="12" t="s">
        <v>392</v>
      </c>
      <c r="F933" s="12" t="s">
        <v>24</v>
      </c>
      <c r="G933" s="12" t="s">
        <v>31</v>
      </c>
      <c r="H933" s="11">
        <v>45654</v>
      </c>
      <c r="I933" s="10">
        <v>45654</v>
      </c>
      <c r="J933" s="5">
        <f t="shared" si="42"/>
        <v>0</v>
      </c>
      <c r="K933" s="5" t="str">
        <f t="shared" si="43"/>
        <v>Met</v>
      </c>
      <c r="L933" s="7" t="str">
        <f t="shared" si="44"/>
        <v>Dec</v>
      </c>
    </row>
    <row r="934" spans="1:12" x14ac:dyDescent="0.3">
      <c r="A934" s="4" t="s">
        <v>1180</v>
      </c>
      <c r="B934" s="13" t="s">
        <v>39</v>
      </c>
      <c r="C934" s="13" t="s">
        <v>40</v>
      </c>
      <c r="D934" s="13" t="s">
        <v>66</v>
      </c>
      <c r="E934" s="13" t="s">
        <v>394</v>
      </c>
      <c r="F934" s="13" t="s">
        <v>24</v>
      </c>
      <c r="G934" s="13" t="s">
        <v>25</v>
      </c>
      <c r="H934" s="7">
        <v>45634</v>
      </c>
      <c r="I934" s="6">
        <v>45634</v>
      </c>
      <c r="J934" s="5">
        <f t="shared" si="42"/>
        <v>0</v>
      </c>
      <c r="K934" s="5" t="str">
        <f t="shared" si="43"/>
        <v>Met</v>
      </c>
      <c r="L934" s="7" t="str">
        <f t="shared" si="44"/>
        <v>Dec</v>
      </c>
    </row>
    <row r="935" spans="1:12" x14ac:dyDescent="0.3">
      <c r="A935" s="8" t="s">
        <v>1181</v>
      </c>
      <c r="B935" s="9" t="s">
        <v>13</v>
      </c>
      <c r="C935" s="12" t="s">
        <v>14</v>
      </c>
      <c r="D935" s="9" t="s">
        <v>22</v>
      </c>
      <c r="E935" s="12" t="s">
        <v>396</v>
      </c>
      <c r="F935" s="12" t="s">
        <v>17</v>
      </c>
      <c r="G935" s="12" t="s">
        <v>31</v>
      </c>
      <c r="H935" s="11">
        <v>45626</v>
      </c>
      <c r="I935" s="10">
        <v>45626</v>
      </c>
      <c r="J935" s="5">
        <f t="shared" si="42"/>
        <v>0</v>
      </c>
      <c r="K935" s="5" t="str">
        <f t="shared" si="43"/>
        <v>Met</v>
      </c>
      <c r="L935" s="7" t="str">
        <f t="shared" si="44"/>
        <v>Nov</v>
      </c>
    </row>
    <row r="936" spans="1:12" x14ac:dyDescent="0.3">
      <c r="A936" s="4" t="s">
        <v>1182</v>
      </c>
      <c r="B936" s="13" t="s">
        <v>20</v>
      </c>
      <c r="C936" s="13" t="s">
        <v>76</v>
      </c>
      <c r="D936" s="13" t="s">
        <v>66</v>
      </c>
      <c r="E936" s="13" t="s">
        <v>398</v>
      </c>
      <c r="F936" s="13" t="s">
        <v>37</v>
      </c>
      <c r="G936" s="13" t="s">
        <v>45</v>
      </c>
      <c r="H936" s="6">
        <v>45565</v>
      </c>
      <c r="I936" s="6">
        <f>[1]!Table1[[#This Row],[Open Date]]</f>
        <v>45565</v>
      </c>
      <c r="J936" s="5">
        <f t="shared" si="42"/>
        <v>0</v>
      </c>
      <c r="K936" s="5" t="str">
        <f t="shared" si="43"/>
        <v>Met</v>
      </c>
      <c r="L936" s="7" t="str">
        <f t="shared" si="44"/>
        <v>Sep</v>
      </c>
    </row>
    <row r="937" spans="1:12" x14ac:dyDescent="0.3">
      <c r="A937" s="8" t="s">
        <v>1183</v>
      </c>
      <c r="B937" s="12" t="s">
        <v>13</v>
      </c>
      <c r="C937" s="12" t="s">
        <v>61</v>
      </c>
      <c r="D937" s="12" t="s">
        <v>35</v>
      </c>
      <c r="E937" s="12" t="s">
        <v>400</v>
      </c>
      <c r="F937" s="12" t="s">
        <v>24</v>
      </c>
      <c r="G937" s="12" t="s">
        <v>45</v>
      </c>
      <c r="H937" s="11">
        <v>45618</v>
      </c>
      <c r="I937" s="10">
        <v>45618</v>
      </c>
      <c r="J937" s="5">
        <f t="shared" si="42"/>
        <v>0</v>
      </c>
      <c r="K937" s="5" t="str">
        <f t="shared" si="43"/>
        <v>Met</v>
      </c>
      <c r="L937" s="7" t="str">
        <f t="shared" si="44"/>
        <v>Nov</v>
      </c>
    </row>
    <row r="938" spans="1:12" x14ac:dyDescent="0.3">
      <c r="A938" s="4" t="s">
        <v>1184</v>
      </c>
      <c r="B938" s="13" t="s">
        <v>39</v>
      </c>
      <c r="C938" s="13" t="s">
        <v>99</v>
      </c>
      <c r="D938" s="13" t="s">
        <v>148</v>
      </c>
      <c r="E938" s="13" t="s">
        <v>402</v>
      </c>
      <c r="F938" s="13" t="s">
        <v>37</v>
      </c>
      <c r="G938" s="5" t="s">
        <v>45</v>
      </c>
      <c r="H938" s="7">
        <v>45510</v>
      </c>
      <c r="I938" s="7">
        <v>45511</v>
      </c>
      <c r="J938" s="5">
        <f t="shared" si="42"/>
        <v>1</v>
      </c>
      <c r="K938" s="5" t="str">
        <f t="shared" si="43"/>
        <v>Not Met</v>
      </c>
      <c r="L938" s="7" t="str">
        <f t="shared" si="44"/>
        <v>Aug</v>
      </c>
    </row>
    <row r="939" spans="1:12" x14ac:dyDescent="0.3">
      <c r="A939" s="8" t="s">
        <v>1185</v>
      </c>
      <c r="B939" s="12" t="s">
        <v>20</v>
      </c>
      <c r="C939" s="12" t="s">
        <v>93</v>
      </c>
      <c r="D939" s="12" t="s">
        <v>35</v>
      </c>
      <c r="E939" s="12" t="s">
        <v>404</v>
      </c>
      <c r="F939" s="12" t="s">
        <v>24</v>
      </c>
      <c r="G939" s="12" t="s">
        <v>18</v>
      </c>
      <c r="H939" s="11">
        <v>45507</v>
      </c>
      <c r="I939" s="11">
        <v>45507</v>
      </c>
      <c r="J939" s="5">
        <f t="shared" si="42"/>
        <v>0</v>
      </c>
      <c r="K939" s="5" t="str">
        <f t="shared" si="43"/>
        <v>Met</v>
      </c>
      <c r="L939" s="7" t="str">
        <f t="shared" si="44"/>
        <v>Aug</v>
      </c>
    </row>
    <row r="940" spans="1:12" x14ac:dyDescent="0.3">
      <c r="A940" s="4" t="s">
        <v>1186</v>
      </c>
      <c r="B940" s="13" t="s">
        <v>27</v>
      </c>
      <c r="C940" s="13" t="s">
        <v>28</v>
      </c>
      <c r="D940" s="13" t="s">
        <v>35</v>
      </c>
      <c r="E940" s="13" t="s">
        <v>406</v>
      </c>
      <c r="F940" s="13" t="s">
        <v>37</v>
      </c>
      <c r="G940" s="13" t="s">
        <v>18</v>
      </c>
      <c r="H940" s="7">
        <v>45585</v>
      </c>
      <c r="I940" s="7">
        <v>45585</v>
      </c>
      <c r="J940" s="5">
        <f t="shared" si="42"/>
        <v>0</v>
      </c>
      <c r="K940" s="5" t="str">
        <f t="shared" si="43"/>
        <v>Met</v>
      </c>
      <c r="L940" s="7" t="str">
        <f t="shared" si="44"/>
        <v>Oct</v>
      </c>
    </row>
    <row r="941" spans="1:12" x14ac:dyDescent="0.3">
      <c r="A941" s="8" t="s">
        <v>1187</v>
      </c>
      <c r="B941" s="12" t="s">
        <v>27</v>
      </c>
      <c r="C941" s="12" t="s">
        <v>28</v>
      </c>
      <c r="D941" s="12" t="s">
        <v>22</v>
      </c>
      <c r="E941" s="12" t="s">
        <v>408</v>
      </c>
      <c r="F941" s="12" t="s">
        <v>37</v>
      </c>
      <c r="G941" s="12" t="s">
        <v>25</v>
      </c>
      <c r="H941" s="11">
        <v>45615</v>
      </c>
      <c r="I941" s="10">
        <v>45615</v>
      </c>
      <c r="J941" s="5">
        <f t="shared" si="42"/>
        <v>0</v>
      </c>
      <c r="K941" s="5" t="str">
        <f t="shared" si="43"/>
        <v>Met</v>
      </c>
      <c r="L941" s="7" t="str">
        <f t="shared" si="44"/>
        <v>Nov</v>
      </c>
    </row>
    <row r="942" spans="1:12" x14ac:dyDescent="0.3">
      <c r="A942" s="4" t="s">
        <v>1188</v>
      </c>
      <c r="B942" s="13" t="s">
        <v>27</v>
      </c>
      <c r="C942" s="13" t="s">
        <v>47</v>
      </c>
      <c r="D942" s="13" t="s">
        <v>79</v>
      </c>
      <c r="E942" s="13" t="s">
        <v>410</v>
      </c>
      <c r="F942" s="13" t="s">
        <v>24</v>
      </c>
      <c r="G942" s="13" t="s">
        <v>45</v>
      </c>
      <c r="H942" s="7">
        <v>45518</v>
      </c>
      <c r="I942" s="7">
        <v>45518</v>
      </c>
      <c r="J942" s="5">
        <f t="shared" si="42"/>
        <v>0</v>
      </c>
      <c r="K942" s="5" t="str">
        <f t="shared" si="43"/>
        <v>Met</v>
      </c>
      <c r="L942" s="7" t="str">
        <f t="shared" si="44"/>
        <v>Aug</v>
      </c>
    </row>
    <row r="943" spans="1:12" x14ac:dyDescent="0.3">
      <c r="A943" s="8" t="s">
        <v>1189</v>
      </c>
      <c r="B943" s="12" t="s">
        <v>39</v>
      </c>
      <c r="C943" s="12" t="s">
        <v>40</v>
      </c>
      <c r="D943" s="12" t="s">
        <v>35</v>
      </c>
      <c r="E943" s="12" t="s">
        <v>412</v>
      </c>
      <c r="F943" s="12" t="s">
        <v>37</v>
      </c>
      <c r="G943" s="12" t="s">
        <v>18</v>
      </c>
      <c r="H943" s="11">
        <v>45474</v>
      </c>
      <c r="I943" s="11">
        <v>45474</v>
      </c>
      <c r="J943" s="5">
        <f t="shared" si="42"/>
        <v>0</v>
      </c>
      <c r="K943" s="5" t="str">
        <f t="shared" si="43"/>
        <v>Met</v>
      </c>
      <c r="L943" s="7" t="str">
        <f t="shared" si="44"/>
        <v>Jul</v>
      </c>
    </row>
    <row r="944" spans="1:12" x14ac:dyDescent="0.3">
      <c r="A944" s="4" t="s">
        <v>1190</v>
      </c>
      <c r="B944" s="13" t="s">
        <v>27</v>
      </c>
      <c r="C944" s="13" t="s">
        <v>153</v>
      </c>
      <c r="D944" s="13" t="s">
        <v>86</v>
      </c>
      <c r="E944" s="13" t="s">
        <v>414</v>
      </c>
      <c r="F944" s="13" t="s">
        <v>17</v>
      </c>
      <c r="G944" s="13" t="s">
        <v>18</v>
      </c>
      <c r="H944" s="7">
        <v>45628</v>
      </c>
      <c r="I944" s="6">
        <v>45628</v>
      </c>
      <c r="J944" s="5">
        <f t="shared" si="42"/>
        <v>0</v>
      </c>
      <c r="K944" s="5" t="str">
        <f t="shared" si="43"/>
        <v>Met</v>
      </c>
      <c r="L944" s="7" t="str">
        <f t="shared" si="44"/>
        <v>Dec</v>
      </c>
    </row>
    <row r="945" spans="1:12" x14ac:dyDescent="0.3">
      <c r="A945" s="8" t="s">
        <v>1191</v>
      </c>
      <c r="B945" s="12" t="s">
        <v>33</v>
      </c>
      <c r="C945" s="12" t="s">
        <v>55</v>
      </c>
      <c r="D945" s="12" t="s">
        <v>66</v>
      </c>
      <c r="E945" s="12" t="s">
        <v>416</v>
      </c>
      <c r="F945" s="12" t="s">
        <v>37</v>
      </c>
      <c r="G945" s="12" t="s">
        <v>31</v>
      </c>
      <c r="H945" s="11">
        <v>45522</v>
      </c>
      <c r="I945" s="11">
        <v>45522</v>
      </c>
      <c r="J945" s="5">
        <f t="shared" si="42"/>
        <v>0</v>
      </c>
      <c r="K945" s="5" t="str">
        <f t="shared" si="43"/>
        <v>Met</v>
      </c>
      <c r="L945" s="7" t="str">
        <f t="shared" si="44"/>
        <v>Aug</v>
      </c>
    </row>
    <row r="946" spans="1:12" x14ac:dyDescent="0.3">
      <c r="A946" s="4" t="s">
        <v>1192</v>
      </c>
      <c r="B946" s="13" t="s">
        <v>33</v>
      </c>
      <c r="C946" s="13" t="s">
        <v>34</v>
      </c>
      <c r="D946" s="13" t="s">
        <v>35</v>
      </c>
      <c r="E946" s="13" t="s">
        <v>418</v>
      </c>
      <c r="F946" s="13" t="s">
        <v>37</v>
      </c>
      <c r="G946" s="13" t="s">
        <v>42</v>
      </c>
      <c r="H946" s="7">
        <v>45525</v>
      </c>
      <c r="I946" s="7">
        <v>45525</v>
      </c>
      <c r="J946" s="5">
        <f t="shared" si="42"/>
        <v>0</v>
      </c>
      <c r="K946" s="5" t="str">
        <f t="shared" si="43"/>
        <v>Met</v>
      </c>
      <c r="L946" s="7" t="str">
        <f t="shared" si="44"/>
        <v>Aug</v>
      </c>
    </row>
    <row r="947" spans="1:12" x14ac:dyDescent="0.3">
      <c r="A947" s="8" t="s">
        <v>1193</v>
      </c>
      <c r="B947" s="9" t="s">
        <v>13</v>
      </c>
      <c r="C947" s="12" t="s">
        <v>58</v>
      </c>
      <c r="D947" s="12" t="s">
        <v>15</v>
      </c>
      <c r="E947" s="12" t="s">
        <v>420</v>
      </c>
      <c r="F947" s="12" t="s">
        <v>17</v>
      </c>
      <c r="G947" s="12" t="s">
        <v>31</v>
      </c>
      <c r="H947" s="11">
        <v>45564</v>
      </c>
      <c r="I947" s="10">
        <v>45564</v>
      </c>
      <c r="J947" s="5">
        <f t="shared" si="42"/>
        <v>0</v>
      </c>
      <c r="K947" s="5" t="str">
        <f t="shared" si="43"/>
        <v>Met</v>
      </c>
      <c r="L947" s="7" t="str">
        <f t="shared" si="44"/>
        <v>Sep</v>
      </c>
    </row>
    <row r="948" spans="1:12" x14ac:dyDescent="0.3">
      <c r="A948" s="4" t="s">
        <v>1194</v>
      </c>
      <c r="B948" s="13" t="s">
        <v>20</v>
      </c>
      <c r="C948" s="13" t="s">
        <v>21</v>
      </c>
      <c r="D948" s="13" t="s">
        <v>22</v>
      </c>
      <c r="E948" s="13" t="s">
        <v>422</v>
      </c>
      <c r="F948" s="13" t="s">
        <v>24</v>
      </c>
      <c r="G948" s="13" t="s">
        <v>18</v>
      </c>
      <c r="H948" s="6">
        <v>45565</v>
      </c>
      <c r="I948" s="6">
        <f>[1]!Table1[[#This Row],[Open Date]]</f>
        <v>45565</v>
      </c>
      <c r="J948" s="5">
        <f t="shared" si="42"/>
        <v>0</v>
      </c>
      <c r="K948" s="5" t="str">
        <f t="shared" si="43"/>
        <v>Met</v>
      </c>
      <c r="L948" s="7" t="str">
        <f t="shared" si="44"/>
        <v>Sep</v>
      </c>
    </row>
    <row r="949" spans="1:12" x14ac:dyDescent="0.3">
      <c r="A949" s="8" t="s">
        <v>1195</v>
      </c>
      <c r="B949" s="12" t="s">
        <v>33</v>
      </c>
      <c r="C949" s="12" t="s">
        <v>55</v>
      </c>
      <c r="D949" s="12" t="s">
        <v>22</v>
      </c>
      <c r="E949" s="12" t="s">
        <v>424</v>
      </c>
      <c r="F949" s="12" t="s">
        <v>37</v>
      </c>
      <c r="G949" s="12" t="s">
        <v>53</v>
      </c>
      <c r="H949" s="11">
        <v>45633</v>
      </c>
      <c r="I949" s="10">
        <v>45633</v>
      </c>
      <c r="J949" s="5">
        <f t="shared" si="42"/>
        <v>0</v>
      </c>
      <c r="K949" s="5" t="str">
        <f t="shared" si="43"/>
        <v>Met</v>
      </c>
      <c r="L949" s="7" t="str">
        <f t="shared" si="44"/>
        <v>Dec</v>
      </c>
    </row>
    <row r="950" spans="1:12" x14ac:dyDescent="0.3">
      <c r="A950" s="4" t="s">
        <v>1196</v>
      </c>
      <c r="B950" s="13" t="s">
        <v>13</v>
      </c>
      <c r="C950" s="13" t="s">
        <v>14</v>
      </c>
      <c r="D950" s="13" t="s">
        <v>35</v>
      </c>
      <c r="E950" s="13" t="s">
        <v>426</v>
      </c>
      <c r="F950" s="13" t="s">
        <v>24</v>
      </c>
      <c r="G950" s="13" t="s">
        <v>25</v>
      </c>
      <c r="H950" s="7">
        <v>45510</v>
      </c>
      <c r="I950" s="7">
        <v>45510</v>
      </c>
      <c r="J950" s="5">
        <f t="shared" si="42"/>
        <v>0</v>
      </c>
      <c r="K950" s="5" t="str">
        <f t="shared" si="43"/>
        <v>Met</v>
      </c>
      <c r="L950" s="7" t="str">
        <f t="shared" si="44"/>
        <v>Aug</v>
      </c>
    </row>
    <row r="951" spans="1:12" x14ac:dyDescent="0.3">
      <c r="A951" s="8" t="s">
        <v>1197</v>
      </c>
      <c r="B951" s="12" t="s">
        <v>27</v>
      </c>
      <c r="C951" s="12" t="s">
        <v>47</v>
      </c>
      <c r="D951" s="12" t="s">
        <v>66</v>
      </c>
      <c r="E951" s="12" t="s">
        <v>428</v>
      </c>
      <c r="F951" s="12" t="s">
        <v>37</v>
      </c>
      <c r="G951" s="12" t="s">
        <v>31</v>
      </c>
      <c r="H951" s="11">
        <v>45633</v>
      </c>
      <c r="I951" s="10">
        <v>45633</v>
      </c>
      <c r="J951" s="5">
        <f t="shared" si="42"/>
        <v>0</v>
      </c>
      <c r="K951" s="5" t="str">
        <f t="shared" si="43"/>
        <v>Met</v>
      </c>
      <c r="L951" s="7" t="str">
        <f t="shared" si="44"/>
        <v>Dec</v>
      </c>
    </row>
    <row r="952" spans="1:12" x14ac:dyDescent="0.3">
      <c r="A952" s="4" t="s">
        <v>1198</v>
      </c>
      <c r="B952" s="13" t="s">
        <v>27</v>
      </c>
      <c r="C952" s="13" t="s">
        <v>28</v>
      </c>
      <c r="D952" s="13" t="s">
        <v>35</v>
      </c>
      <c r="E952" s="13" t="s">
        <v>430</v>
      </c>
      <c r="F952" s="13" t="s">
        <v>24</v>
      </c>
      <c r="G952" s="13" t="s">
        <v>45</v>
      </c>
      <c r="H952" s="7">
        <v>45474</v>
      </c>
      <c r="I952" s="7">
        <v>45474</v>
      </c>
      <c r="J952" s="5">
        <f t="shared" si="42"/>
        <v>0</v>
      </c>
      <c r="K952" s="5" t="str">
        <f t="shared" si="43"/>
        <v>Met</v>
      </c>
      <c r="L952" s="7" t="str">
        <f t="shared" si="44"/>
        <v>Jul</v>
      </c>
    </row>
    <row r="953" spans="1:12" x14ac:dyDescent="0.3">
      <c r="A953" s="8" t="s">
        <v>1199</v>
      </c>
      <c r="B953" s="12" t="s">
        <v>33</v>
      </c>
      <c r="C953" s="12" t="s">
        <v>69</v>
      </c>
      <c r="D953" s="12" t="s">
        <v>15</v>
      </c>
      <c r="E953" s="12" t="s">
        <v>432</v>
      </c>
      <c r="F953" s="12" t="s">
        <v>24</v>
      </c>
      <c r="G953" s="12" t="s">
        <v>45</v>
      </c>
      <c r="H953" s="11">
        <v>45538</v>
      </c>
      <c r="I953" s="11">
        <v>45538</v>
      </c>
      <c r="J953" s="5">
        <f t="shared" si="42"/>
        <v>0</v>
      </c>
      <c r="K953" s="5" t="str">
        <f t="shared" si="43"/>
        <v>Met</v>
      </c>
      <c r="L953" s="7" t="str">
        <f t="shared" si="44"/>
        <v>Sep</v>
      </c>
    </row>
    <row r="954" spans="1:12" x14ac:dyDescent="0.3">
      <c r="A954" s="4" t="s">
        <v>1200</v>
      </c>
      <c r="B954" s="13" t="s">
        <v>27</v>
      </c>
      <c r="C954" s="13" t="s">
        <v>28</v>
      </c>
      <c r="D954" s="13" t="s">
        <v>35</v>
      </c>
      <c r="E954" s="13" t="s">
        <v>434</v>
      </c>
      <c r="F954" s="13" t="s">
        <v>17</v>
      </c>
      <c r="G954" s="13" t="s">
        <v>42</v>
      </c>
      <c r="H954" s="7">
        <v>45492</v>
      </c>
      <c r="I954" s="7">
        <v>45492</v>
      </c>
      <c r="J954" s="5">
        <f t="shared" si="42"/>
        <v>0</v>
      </c>
      <c r="K954" s="5" t="str">
        <f t="shared" si="43"/>
        <v>Met</v>
      </c>
      <c r="L954" s="7" t="str">
        <f t="shared" si="44"/>
        <v>Jul</v>
      </c>
    </row>
    <row r="955" spans="1:12" x14ac:dyDescent="0.3">
      <c r="A955" s="8" t="s">
        <v>1201</v>
      </c>
      <c r="B955" s="12" t="s">
        <v>20</v>
      </c>
      <c r="C955" s="12" t="s">
        <v>76</v>
      </c>
      <c r="D955" s="12" t="s">
        <v>86</v>
      </c>
      <c r="E955" s="12" t="s">
        <v>436</v>
      </c>
      <c r="F955" s="12" t="s">
        <v>24</v>
      </c>
      <c r="G955" s="12" t="s">
        <v>25</v>
      </c>
      <c r="H955" s="11">
        <v>45590</v>
      </c>
      <c r="I955" s="11">
        <v>45590</v>
      </c>
      <c r="J955" s="5">
        <f t="shared" si="42"/>
        <v>0</v>
      </c>
      <c r="K955" s="5" t="str">
        <f t="shared" si="43"/>
        <v>Met</v>
      </c>
      <c r="L955" s="7" t="str">
        <f t="shared" si="44"/>
        <v>Oct</v>
      </c>
    </row>
    <row r="956" spans="1:12" x14ac:dyDescent="0.3">
      <c r="A956" s="4" t="s">
        <v>1202</v>
      </c>
      <c r="B956" s="13" t="s">
        <v>20</v>
      </c>
      <c r="C956" s="13" t="s">
        <v>21</v>
      </c>
      <c r="D956" s="13" t="s">
        <v>66</v>
      </c>
      <c r="E956" s="13" t="s">
        <v>438</v>
      </c>
      <c r="F956" s="13" t="s">
        <v>24</v>
      </c>
      <c r="G956" s="13" t="s">
        <v>42</v>
      </c>
      <c r="H956" s="7">
        <v>45628</v>
      </c>
      <c r="I956" s="6">
        <v>45628</v>
      </c>
      <c r="J956" s="5">
        <f t="shared" si="42"/>
        <v>0</v>
      </c>
      <c r="K956" s="5" t="str">
        <f t="shared" si="43"/>
        <v>Met</v>
      </c>
      <c r="L956" s="7" t="str">
        <f t="shared" si="44"/>
        <v>Dec</v>
      </c>
    </row>
    <row r="957" spans="1:12" x14ac:dyDescent="0.3">
      <c r="A957" s="8" t="s">
        <v>1203</v>
      </c>
      <c r="B957" s="12" t="s">
        <v>20</v>
      </c>
      <c r="C957" s="12" t="s">
        <v>76</v>
      </c>
      <c r="D957" s="12" t="s">
        <v>22</v>
      </c>
      <c r="E957" s="12" t="s">
        <v>440</v>
      </c>
      <c r="F957" s="12" t="s">
        <v>24</v>
      </c>
      <c r="G957" s="12" t="s">
        <v>18</v>
      </c>
      <c r="H957" s="11">
        <v>45599</v>
      </c>
      <c r="I957" s="10">
        <v>45599</v>
      </c>
      <c r="J957" s="5">
        <f t="shared" si="42"/>
        <v>0</v>
      </c>
      <c r="K957" s="5" t="str">
        <f t="shared" si="43"/>
        <v>Met</v>
      </c>
      <c r="L957" s="7" t="str">
        <f t="shared" si="44"/>
        <v>Nov</v>
      </c>
    </row>
    <row r="958" spans="1:12" x14ac:dyDescent="0.3">
      <c r="A958" s="4" t="s">
        <v>1204</v>
      </c>
      <c r="B958" s="13" t="s">
        <v>39</v>
      </c>
      <c r="C958" s="13" t="s">
        <v>40</v>
      </c>
      <c r="D958" s="13" t="s">
        <v>35</v>
      </c>
      <c r="E958" s="13" t="s">
        <v>442</v>
      </c>
      <c r="F958" s="13" t="s">
        <v>24</v>
      </c>
      <c r="G958" s="13" t="s">
        <v>18</v>
      </c>
      <c r="H958" s="7">
        <v>45642</v>
      </c>
      <c r="I958" s="6">
        <v>45642</v>
      </c>
      <c r="J958" s="5">
        <f t="shared" si="42"/>
        <v>0</v>
      </c>
      <c r="K958" s="5" t="str">
        <f t="shared" si="43"/>
        <v>Met</v>
      </c>
      <c r="L958" s="7" t="str">
        <f t="shared" si="44"/>
        <v>Dec</v>
      </c>
    </row>
    <row r="959" spans="1:12" x14ac:dyDescent="0.3">
      <c r="A959" s="8" t="s">
        <v>1205</v>
      </c>
      <c r="B959" s="12" t="s">
        <v>13</v>
      </c>
      <c r="C959" s="12" t="s">
        <v>61</v>
      </c>
      <c r="D959" s="12" t="s">
        <v>35</v>
      </c>
      <c r="E959" s="12" t="s">
        <v>220</v>
      </c>
      <c r="F959" s="12" t="s">
        <v>24</v>
      </c>
      <c r="G959" s="12" t="s">
        <v>18</v>
      </c>
      <c r="H959" s="11">
        <v>45622</v>
      </c>
      <c r="I959" s="10">
        <v>45622</v>
      </c>
      <c r="J959" s="5">
        <f t="shared" si="42"/>
        <v>0</v>
      </c>
      <c r="K959" s="5" t="str">
        <f t="shared" si="43"/>
        <v>Met</v>
      </c>
      <c r="L959" s="7" t="str">
        <f t="shared" si="44"/>
        <v>Nov</v>
      </c>
    </row>
    <row r="960" spans="1:12" x14ac:dyDescent="0.3">
      <c r="A960" s="4" t="s">
        <v>1206</v>
      </c>
      <c r="B960" s="13" t="s">
        <v>27</v>
      </c>
      <c r="C960" s="13" t="s">
        <v>153</v>
      </c>
      <c r="D960" s="13" t="s">
        <v>35</v>
      </c>
      <c r="E960" s="13" t="s">
        <v>222</v>
      </c>
      <c r="F960" s="13" t="s">
        <v>24</v>
      </c>
      <c r="G960" s="13" t="s">
        <v>25</v>
      </c>
      <c r="H960" s="7">
        <v>45592</v>
      </c>
      <c r="I960" s="6">
        <v>45592</v>
      </c>
      <c r="J960" s="5">
        <f t="shared" si="42"/>
        <v>0</v>
      </c>
      <c r="K960" s="5" t="str">
        <f t="shared" si="43"/>
        <v>Met</v>
      </c>
      <c r="L960" s="7" t="str">
        <f t="shared" si="44"/>
        <v>Oct</v>
      </c>
    </row>
    <row r="961" spans="1:12" x14ac:dyDescent="0.3">
      <c r="A961" s="8" t="s">
        <v>1207</v>
      </c>
      <c r="B961" s="12" t="s">
        <v>33</v>
      </c>
      <c r="C961" s="12" t="s">
        <v>69</v>
      </c>
      <c r="D961" s="12" t="s">
        <v>148</v>
      </c>
      <c r="E961" s="12" t="s">
        <v>224</v>
      </c>
      <c r="F961" s="12" t="s">
        <v>37</v>
      </c>
      <c r="G961" s="12" t="s">
        <v>45</v>
      </c>
      <c r="H961" s="11">
        <v>45605</v>
      </c>
      <c r="I961" s="10">
        <v>45605</v>
      </c>
      <c r="J961" s="5">
        <f t="shared" si="42"/>
        <v>0</v>
      </c>
      <c r="K961" s="5" t="str">
        <f t="shared" si="43"/>
        <v>Met</v>
      </c>
      <c r="L961" s="7" t="str">
        <f t="shared" si="44"/>
        <v>Nov</v>
      </c>
    </row>
    <row r="962" spans="1:12" x14ac:dyDescent="0.3">
      <c r="A962" s="4" t="s">
        <v>1208</v>
      </c>
      <c r="B962" s="13" t="s">
        <v>13</v>
      </c>
      <c r="C962" s="13" t="s">
        <v>14</v>
      </c>
      <c r="D962" s="13" t="s">
        <v>86</v>
      </c>
      <c r="E962" s="13" t="s">
        <v>226</v>
      </c>
      <c r="F962" s="13" t="s">
        <v>24</v>
      </c>
      <c r="G962" s="13" t="s">
        <v>42</v>
      </c>
      <c r="H962" s="7">
        <v>45542</v>
      </c>
      <c r="I962" s="6">
        <v>45542</v>
      </c>
      <c r="J962" s="5">
        <f t="shared" si="42"/>
        <v>0</v>
      </c>
      <c r="K962" s="5" t="str">
        <f t="shared" si="43"/>
        <v>Met</v>
      </c>
      <c r="L962" s="7" t="str">
        <f t="shared" si="44"/>
        <v>Sep</v>
      </c>
    </row>
    <row r="963" spans="1:12" x14ac:dyDescent="0.3">
      <c r="A963" s="8" t="s">
        <v>1209</v>
      </c>
      <c r="B963" s="12" t="s">
        <v>13</v>
      </c>
      <c r="C963" s="12" t="s">
        <v>61</v>
      </c>
      <c r="D963" s="12" t="s">
        <v>86</v>
      </c>
      <c r="E963" s="12" t="s">
        <v>228</v>
      </c>
      <c r="F963" s="12" t="s">
        <v>17</v>
      </c>
      <c r="G963" s="12" t="s">
        <v>42</v>
      </c>
      <c r="H963" s="11">
        <v>45584</v>
      </c>
      <c r="I963" s="11">
        <v>45584</v>
      </c>
      <c r="J963" s="5">
        <f t="shared" ref="J963:J1026" si="45">I963-H963</f>
        <v>0</v>
      </c>
      <c r="K963" s="5" t="str">
        <f t="shared" ref="K963:K1026" si="46">IF(J963&gt;= 1, "Not Met","Met")</f>
        <v>Met</v>
      </c>
      <c r="L963" s="7" t="str">
        <f t="shared" ref="L963:L1026" si="47">TEXT(H963,"MMM")</f>
        <v>Oct</v>
      </c>
    </row>
    <row r="964" spans="1:12" x14ac:dyDescent="0.3">
      <c r="A964" s="4" t="s">
        <v>1210</v>
      </c>
      <c r="B964" s="13" t="s">
        <v>39</v>
      </c>
      <c r="C964" s="13" t="s">
        <v>40</v>
      </c>
      <c r="D964" s="13" t="s">
        <v>148</v>
      </c>
      <c r="E964" s="13" t="s">
        <v>230</v>
      </c>
      <c r="F964" s="13" t="s">
        <v>24</v>
      </c>
      <c r="G964" s="13" t="s">
        <v>53</v>
      </c>
      <c r="H964" s="7">
        <v>45502</v>
      </c>
      <c r="I964" s="7">
        <v>45502</v>
      </c>
      <c r="J964" s="5">
        <f t="shared" si="45"/>
        <v>0</v>
      </c>
      <c r="K964" s="5" t="str">
        <f t="shared" si="46"/>
        <v>Met</v>
      </c>
      <c r="L964" s="7" t="str">
        <f t="shared" si="47"/>
        <v>Jul</v>
      </c>
    </row>
    <row r="965" spans="1:12" x14ac:dyDescent="0.3">
      <c r="A965" s="8" t="s">
        <v>1211</v>
      </c>
      <c r="B965" s="12" t="s">
        <v>13</v>
      </c>
      <c r="C965" s="12" t="s">
        <v>14</v>
      </c>
      <c r="D965" s="9" t="s">
        <v>35</v>
      </c>
      <c r="E965" s="12" t="s">
        <v>232</v>
      </c>
      <c r="F965" s="12" t="s">
        <v>24</v>
      </c>
      <c r="G965" s="12" t="s">
        <v>45</v>
      </c>
      <c r="H965" s="11">
        <v>45550</v>
      </c>
      <c r="I965" s="10">
        <v>45551</v>
      </c>
      <c r="J965" s="5">
        <f t="shared" si="45"/>
        <v>1</v>
      </c>
      <c r="K965" s="5" t="str">
        <f t="shared" si="46"/>
        <v>Not Met</v>
      </c>
      <c r="L965" s="7" t="str">
        <f t="shared" si="47"/>
        <v>Sep</v>
      </c>
    </row>
    <row r="966" spans="1:12" x14ac:dyDescent="0.3">
      <c r="A966" s="4" t="s">
        <v>1212</v>
      </c>
      <c r="B966" s="13" t="s">
        <v>27</v>
      </c>
      <c r="C966" s="13" t="s">
        <v>153</v>
      </c>
      <c r="D966" s="13" t="s">
        <v>35</v>
      </c>
      <c r="E966" s="13" t="s">
        <v>234</v>
      </c>
      <c r="F966" s="13" t="s">
        <v>37</v>
      </c>
      <c r="G966" s="13" t="s">
        <v>53</v>
      </c>
      <c r="H966" s="7">
        <v>45556</v>
      </c>
      <c r="I966" s="7">
        <v>45556</v>
      </c>
      <c r="J966" s="5">
        <f t="shared" si="45"/>
        <v>0</v>
      </c>
      <c r="K966" s="5" t="str">
        <f t="shared" si="46"/>
        <v>Met</v>
      </c>
      <c r="L966" s="7" t="str">
        <f t="shared" si="47"/>
        <v>Sep</v>
      </c>
    </row>
    <row r="967" spans="1:12" x14ac:dyDescent="0.3">
      <c r="A967" s="8" t="s">
        <v>1213</v>
      </c>
      <c r="B967" s="12" t="s">
        <v>20</v>
      </c>
      <c r="C967" s="12" t="s">
        <v>21</v>
      </c>
      <c r="D967" s="12" t="s">
        <v>86</v>
      </c>
      <c r="E967" s="12" t="s">
        <v>236</v>
      </c>
      <c r="F967" s="12" t="s">
        <v>37</v>
      </c>
      <c r="G967" s="12" t="s">
        <v>25</v>
      </c>
      <c r="H967" s="11">
        <v>45598</v>
      </c>
      <c r="I967" s="10">
        <v>45598</v>
      </c>
      <c r="J967" s="5">
        <f t="shared" si="45"/>
        <v>0</v>
      </c>
      <c r="K967" s="5" t="str">
        <f t="shared" si="46"/>
        <v>Met</v>
      </c>
      <c r="L967" s="7" t="str">
        <f t="shared" si="47"/>
        <v>Nov</v>
      </c>
    </row>
    <row r="968" spans="1:12" x14ac:dyDescent="0.3">
      <c r="A968" s="4" t="s">
        <v>1214</v>
      </c>
      <c r="B968" s="13" t="s">
        <v>33</v>
      </c>
      <c r="C968" s="13" t="s">
        <v>55</v>
      </c>
      <c r="D968" s="13" t="s">
        <v>79</v>
      </c>
      <c r="E968" s="13" t="s">
        <v>238</v>
      </c>
      <c r="F968" s="13" t="s">
        <v>24</v>
      </c>
      <c r="G968" s="13" t="s">
        <v>31</v>
      </c>
      <c r="H968" s="7">
        <v>45483</v>
      </c>
      <c r="I968" s="7">
        <v>45483</v>
      </c>
      <c r="J968" s="5">
        <f t="shared" si="45"/>
        <v>0</v>
      </c>
      <c r="K968" s="5" t="str">
        <f t="shared" si="46"/>
        <v>Met</v>
      </c>
      <c r="L968" s="7" t="str">
        <f t="shared" si="47"/>
        <v>Jul</v>
      </c>
    </row>
    <row r="969" spans="1:12" x14ac:dyDescent="0.3">
      <c r="A969" s="8" t="s">
        <v>1215</v>
      </c>
      <c r="B969" s="9" t="s">
        <v>13</v>
      </c>
      <c r="C969" s="12" t="s">
        <v>14</v>
      </c>
      <c r="D969" s="12" t="s">
        <v>22</v>
      </c>
      <c r="E969" s="12" t="s">
        <v>240</v>
      </c>
      <c r="F969" s="12" t="s">
        <v>17</v>
      </c>
      <c r="G969" s="12" t="s">
        <v>18</v>
      </c>
      <c r="H969" s="11">
        <v>45582</v>
      </c>
      <c r="I969" s="11">
        <v>45582</v>
      </c>
      <c r="J969" s="5">
        <f t="shared" si="45"/>
        <v>0</v>
      </c>
      <c r="K969" s="5" t="str">
        <f t="shared" si="46"/>
        <v>Met</v>
      </c>
      <c r="L969" s="7" t="str">
        <f t="shared" si="47"/>
        <v>Oct</v>
      </c>
    </row>
    <row r="970" spans="1:12" x14ac:dyDescent="0.3">
      <c r="A970" s="4" t="s">
        <v>1216</v>
      </c>
      <c r="B970" s="13" t="s">
        <v>20</v>
      </c>
      <c r="C970" s="13" t="s">
        <v>21</v>
      </c>
      <c r="D970" s="13" t="s">
        <v>66</v>
      </c>
      <c r="E970" s="13" t="s">
        <v>242</v>
      </c>
      <c r="F970" s="13" t="s">
        <v>24</v>
      </c>
      <c r="G970" s="13" t="s">
        <v>45</v>
      </c>
      <c r="H970" s="7">
        <v>45557</v>
      </c>
      <c r="I970" s="6">
        <v>45558</v>
      </c>
      <c r="J970" s="5">
        <f t="shared" si="45"/>
        <v>1</v>
      </c>
      <c r="K970" s="5" t="str">
        <f t="shared" si="46"/>
        <v>Not Met</v>
      </c>
      <c r="L970" s="7" t="str">
        <f t="shared" si="47"/>
        <v>Sep</v>
      </c>
    </row>
    <row r="971" spans="1:12" x14ac:dyDescent="0.3">
      <c r="A971" s="8" t="s">
        <v>1217</v>
      </c>
      <c r="B971" s="12" t="s">
        <v>27</v>
      </c>
      <c r="C971" s="12" t="s">
        <v>28</v>
      </c>
      <c r="D971" s="12" t="s">
        <v>86</v>
      </c>
      <c r="E971" s="12" t="s">
        <v>244</v>
      </c>
      <c r="F971" s="12" t="s">
        <v>37</v>
      </c>
      <c r="G971" s="12" t="s">
        <v>18</v>
      </c>
      <c r="H971" s="11">
        <v>45540</v>
      </c>
      <c r="I971" s="11">
        <v>45540</v>
      </c>
      <c r="J971" s="5">
        <f t="shared" si="45"/>
        <v>0</v>
      </c>
      <c r="K971" s="5" t="str">
        <f t="shared" si="46"/>
        <v>Met</v>
      </c>
      <c r="L971" s="7" t="str">
        <f t="shared" si="47"/>
        <v>Sep</v>
      </c>
    </row>
    <row r="972" spans="1:12" x14ac:dyDescent="0.3">
      <c r="A972" s="4" t="s">
        <v>1218</v>
      </c>
      <c r="B972" s="13" t="s">
        <v>20</v>
      </c>
      <c r="C972" s="13" t="s">
        <v>93</v>
      </c>
      <c r="D972" s="13" t="s">
        <v>66</v>
      </c>
      <c r="E972" s="13" t="s">
        <v>246</v>
      </c>
      <c r="F972" s="13" t="s">
        <v>24</v>
      </c>
      <c r="G972" s="13" t="s">
        <v>31</v>
      </c>
      <c r="H972" s="7">
        <v>45503</v>
      </c>
      <c r="I972" s="7">
        <v>45503</v>
      </c>
      <c r="J972" s="5">
        <f t="shared" si="45"/>
        <v>0</v>
      </c>
      <c r="K972" s="5" t="str">
        <f t="shared" si="46"/>
        <v>Met</v>
      </c>
      <c r="L972" s="7" t="str">
        <f t="shared" si="47"/>
        <v>Jul</v>
      </c>
    </row>
    <row r="973" spans="1:12" x14ac:dyDescent="0.3">
      <c r="A973" s="8" t="s">
        <v>1219</v>
      </c>
      <c r="B973" s="12" t="s">
        <v>39</v>
      </c>
      <c r="C973" s="12" t="s">
        <v>96</v>
      </c>
      <c r="D973" s="12" t="s">
        <v>35</v>
      </c>
      <c r="E973" s="12" t="s">
        <v>248</v>
      </c>
      <c r="F973" s="12" t="s">
        <v>37</v>
      </c>
      <c r="G973" s="12" t="s">
        <v>53</v>
      </c>
      <c r="H973" s="11">
        <v>45485</v>
      </c>
      <c r="I973" s="11">
        <v>45485</v>
      </c>
      <c r="J973" s="5">
        <f t="shared" si="45"/>
        <v>0</v>
      </c>
      <c r="K973" s="5" t="str">
        <f t="shared" si="46"/>
        <v>Met</v>
      </c>
      <c r="L973" s="7" t="str">
        <f t="shared" si="47"/>
        <v>Jul</v>
      </c>
    </row>
    <row r="974" spans="1:12" x14ac:dyDescent="0.3">
      <c r="A974" s="4" t="s">
        <v>1220</v>
      </c>
      <c r="B974" s="13" t="s">
        <v>39</v>
      </c>
      <c r="C974" s="13" t="s">
        <v>99</v>
      </c>
      <c r="D974" s="13" t="s">
        <v>86</v>
      </c>
      <c r="E974" s="13" t="s">
        <v>250</v>
      </c>
      <c r="F974" s="13" t="s">
        <v>24</v>
      </c>
      <c r="G974" s="13" t="s">
        <v>45</v>
      </c>
      <c r="H974" s="7">
        <v>45647</v>
      </c>
      <c r="I974" s="6">
        <v>45647</v>
      </c>
      <c r="J974" s="5">
        <f t="shared" si="45"/>
        <v>0</v>
      </c>
      <c r="K974" s="5" t="str">
        <f t="shared" si="46"/>
        <v>Met</v>
      </c>
      <c r="L974" s="7" t="str">
        <f t="shared" si="47"/>
        <v>Dec</v>
      </c>
    </row>
    <row r="975" spans="1:12" x14ac:dyDescent="0.3">
      <c r="A975" s="8" t="s">
        <v>1221</v>
      </c>
      <c r="B975" s="12" t="s">
        <v>27</v>
      </c>
      <c r="C975" s="12" t="s">
        <v>47</v>
      </c>
      <c r="D975" s="12" t="s">
        <v>86</v>
      </c>
      <c r="E975" s="12" t="s">
        <v>252</v>
      </c>
      <c r="F975" s="12" t="s">
        <v>37</v>
      </c>
      <c r="G975" s="12" t="s">
        <v>25</v>
      </c>
      <c r="H975" s="11">
        <v>45599</v>
      </c>
      <c r="I975" s="10">
        <v>45599</v>
      </c>
      <c r="J975" s="5">
        <f t="shared" si="45"/>
        <v>0</v>
      </c>
      <c r="K975" s="5" t="str">
        <f t="shared" si="46"/>
        <v>Met</v>
      </c>
      <c r="L975" s="7" t="str">
        <f t="shared" si="47"/>
        <v>Nov</v>
      </c>
    </row>
    <row r="976" spans="1:12" x14ac:dyDescent="0.3">
      <c r="A976" s="4" t="s">
        <v>1222</v>
      </c>
      <c r="B976" s="13" t="s">
        <v>39</v>
      </c>
      <c r="C976" s="13" t="s">
        <v>99</v>
      </c>
      <c r="D976" s="13" t="s">
        <v>29</v>
      </c>
      <c r="E976" s="13" t="s">
        <v>254</v>
      </c>
      <c r="F976" s="13" t="s">
        <v>37</v>
      </c>
      <c r="G976" s="13" t="s">
        <v>53</v>
      </c>
      <c r="H976" s="7">
        <v>45635</v>
      </c>
      <c r="I976" s="6">
        <v>45635</v>
      </c>
      <c r="J976" s="5">
        <f t="shared" si="45"/>
        <v>0</v>
      </c>
      <c r="K976" s="5" t="str">
        <f t="shared" si="46"/>
        <v>Met</v>
      </c>
      <c r="L976" s="7" t="str">
        <f t="shared" si="47"/>
        <v>Dec</v>
      </c>
    </row>
    <row r="977" spans="1:12" x14ac:dyDescent="0.3">
      <c r="A977" s="8" t="s">
        <v>1223</v>
      </c>
      <c r="B977" s="12" t="s">
        <v>39</v>
      </c>
      <c r="C977" s="12" t="s">
        <v>40</v>
      </c>
      <c r="D977" s="12" t="s">
        <v>22</v>
      </c>
      <c r="E977" s="12" t="s">
        <v>256</v>
      </c>
      <c r="F977" s="12" t="s">
        <v>24</v>
      </c>
      <c r="G977" s="12" t="s">
        <v>53</v>
      </c>
      <c r="H977" s="11">
        <v>45644</v>
      </c>
      <c r="I977" s="10">
        <v>45644</v>
      </c>
      <c r="J977" s="5">
        <f t="shared" si="45"/>
        <v>0</v>
      </c>
      <c r="K977" s="5" t="str">
        <f t="shared" si="46"/>
        <v>Met</v>
      </c>
      <c r="L977" s="7" t="str">
        <f t="shared" si="47"/>
        <v>Dec</v>
      </c>
    </row>
    <row r="978" spans="1:12" x14ac:dyDescent="0.3">
      <c r="A978" s="4" t="s">
        <v>1224</v>
      </c>
      <c r="B978" s="13" t="s">
        <v>27</v>
      </c>
      <c r="C978" s="13" t="s">
        <v>47</v>
      </c>
      <c r="D978" s="13" t="s">
        <v>148</v>
      </c>
      <c r="E978" s="13" t="s">
        <v>258</v>
      </c>
      <c r="F978" s="13" t="s">
        <v>17</v>
      </c>
      <c r="G978" s="13" t="s">
        <v>42</v>
      </c>
      <c r="H978" s="7">
        <v>45595</v>
      </c>
      <c r="I978" s="7">
        <v>45595</v>
      </c>
      <c r="J978" s="5">
        <f t="shared" si="45"/>
        <v>0</v>
      </c>
      <c r="K978" s="5" t="str">
        <f t="shared" si="46"/>
        <v>Met</v>
      </c>
      <c r="L978" s="7" t="str">
        <f t="shared" si="47"/>
        <v>Oct</v>
      </c>
    </row>
    <row r="979" spans="1:12" x14ac:dyDescent="0.3">
      <c r="A979" s="8" t="s">
        <v>1225</v>
      </c>
      <c r="B979" s="12" t="s">
        <v>39</v>
      </c>
      <c r="C979" s="12" t="s">
        <v>99</v>
      </c>
      <c r="D979" s="12" t="s">
        <v>35</v>
      </c>
      <c r="E979" s="12" t="s">
        <v>260</v>
      </c>
      <c r="F979" s="12" t="s">
        <v>24</v>
      </c>
      <c r="G979" s="12" t="s">
        <v>31</v>
      </c>
      <c r="H979" s="11">
        <v>45574</v>
      </c>
      <c r="I979" s="11">
        <v>45574</v>
      </c>
      <c r="J979" s="5">
        <f t="shared" si="45"/>
        <v>0</v>
      </c>
      <c r="K979" s="5" t="str">
        <f t="shared" si="46"/>
        <v>Met</v>
      </c>
      <c r="L979" s="7" t="str">
        <f t="shared" si="47"/>
        <v>Oct</v>
      </c>
    </row>
    <row r="980" spans="1:12" x14ac:dyDescent="0.3">
      <c r="A980" s="4" t="s">
        <v>1226</v>
      </c>
      <c r="B980" s="13" t="s">
        <v>33</v>
      </c>
      <c r="C980" s="13" t="s">
        <v>69</v>
      </c>
      <c r="D980" s="13" t="s">
        <v>22</v>
      </c>
      <c r="E980" s="13" t="s">
        <v>262</v>
      </c>
      <c r="F980" s="13" t="s">
        <v>37</v>
      </c>
      <c r="G980" s="13" t="s">
        <v>42</v>
      </c>
      <c r="H980" s="7">
        <v>45591</v>
      </c>
      <c r="I980" s="6">
        <v>45591</v>
      </c>
      <c r="J980" s="5">
        <f t="shared" si="45"/>
        <v>0</v>
      </c>
      <c r="K980" s="5" t="str">
        <f t="shared" si="46"/>
        <v>Met</v>
      </c>
      <c r="L980" s="7" t="str">
        <f t="shared" si="47"/>
        <v>Oct</v>
      </c>
    </row>
    <row r="981" spans="1:12" x14ac:dyDescent="0.3">
      <c r="A981" s="8" t="s">
        <v>1227</v>
      </c>
      <c r="B981" s="12" t="s">
        <v>27</v>
      </c>
      <c r="C981" s="12" t="s">
        <v>47</v>
      </c>
      <c r="D981" s="12" t="s">
        <v>29</v>
      </c>
      <c r="E981" s="12" t="s">
        <v>264</v>
      </c>
      <c r="F981" s="12" t="s">
        <v>37</v>
      </c>
      <c r="G981" s="12" t="s">
        <v>25</v>
      </c>
      <c r="H981" s="11">
        <v>45540</v>
      </c>
      <c r="I981" s="10">
        <v>45540</v>
      </c>
      <c r="J981" s="5">
        <f t="shared" si="45"/>
        <v>0</v>
      </c>
      <c r="K981" s="5" t="str">
        <f t="shared" si="46"/>
        <v>Met</v>
      </c>
      <c r="L981" s="7" t="str">
        <f t="shared" si="47"/>
        <v>Sep</v>
      </c>
    </row>
    <row r="982" spans="1:12" x14ac:dyDescent="0.3">
      <c r="A982" s="4" t="s">
        <v>1228</v>
      </c>
      <c r="B982" s="13" t="s">
        <v>27</v>
      </c>
      <c r="C982" s="13" t="s">
        <v>28</v>
      </c>
      <c r="D982" s="13" t="s">
        <v>35</v>
      </c>
      <c r="E982" s="13" t="s">
        <v>266</v>
      </c>
      <c r="F982" s="13" t="s">
        <v>37</v>
      </c>
      <c r="G982" s="13" t="s">
        <v>31</v>
      </c>
      <c r="H982" s="7">
        <v>45614</v>
      </c>
      <c r="I982" s="6">
        <v>45614</v>
      </c>
      <c r="J982" s="5">
        <f t="shared" si="45"/>
        <v>0</v>
      </c>
      <c r="K982" s="5" t="str">
        <f t="shared" si="46"/>
        <v>Met</v>
      </c>
      <c r="L982" s="7" t="str">
        <f t="shared" si="47"/>
        <v>Nov</v>
      </c>
    </row>
    <row r="983" spans="1:12" x14ac:dyDescent="0.3">
      <c r="A983" s="8" t="s">
        <v>1229</v>
      </c>
      <c r="B983" s="9" t="s">
        <v>13</v>
      </c>
      <c r="C983" s="12" t="s">
        <v>61</v>
      </c>
      <c r="D983" s="12" t="s">
        <v>79</v>
      </c>
      <c r="E983" s="12" t="s">
        <v>268</v>
      </c>
      <c r="F983" s="12" t="s">
        <v>17</v>
      </c>
      <c r="G983" s="12" t="s">
        <v>53</v>
      </c>
      <c r="H983" s="11">
        <v>45544</v>
      </c>
      <c r="I983" s="11">
        <v>45544</v>
      </c>
      <c r="J983" s="5">
        <f t="shared" si="45"/>
        <v>0</v>
      </c>
      <c r="K983" s="5" t="str">
        <f t="shared" si="46"/>
        <v>Met</v>
      </c>
      <c r="L983" s="7" t="str">
        <f t="shared" si="47"/>
        <v>Sep</v>
      </c>
    </row>
    <row r="984" spans="1:12" x14ac:dyDescent="0.3">
      <c r="A984" s="4" t="s">
        <v>1230</v>
      </c>
      <c r="B984" s="13" t="s">
        <v>39</v>
      </c>
      <c r="C984" s="13" t="s">
        <v>96</v>
      </c>
      <c r="D984" s="13" t="s">
        <v>15</v>
      </c>
      <c r="E984" s="13" t="s">
        <v>270</v>
      </c>
      <c r="F984" s="13" t="s">
        <v>37</v>
      </c>
      <c r="G984" s="13" t="s">
        <v>42</v>
      </c>
      <c r="H984" s="7">
        <v>45500</v>
      </c>
      <c r="I984" s="7">
        <v>45500</v>
      </c>
      <c r="J984" s="5">
        <f t="shared" si="45"/>
        <v>0</v>
      </c>
      <c r="K984" s="5" t="str">
        <f t="shared" si="46"/>
        <v>Met</v>
      </c>
      <c r="L984" s="7" t="str">
        <f t="shared" si="47"/>
        <v>Jul</v>
      </c>
    </row>
    <row r="985" spans="1:12" x14ac:dyDescent="0.3">
      <c r="A985" s="8" t="s">
        <v>1231</v>
      </c>
      <c r="B985" s="12" t="s">
        <v>27</v>
      </c>
      <c r="C985" s="12" t="s">
        <v>153</v>
      </c>
      <c r="D985" s="12" t="s">
        <v>35</v>
      </c>
      <c r="E985" s="12" t="s">
        <v>272</v>
      </c>
      <c r="F985" s="12" t="s">
        <v>24</v>
      </c>
      <c r="G985" s="12" t="s">
        <v>45</v>
      </c>
      <c r="H985" s="11">
        <v>45495</v>
      </c>
      <c r="I985" s="11">
        <v>45495</v>
      </c>
      <c r="J985" s="5">
        <f t="shared" si="45"/>
        <v>0</v>
      </c>
      <c r="K985" s="5" t="str">
        <f t="shared" si="46"/>
        <v>Met</v>
      </c>
      <c r="L985" s="7" t="str">
        <f t="shared" si="47"/>
        <v>Jul</v>
      </c>
    </row>
    <row r="986" spans="1:12" x14ac:dyDescent="0.3">
      <c r="A986" s="4" t="s">
        <v>1232</v>
      </c>
      <c r="B986" s="13" t="s">
        <v>20</v>
      </c>
      <c r="C986" s="13" t="s">
        <v>93</v>
      </c>
      <c r="D986" s="13" t="s">
        <v>29</v>
      </c>
      <c r="E986" s="13" t="s">
        <v>274</v>
      </c>
      <c r="F986" s="13" t="s">
        <v>24</v>
      </c>
      <c r="G986" s="13" t="s">
        <v>45</v>
      </c>
      <c r="H986" s="7">
        <v>45562</v>
      </c>
      <c r="I986" s="6">
        <v>45562</v>
      </c>
      <c r="J986" s="5">
        <f t="shared" si="45"/>
        <v>0</v>
      </c>
      <c r="K986" s="5" t="str">
        <f t="shared" si="46"/>
        <v>Met</v>
      </c>
      <c r="L986" s="7" t="str">
        <f t="shared" si="47"/>
        <v>Sep</v>
      </c>
    </row>
    <row r="987" spans="1:12" x14ac:dyDescent="0.3">
      <c r="A987" s="8" t="s">
        <v>1233</v>
      </c>
      <c r="B987" s="12" t="s">
        <v>33</v>
      </c>
      <c r="C987" s="12" t="s">
        <v>34</v>
      </c>
      <c r="D987" s="12" t="s">
        <v>35</v>
      </c>
      <c r="E987" s="12" t="s">
        <v>276</v>
      </c>
      <c r="F987" s="12" t="s">
        <v>17</v>
      </c>
      <c r="G987" s="12" t="s">
        <v>25</v>
      </c>
      <c r="H987" s="11">
        <v>45549</v>
      </c>
      <c r="I987" s="11">
        <v>45549</v>
      </c>
      <c r="J987" s="5">
        <f t="shared" si="45"/>
        <v>0</v>
      </c>
      <c r="K987" s="5" t="str">
        <f t="shared" si="46"/>
        <v>Met</v>
      </c>
      <c r="L987" s="7" t="str">
        <f t="shared" si="47"/>
        <v>Sep</v>
      </c>
    </row>
    <row r="988" spans="1:12" x14ac:dyDescent="0.3">
      <c r="A988" s="4" t="s">
        <v>1234</v>
      </c>
      <c r="B988" s="5" t="s">
        <v>13</v>
      </c>
      <c r="C988" s="13" t="s">
        <v>58</v>
      </c>
      <c r="D988" s="13" t="s">
        <v>66</v>
      </c>
      <c r="E988" s="13" t="s">
        <v>278</v>
      </c>
      <c r="F988" s="13" t="s">
        <v>17</v>
      </c>
      <c r="G988" s="13" t="s">
        <v>45</v>
      </c>
      <c r="H988" s="7">
        <v>45576</v>
      </c>
      <c r="I988" s="7">
        <v>45576</v>
      </c>
      <c r="J988" s="5">
        <f t="shared" si="45"/>
        <v>0</v>
      </c>
      <c r="K988" s="5" t="str">
        <f t="shared" si="46"/>
        <v>Met</v>
      </c>
      <c r="L988" s="7" t="str">
        <f t="shared" si="47"/>
        <v>Oct</v>
      </c>
    </row>
    <row r="989" spans="1:12" x14ac:dyDescent="0.3">
      <c r="A989" s="8" t="s">
        <v>1235</v>
      </c>
      <c r="B989" s="12" t="s">
        <v>27</v>
      </c>
      <c r="C989" s="12" t="s">
        <v>28</v>
      </c>
      <c r="D989" s="12" t="s">
        <v>66</v>
      </c>
      <c r="E989" s="12" t="s">
        <v>280</v>
      </c>
      <c r="F989" s="12" t="s">
        <v>24</v>
      </c>
      <c r="G989" s="12" t="s">
        <v>25</v>
      </c>
      <c r="H989" s="11">
        <v>45616</v>
      </c>
      <c r="I989" s="10">
        <v>45616</v>
      </c>
      <c r="J989" s="5">
        <f t="shared" si="45"/>
        <v>0</v>
      </c>
      <c r="K989" s="5" t="str">
        <f t="shared" si="46"/>
        <v>Met</v>
      </c>
      <c r="L989" s="7" t="str">
        <f t="shared" si="47"/>
        <v>Nov</v>
      </c>
    </row>
    <row r="990" spans="1:12" x14ac:dyDescent="0.3">
      <c r="A990" s="4" t="s">
        <v>1236</v>
      </c>
      <c r="B990" s="13" t="s">
        <v>27</v>
      </c>
      <c r="C990" s="13" t="s">
        <v>153</v>
      </c>
      <c r="D990" s="13" t="s">
        <v>79</v>
      </c>
      <c r="E990" s="13" t="s">
        <v>282</v>
      </c>
      <c r="F990" s="13" t="s">
        <v>37</v>
      </c>
      <c r="G990" s="13" t="s">
        <v>53</v>
      </c>
      <c r="H990" s="7">
        <v>45478</v>
      </c>
      <c r="I990" s="7">
        <v>45478</v>
      </c>
      <c r="J990" s="5">
        <f t="shared" si="45"/>
        <v>0</v>
      </c>
      <c r="K990" s="5" t="str">
        <f t="shared" si="46"/>
        <v>Met</v>
      </c>
      <c r="L990" s="7" t="str">
        <f t="shared" si="47"/>
        <v>Jul</v>
      </c>
    </row>
    <row r="991" spans="1:12" x14ac:dyDescent="0.3">
      <c r="A991" s="8" t="s">
        <v>1237</v>
      </c>
      <c r="B991" s="12" t="s">
        <v>20</v>
      </c>
      <c r="C991" s="12" t="s">
        <v>76</v>
      </c>
      <c r="D991" s="12" t="s">
        <v>148</v>
      </c>
      <c r="E991" s="12" t="s">
        <v>284</v>
      </c>
      <c r="F991" s="12" t="s">
        <v>37</v>
      </c>
      <c r="G991" s="12" t="s">
        <v>53</v>
      </c>
      <c r="H991" s="11">
        <v>45569</v>
      </c>
      <c r="I991" s="11">
        <v>45569</v>
      </c>
      <c r="J991" s="5">
        <f t="shared" si="45"/>
        <v>0</v>
      </c>
      <c r="K991" s="5" t="str">
        <f t="shared" si="46"/>
        <v>Met</v>
      </c>
      <c r="L991" s="7" t="str">
        <f t="shared" si="47"/>
        <v>Oct</v>
      </c>
    </row>
    <row r="992" spans="1:12" x14ac:dyDescent="0.3">
      <c r="A992" s="4" t="s">
        <v>1238</v>
      </c>
      <c r="B992" s="13" t="s">
        <v>39</v>
      </c>
      <c r="C992" s="13" t="s">
        <v>99</v>
      </c>
      <c r="D992" s="13" t="s">
        <v>79</v>
      </c>
      <c r="E992" s="13" t="s">
        <v>286</v>
      </c>
      <c r="F992" s="13" t="s">
        <v>24</v>
      </c>
      <c r="G992" s="13" t="s">
        <v>18</v>
      </c>
      <c r="H992" s="7">
        <v>45589</v>
      </c>
      <c r="I992" s="7">
        <v>45589</v>
      </c>
      <c r="J992" s="5">
        <f t="shared" si="45"/>
        <v>0</v>
      </c>
      <c r="K992" s="5" t="str">
        <f t="shared" si="46"/>
        <v>Met</v>
      </c>
      <c r="L992" s="7" t="str">
        <f t="shared" si="47"/>
        <v>Oct</v>
      </c>
    </row>
    <row r="993" spans="1:12" x14ac:dyDescent="0.3">
      <c r="A993" s="8" t="s">
        <v>1239</v>
      </c>
      <c r="B993" s="12" t="s">
        <v>20</v>
      </c>
      <c r="C993" s="12" t="s">
        <v>21</v>
      </c>
      <c r="D993" s="9" t="s">
        <v>29</v>
      </c>
      <c r="E993" s="12" t="s">
        <v>288</v>
      </c>
      <c r="F993" s="12" t="s">
        <v>17</v>
      </c>
      <c r="G993" s="12" t="s">
        <v>53</v>
      </c>
      <c r="H993" s="11">
        <v>45520</v>
      </c>
      <c r="I993" s="11">
        <v>45520</v>
      </c>
      <c r="J993" s="5">
        <f t="shared" si="45"/>
        <v>0</v>
      </c>
      <c r="K993" s="5" t="str">
        <f t="shared" si="46"/>
        <v>Met</v>
      </c>
      <c r="L993" s="7" t="str">
        <f t="shared" si="47"/>
        <v>Aug</v>
      </c>
    </row>
    <row r="994" spans="1:12" x14ac:dyDescent="0.3">
      <c r="A994" s="4" t="s">
        <v>1240</v>
      </c>
      <c r="B994" s="13" t="s">
        <v>13</v>
      </c>
      <c r="C994" s="13" t="s">
        <v>14</v>
      </c>
      <c r="D994" s="13" t="s">
        <v>22</v>
      </c>
      <c r="E994" s="13" t="s">
        <v>290</v>
      </c>
      <c r="F994" s="13" t="s">
        <v>24</v>
      </c>
      <c r="G994" s="13" t="s">
        <v>25</v>
      </c>
      <c r="H994" s="7">
        <v>45586</v>
      </c>
      <c r="I994" s="7">
        <v>45586</v>
      </c>
      <c r="J994" s="5">
        <f t="shared" si="45"/>
        <v>0</v>
      </c>
      <c r="K994" s="5" t="str">
        <f t="shared" si="46"/>
        <v>Met</v>
      </c>
      <c r="L994" s="7" t="str">
        <f t="shared" si="47"/>
        <v>Oct</v>
      </c>
    </row>
    <row r="995" spans="1:12" x14ac:dyDescent="0.3">
      <c r="A995" s="8" t="s">
        <v>1241</v>
      </c>
      <c r="B995" s="12" t="s">
        <v>20</v>
      </c>
      <c r="C995" s="12" t="s">
        <v>76</v>
      </c>
      <c r="D995" s="12" t="s">
        <v>22</v>
      </c>
      <c r="E995" s="12" t="s">
        <v>292</v>
      </c>
      <c r="F995" s="12" t="s">
        <v>24</v>
      </c>
      <c r="G995" s="12" t="s">
        <v>42</v>
      </c>
      <c r="H995" s="11">
        <v>45633</v>
      </c>
      <c r="I995" s="10">
        <v>45633</v>
      </c>
      <c r="J995" s="5">
        <f t="shared" si="45"/>
        <v>0</v>
      </c>
      <c r="K995" s="5" t="str">
        <f t="shared" si="46"/>
        <v>Met</v>
      </c>
      <c r="L995" s="7" t="str">
        <f t="shared" si="47"/>
        <v>Dec</v>
      </c>
    </row>
    <row r="996" spans="1:12" x14ac:dyDescent="0.3">
      <c r="A996" s="4" t="s">
        <v>1242</v>
      </c>
      <c r="B996" s="13" t="s">
        <v>33</v>
      </c>
      <c r="C996" s="13" t="s">
        <v>34</v>
      </c>
      <c r="D996" s="13" t="s">
        <v>79</v>
      </c>
      <c r="E996" s="13" t="s">
        <v>294</v>
      </c>
      <c r="F996" s="13" t="s">
        <v>37</v>
      </c>
      <c r="G996" s="13" t="s">
        <v>53</v>
      </c>
      <c r="H996" s="7">
        <v>45481</v>
      </c>
      <c r="I996" s="7">
        <v>45481</v>
      </c>
      <c r="J996" s="5">
        <f t="shared" si="45"/>
        <v>0</v>
      </c>
      <c r="K996" s="5" t="str">
        <f t="shared" si="46"/>
        <v>Met</v>
      </c>
      <c r="L996" s="7" t="str">
        <f t="shared" si="47"/>
        <v>Jul</v>
      </c>
    </row>
    <row r="997" spans="1:12" x14ac:dyDescent="0.3">
      <c r="A997" s="8" t="s">
        <v>1243</v>
      </c>
      <c r="B997" s="12" t="s">
        <v>20</v>
      </c>
      <c r="C997" s="12" t="s">
        <v>76</v>
      </c>
      <c r="D997" s="12" t="s">
        <v>15</v>
      </c>
      <c r="E997" s="12" t="s">
        <v>680</v>
      </c>
      <c r="F997" s="12" t="s">
        <v>37</v>
      </c>
      <c r="G997" s="12" t="s">
        <v>45</v>
      </c>
      <c r="H997" s="11">
        <v>45487</v>
      </c>
      <c r="I997" s="10">
        <f>[1]!Table1[[#This Row],[Open Date]]</f>
        <v>45487</v>
      </c>
      <c r="J997" s="5">
        <f t="shared" si="45"/>
        <v>0</v>
      </c>
      <c r="K997" s="5" t="str">
        <f t="shared" si="46"/>
        <v>Met</v>
      </c>
      <c r="L997" s="7" t="str">
        <f t="shared" si="47"/>
        <v>Jul</v>
      </c>
    </row>
    <row r="998" spans="1:12" x14ac:dyDescent="0.3">
      <c r="A998" s="4" t="s">
        <v>1244</v>
      </c>
      <c r="B998" s="13" t="s">
        <v>33</v>
      </c>
      <c r="C998" s="13" t="s">
        <v>55</v>
      </c>
      <c r="D998" s="13" t="s">
        <v>148</v>
      </c>
      <c r="E998" s="13" t="s">
        <v>296</v>
      </c>
      <c r="F998" s="13" t="s">
        <v>17</v>
      </c>
      <c r="G998" s="13" t="s">
        <v>53</v>
      </c>
      <c r="H998" s="7">
        <v>45616</v>
      </c>
      <c r="I998" s="6">
        <v>45616</v>
      </c>
      <c r="J998" s="5">
        <f t="shared" si="45"/>
        <v>0</v>
      </c>
      <c r="K998" s="5" t="str">
        <f t="shared" si="46"/>
        <v>Met</v>
      </c>
      <c r="L998" s="7" t="str">
        <f t="shared" si="47"/>
        <v>Nov</v>
      </c>
    </row>
    <row r="999" spans="1:12" x14ac:dyDescent="0.3">
      <c r="A999" s="8" t="s">
        <v>1245</v>
      </c>
      <c r="B999" s="12" t="s">
        <v>27</v>
      </c>
      <c r="C999" s="12" t="s">
        <v>28</v>
      </c>
      <c r="D999" s="12" t="s">
        <v>86</v>
      </c>
      <c r="E999" s="12" t="s">
        <v>298</v>
      </c>
      <c r="F999" s="12" t="s">
        <v>24</v>
      </c>
      <c r="G999" s="12" t="s">
        <v>18</v>
      </c>
      <c r="H999" s="11">
        <v>45588</v>
      </c>
      <c r="I999" s="10">
        <v>45588</v>
      </c>
      <c r="J999" s="5">
        <f t="shared" si="45"/>
        <v>0</v>
      </c>
      <c r="K999" s="5" t="str">
        <f t="shared" si="46"/>
        <v>Met</v>
      </c>
      <c r="L999" s="7" t="str">
        <f t="shared" si="47"/>
        <v>Oct</v>
      </c>
    </row>
    <row r="1000" spans="1:12" x14ac:dyDescent="0.3">
      <c r="A1000" s="4" t="s">
        <v>1246</v>
      </c>
      <c r="B1000" s="13" t="s">
        <v>39</v>
      </c>
      <c r="C1000" s="13" t="s">
        <v>40</v>
      </c>
      <c r="D1000" s="13" t="s">
        <v>15</v>
      </c>
      <c r="E1000" s="13" t="s">
        <v>300</v>
      </c>
      <c r="F1000" s="13" t="s">
        <v>24</v>
      </c>
      <c r="G1000" s="13" t="s">
        <v>42</v>
      </c>
      <c r="H1000" s="7">
        <v>45512</v>
      </c>
      <c r="I1000" s="7">
        <v>45512</v>
      </c>
      <c r="J1000" s="5">
        <f t="shared" si="45"/>
        <v>0</v>
      </c>
      <c r="K1000" s="5" t="str">
        <f t="shared" si="46"/>
        <v>Met</v>
      </c>
      <c r="L1000" s="7" t="str">
        <f t="shared" si="47"/>
        <v>Aug</v>
      </c>
    </row>
    <row r="1001" spans="1:12" x14ac:dyDescent="0.3">
      <c r="A1001" s="8" t="s">
        <v>1247</v>
      </c>
      <c r="B1001" s="12" t="s">
        <v>27</v>
      </c>
      <c r="C1001" s="12" t="s">
        <v>28</v>
      </c>
      <c r="D1001" s="12" t="s">
        <v>35</v>
      </c>
      <c r="E1001" s="12" t="s">
        <v>302</v>
      </c>
      <c r="F1001" s="12" t="s">
        <v>24</v>
      </c>
      <c r="G1001" s="12" t="s">
        <v>45</v>
      </c>
      <c r="H1001" s="11">
        <v>45598</v>
      </c>
      <c r="I1001" s="10">
        <v>45598</v>
      </c>
      <c r="J1001" s="5">
        <f t="shared" si="45"/>
        <v>0</v>
      </c>
      <c r="K1001" s="5" t="str">
        <f t="shared" si="46"/>
        <v>Met</v>
      </c>
      <c r="L1001" s="7" t="str">
        <f t="shared" si="47"/>
        <v>Nov</v>
      </c>
    </row>
    <row r="1002" spans="1:12" x14ac:dyDescent="0.3">
      <c r="A1002" s="4" t="s">
        <v>1248</v>
      </c>
      <c r="B1002" s="13" t="s">
        <v>13</v>
      </c>
      <c r="C1002" s="13" t="s">
        <v>58</v>
      </c>
      <c r="D1002" s="13" t="s">
        <v>86</v>
      </c>
      <c r="E1002" s="13" t="s">
        <v>304</v>
      </c>
      <c r="F1002" s="13" t="s">
        <v>37</v>
      </c>
      <c r="G1002" s="13" t="s">
        <v>42</v>
      </c>
      <c r="H1002" s="7">
        <v>45582</v>
      </c>
      <c r="I1002" s="7">
        <v>45582</v>
      </c>
      <c r="J1002" s="5">
        <f t="shared" si="45"/>
        <v>0</v>
      </c>
      <c r="K1002" s="5" t="str">
        <f t="shared" si="46"/>
        <v>Met</v>
      </c>
      <c r="L1002" s="7" t="str">
        <f t="shared" si="47"/>
        <v>Oct</v>
      </c>
    </row>
    <row r="1003" spans="1:12" x14ac:dyDescent="0.3">
      <c r="A1003" s="8" t="s">
        <v>1249</v>
      </c>
      <c r="B1003" s="12" t="s">
        <v>27</v>
      </c>
      <c r="C1003" s="12" t="s">
        <v>47</v>
      </c>
      <c r="D1003" s="12" t="s">
        <v>66</v>
      </c>
      <c r="E1003" s="12" t="s">
        <v>306</v>
      </c>
      <c r="F1003" s="12" t="s">
        <v>17</v>
      </c>
      <c r="G1003" s="12" t="s">
        <v>18</v>
      </c>
      <c r="H1003" s="11">
        <v>45486</v>
      </c>
      <c r="I1003" s="11">
        <v>45486</v>
      </c>
      <c r="J1003" s="5">
        <f t="shared" si="45"/>
        <v>0</v>
      </c>
      <c r="K1003" s="5" t="str">
        <f t="shared" si="46"/>
        <v>Met</v>
      </c>
      <c r="L1003" s="7" t="str">
        <f t="shared" si="47"/>
        <v>Jul</v>
      </c>
    </row>
    <row r="1004" spans="1:12" x14ac:dyDescent="0.3">
      <c r="A1004" s="4" t="s">
        <v>1250</v>
      </c>
      <c r="B1004" s="13" t="s">
        <v>20</v>
      </c>
      <c r="C1004" s="13" t="s">
        <v>21</v>
      </c>
      <c r="D1004" s="13" t="s">
        <v>35</v>
      </c>
      <c r="E1004" s="13" t="s">
        <v>308</v>
      </c>
      <c r="F1004" s="13" t="s">
        <v>17</v>
      </c>
      <c r="G1004" s="13" t="s">
        <v>31</v>
      </c>
      <c r="H1004" s="7">
        <v>45487</v>
      </c>
      <c r="I1004" s="6">
        <f>[1]!Table1[[#This Row],[Open Date]]</f>
        <v>45487</v>
      </c>
      <c r="J1004" s="5">
        <f t="shared" si="45"/>
        <v>0</v>
      </c>
      <c r="K1004" s="5" t="str">
        <f t="shared" si="46"/>
        <v>Met</v>
      </c>
      <c r="L1004" s="7" t="str">
        <f t="shared" si="47"/>
        <v>Jul</v>
      </c>
    </row>
    <row r="1005" spans="1:12" x14ac:dyDescent="0.3">
      <c r="A1005" s="8" t="s">
        <v>1251</v>
      </c>
      <c r="B1005" s="12" t="s">
        <v>13</v>
      </c>
      <c r="C1005" s="12" t="s">
        <v>58</v>
      </c>
      <c r="D1005" s="12" t="s">
        <v>35</v>
      </c>
      <c r="E1005" s="12" t="s">
        <v>310</v>
      </c>
      <c r="F1005" s="12" t="s">
        <v>17</v>
      </c>
      <c r="G1005" s="12" t="s">
        <v>53</v>
      </c>
      <c r="H1005" s="11">
        <v>45519</v>
      </c>
      <c r="I1005" s="11">
        <v>45519</v>
      </c>
      <c r="J1005" s="5">
        <f t="shared" si="45"/>
        <v>0</v>
      </c>
      <c r="K1005" s="5" t="str">
        <f t="shared" si="46"/>
        <v>Met</v>
      </c>
      <c r="L1005" s="7" t="str">
        <f t="shared" si="47"/>
        <v>Aug</v>
      </c>
    </row>
    <row r="1006" spans="1:12" x14ac:dyDescent="0.3">
      <c r="A1006" s="4" t="s">
        <v>1252</v>
      </c>
      <c r="B1006" s="13" t="s">
        <v>27</v>
      </c>
      <c r="C1006" s="13" t="s">
        <v>153</v>
      </c>
      <c r="D1006" s="13" t="s">
        <v>15</v>
      </c>
      <c r="E1006" s="13" t="s">
        <v>312</v>
      </c>
      <c r="F1006" s="13" t="s">
        <v>24</v>
      </c>
      <c r="G1006" s="13" t="s">
        <v>31</v>
      </c>
      <c r="H1006" s="7">
        <v>45484</v>
      </c>
      <c r="I1006" s="7">
        <v>45484</v>
      </c>
      <c r="J1006" s="5">
        <f t="shared" si="45"/>
        <v>0</v>
      </c>
      <c r="K1006" s="5" t="str">
        <f t="shared" si="46"/>
        <v>Met</v>
      </c>
      <c r="L1006" s="7" t="str">
        <f t="shared" si="47"/>
        <v>Jul</v>
      </c>
    </row>
    <row r="1007" spans="1:12" x14ac:dyDescent="0.3">
      <c r="A1007" s="8" t="s">
        <v>1253</v>
      </c>
      <c r="B1007" s="12" t="s">
        <v>33</v>
      </c>
      <c r="C1007" s="12" t="s">
        <v>69</v>
      </c>
      <c r="D1007" s="12" t="s">
        <v>35</v>
      </c>
      <c r="E1007" s="12" t="s">
        <v>314</v>
      </c>
      <c r="F1007" s="12" t="s">
        <v>37</v>
      </c>
      <c r="G1007" s="12" t="s">
        <v>53</v>
      </c>
      <c r="H1007" s="11">
        <v>45565</v>
      </c>
      <c r="I1007" s="11">
        <v>45565</v>
      </c>
      <c r="J1007" s="5">
        <f t="shared" si="45"/>
        <v>0</v>
      </c>
      <c r="K1007" s="5" t="str">
        <f t="shared" si="46"/>
        <v>Met</v>
      </c>
      <c r="L1007" s="7" t="str">
        <f t="shared" si="47"/>
        <v>Sep</v>
      </c>
    </row>
    <row r="1008" spans="1:12" x14ac:dyDescent="0.3">
      <c r="A1008" s="4" t="s">
        <v>1254</v>
      </c>
      <c r="B1008" s="13" t="s">
        <v>13</v>
      </c>
      <c r="C1008" s="13" t="s">
        <v>14</v>
      </c>
      <c r="D1008" s="13" t="s">
        <v>148</v>
      </c>
      <c r="E1008" s="13" t="s">
        <v>316</v>
      </c>
      <c r="F1008" s="13" t="s">
        <v>17</v>
      </c>
      <c r="G1008" s="13" t="s">
        <v>45</v>
      </c>
      <c r="H1008" s="7">
        <v>45488</v>
      </c>
      <c r="I1008" s="6">
        <f>[1]!Table1[[#This Row],[Open Date]]</f>
        <v>45488</v>
      </c>
      <c r="J1008" s="5">
        <f t="shared" si="45"/>
        <v>0</v>
      </c>
      <c r="K1008" s="5" t="str">
        <f t="shared" si="46"/>
        <v>Met</v>
      </c>
      <c r="L1008" s="7" t="str">
        <f t="shared" si="47"/>
        <v>Jul</v>
      </c>
    </row>
    <row r="1009" spans="1:12" x14ac:dyDescent="0.3">
      <c r="A1009" s="8" t="s">
        <v>1255</v>
      </c>
      <c r="B1009" s="9" t="s">
        <v>13</v>
      </c>
      <c r="C1009" s="12" t="s">
        <v>61</v>
      </c>
      <c r="D1009" s="12" t="s">
        <v>35</v>
      </c>
      <c r="E1009" s="12" t="s">
        <v>318</v>
      </c>
      <c r="F1009" s="12" t="s">
        <v>17</v>
      </c>
      <c r="G1009" s="12" t="s">
        <v>42</v>
      </c>
      <c r="H1009" s="11">
        <v>45569</v>
      </c>
      <c r="I1009" s="11">
        <v>45569</v>
      </c>
      <c r="J1009" s="5">
        <f t="shared" si="45"/>
        <v>0</v>
      </c>
      <c r="K1009" s="5" t="str">
        <f t="shared" si="46"/>
        <v>Met</v>
      </c>
      <c r="L1009" s="7" t="str">
        <f t="shared" si="47"/>
        <v>Oct</v>
      </c>
    </row>
    <row r="1010" spans="1:12" x14ac:dyDescent="0.3">
      <c r="A1010" s="4" t="s">
        <v>1256</v>
      </c>
      <c r="B1010" s="13" t="s">
        <v>13</v>
      </c>
      <c r="C1010" s="13" t="s">
        <v>14</v>
      </c>
      <c r="D1010" s="13" t="s">
        <v>29</v>
      </c>
      <c r="E1010" s="13" t="s">
        <v>320</v>
      </c>
      <c r="F1010" s="13" t="s">
        <v>24</v>
      </c>
      <c r="G1010" s="13" t="s">
        <v>18</v>
      </c>
      <c r="H1010" s="7">
        <v>45515</v>
      </c>
      <c r="I1010" s="7">
        <v>45515</v>
      </c>
      <c r="J1010" s="5">
        <f t="shared" si="45"/>
        <v>0</v>
      </c>
      <c r="K1010" s="5" t="str">
        <f t="shared" si="46"/>
        <v>Met</v>
      </c>
      <c r="L1010" s="7" t="str">
        <f t="shared" si="47"/>
        <v>Aug</v>
      </c>
    </row>
    <row r="1011" spans="1:12" x14ac:dyDescent="0.3">
      <c r="A1011" s="8" t="s">
        <v>1257</v>
      </c>
      <c r="B1011" s="12" t="s">
        <v>20</v>
      </c>
      <c r="C1011" s="12" t="s">
        <v>93</v>
      </c>
      <c r="D1011" s="12" t="s">
        <v>35</v>
      </c>
      <c r="E1011" s="12" t="s">
        <v>322</v>
      </c>
      <c r="F1011" s="12" t="s">
        <v>24</v>
      </c>
      <c r="G1011" s="12" t="s">
        <v>53</v>
      </c>
      <c r="H1011" s="11">
        <v>45537</v>
      </c>
      <c r="I1011" s="11">
        <v>45537</v>
      </c>
      <c r="J1011" s="5">
        <f t="shared" si="45"/>
        <v>0</v>
      </c>
      <c r="K1011" s="5" t="str">
        <f t="shared" si="46"/>
        <v>Met</v>
      </c>
      <c r="L1011" s="7" t="str">
        <f t="shared" si="47"/>
        <v>Sep</v>
      </c>
    </row>
    <row r="1012" spans="1:12" x14ac:dyDescent="0.3">
      <c r="A1012" s="4" t="s">
        <v>1258</v>
      </c>
      <c r="B1012" s="13" t="s">
        <v>39</v>
      </c>
      <c r="C1012" s="13" t="s">
        <v>99</v>
      </c>
      <c r="D1012" s="13" t="s">
        <v>35</v>
      </c>
      <c r="E1012" s="13" t="s">
        <v>324</v>
      </c>
      <c r="F1012" s="13" t="s">
        <v>24</v>
      </c>
      <c r="G1012" s="13" t="s">
        <v>53</v>
      </c>
      <c r="H1012" s="7">
        <v>45650</v>
      </c>
      <c r="I1012" s="6">
        <v>45650</v>
      </c>
      <c r="J1012" s="5">
        <f t="shared" si="45"/>
        <v>0</v>
      </c>
      <c r="K1012" s="5" t="str">
        <f t="shared" si="46"/>
        <v>Met</v>
      </c>
      <c r="L1012" s="7" t="str">
        <f t="shared" si="47"/>
        <v>Dec</v>
      </c>
    </row>
    <row r="1013" spans="1:12" x14ac:dyDescent="0.3">
      <c r="A1013" s="8" t="s">
        <v>1259</v>
      </c>
      <c r="B1013" s="12" t="s">
        <v>13</v>
      </c>
      <c r="C1013" s="12" t="s">
        <v>61</v>
      </c>
      <c r="D1013" s="12" t="s">
        <v>35</v>
      </c>
      <c r="E1013" s="12" t="s">
        <v>326</v>
      </c>
      <c r="F1013" s="12" t="s">
        <v>37</v>
      </c>
      <c r="G1013" s="12" t="s">
        <v>42</v>
      </c>
      <c r="H1013" s="11">
        <v>45536</v>
      </c>
      <c r="I1013" s="11">
        <v>45536</v>
      </c>
      <c r="J1013" s="5">
        <f t="shared" si="45"/>
        <v>0</v>
      </c>
      <c r="K1013" s="5" t="str">
        <f t="shared" si="46"/>
        <v>Met</v>
      </c>
      <c r="L1013" s="7" t="str">
        <f t="shared" si="47"/>
        <v>Sep</v>
      </c>
    </row>
    <row r="1014" spans="1:12" x14ac:dyDescent="0.3">
      <c r="A1014" s="4" t="s">
        <v>1260</v>
      </c>
      <c r="B1014" s="13" t="s">
        <v>20</v>
      </c>
      <c r="C1014" s="13" t="s">
        <v>76</v>
      </c>
      <c r="D1014" s="5" t="s">
        <v>22</v>
      </c>
      <c r="E1014" s="13" t="s">
        <v>328</v>
      </c>
      <c r="F1014" s="13" t="s">
        <v>17</v>
      </c>
      <c r="G1014" s="13" t="s">
        <v>53</v>
      </c>
      <c r="H1014" s="7">
        <v>45521</v>
      </c>
      <c r="I1014" s="7">
        <v>45521</v>
      </c>
      <c r="J1014" s="5">
        <f t="shared" si="45"/>
        <v>0</v>
      </c>
      <c r="K1014" s="5" t="str">
        <f t="shared" si="46"/>
        <v>Met</v>
      </c>
      <c r="L1014" s="7" t="str">
        <f t="shared" si="47"/>
        <v>Aug</v>
      </c>
    </row>
    <row r="1015" spans="1:12" x14ac:dyDescent="0.3">
      <c r="A1015" s="8" t="s">
        <v>1261</v>
      </c>
      <c r="B1015" s="12" t="s">
        <v>13</v>
      </c>
      <c r="C1015" s="12" t="s">
        <v>14</v>
      </c>
      <c r="D1015" s="12" t="s">
        <v>66</v>
      </c>
      <c r="E1015" s="12" t="s">
        <v>330</v>
      </c>
      <c r="F1015" s="12" t="s">
        <v>37</v>
      </c>
      <c r="G1015" s="9" t="s">
        <v>45</v>
      </c>
      <c r="H1015" s="11">
        <v>45486</v>
      </c>
      <c r="I1015" s="10">
        <f>[1]!Table1[[#This Row],[Open Date]]</f>
        <v>45486</v>
      </c>
      <c r="J1015" s="5">
        <f t="shared" si="45"/>
        <v>0</v>
      </c>
      <c r="K1015" s="5" t="str">
        <f t="shared" si="46"/>
        <v>Met</v>
      </c>
      <c r="L1015" s="7" t="str">
        <f t="shared" si="47"/>
        <v>Jul</v>
      </c>
    </row>
    <row r="1016" spans="1:12" x14ac:dyDescent="0.3">
      <c r="A1016" s="4" t="s">
        <v>1262</v>
      </c>
      <c r="B1016" s="13" t="s">
        <v>20</v>
      </c>
      <c r="C1016" s="13" t="s">
        <v>21</v>
      </c>
      <c r="D1016" s="13" t="s">
        <v>15</v>
      </c>
      <c r="E1016" s="13" t="s">
        <v>332</v>
      </c>
      <c r="F1016" s="13" t="s">
        <v>24</v>
      </c>
      <c r="G1016" s="13" t="s">
        <v>31</v>
      </c>
      <c r="H1016" s="7">
        <v>45562</v>
      </c>
      <c r="I1016" s="7">
        <v>45562</v>
      </c>
      <c r="J1016" s="5">
        <f t="shared" si="45"/>
        <v>0</v>
      </c>
      <c r="K1016" s="5" t="str">
        <f t="shared" si="46"/>
        <v>Met</v>
      </c>
      <c r="L1016" s="7" t="str">
        <f t="shared" si="47"/>
        <v>Sep</v>
      </c>
    </row>
    <row r="1017" spans="1:12" x14ac:dyDescent="0.3">
      <c r="A1017" s="8" t="s">
        <v>1263</v>
      </c>
      <c r="B1017" s="12" t="s">
        <v>33</v>
      </c>
      <c r="C1017" s="12" t="s">
        <v>34</v>
      </c>
      <c r="D1017" s="12" t="s">
        <v>148</v>
      </c>
      <c r="E1017" s="12" t="s">
        <v>334</v>
      </c>
      <c r="F1017" s="12" t="s">
        <v>24</v>
      </c>
      <c r="G1017" s="12" t="s">
        <v>53</v>
      </c>
      <c r="H1017" s="11">
        <v>45544</v>
      </c>
      <c r="I1017" s="11">
        <v>45544</v>
      </c>
      <c r="J1017" s="5">
        <f t="shared" si="45"/>
        <v>0</v>
      </c>
      <c r="K1017" s="5" t="str">
        <f t="shared" si="46"/>
        <v>Met</v>
      </c>
      <c r="L1017" s="7" t="str">
        <f t="shared" si="47"/>
        <v>Sep</v>
      </c>
    </row>
    <row r="1018" spans="1:12" x14ac:dyDescent="0.3">
      <c r="A1018" s="4" t="s">
        <v>1264</v>
      </c>
      <c r="B1018" s="13" t="s">
        <v>20</v>
      </c>
      <c r="C1018" s="13" t="s">
        <v>76</v>
      </c>
      <c r="D1018" s="13" t="s">
        <v>15</v>
      </c>
      <c r="E1018" s="13" t="s">
        <v>336</v>
      </c>
      <c r="F1018" s="13" t="s">
        <v>37</v>
      </c>
      <c r="G1018" s="13" t="s">
        <v>25</v>
      </c>
      <c r="H1018" s="7">
        <v>45588</v>
      </c>
      <c r="I1018" s="6">
        <v>45588</v>
      </c>
      <c r="J1018" s="5">
        <f t="shared" si="45"/>
        <v>0</v>
      </c>
      <c r="K1018" s="5" t="str">
        <f t="shared" si="46"/>
        <v>Met</v>
      </c>
      <c r="L1018" s="7" t="str">
        <f t="shared" si="47"/>
        <v>Oct</v>
      </c>
    </row>
    <row r="1019" spans="1:12" x14ac:dyDescent="0.3">
      <c r="A1019" s="8" t="s">
        <v>1265</v>
      </c>
      <c r="B1019" s="12" t="s">
        <v>27</v>
      </c>
      <c r="C1019" s="12" t="s">
        <v>153</v>
      </c>
      <c r="D1019" s="12" t="s">
        <v>79</v>
      </c>
      <c r="E1019" s="12" t="s">
        <v>338</v>
      </c>
      <c r="F1019" s="12" t="s">
        <v>17</v>
      </c>
      <c r="G1019" s="12" t="s">
        <v>18</v>
      </c>
      <c r="H1019" s="11">
        <v>45576</v>
      </c>
      <c r="I1019" s="10">
        <v>45576</v>
      </c>
      <c r="J1019" s="5">
        <f t="shared" si="45"/>
        <v>0</v>
      </c>
      <c r="K1019" s="5" t="str">
        <f t="shared" si="46"/>
        <v>Met</v>
      </c>
      <c r="L1019" s="7" t="str">
        <f t="shared" si="47"/>
        <v>Oct</v>
      </c>
    </row>
    <row r="1020" spans="1:12" x14ac:dyDescent="0.3">
      <c r="A1020" s="4" t="s">
        <v>1266</v>
      </c>
      <c r="B1020" s="13" t="s">
        <v>20</v>
      </c>
      <c r="C1020" s="13" t="s">
        <v>76</v>
      </c>
      <c r="D1020" s="13" t="s">
        <v>79</v>
      </c>
      <c r="E1020" s="13" t="s">
        <v>588</v>
      </c>
      <c r="F1020" s="13" t="s">
        <v>24</v>
      </c>
      <c r="G1020" s="13" t="s">
        <v>45</v>
      </c>
      <c r="H1020" s="7">
        <v>45486</v>
      </c>
      <c r="I1020" s="7">
        <v>45486</v>
      </c>
      <c r="J1020" s="5">
        <f t="shared" si="45"/>
        <v>0</v>
      </c>
      <c r="K1020" s="5" t="str">
        <f t="shared" si="46"/>
        <v>Met</v>
      </c>
      <c r="L1020" s="7" t="str">
        <f t="shared" si="47"/>
        <v>Jul</v>
      </c>
    </row>
    <row r="1021" spans="1:12" x14ac:dyDescent="0.3">
      <c r="A1021" s="8" t="s">
        <v>1267</v>
      </c>
      <c r="B1021" s="12" t="s">
        <v>20</v>
      </c>
      <c r="C1021" s="12" t="s">
        <v>76</v>
      </c>
      <c r="D1021" s="12" t="s">
        <v>86</v>
      </c>
      <c r="E1021" s="12" t="s">
        <v>340</v>
      </c>
      <c r="F1021" s="12" t="s">
        <v>37</v>
      </c>
      <c r="G1021" s="12" t="s">
        <v>31</v>
      </c>
      <c r="H1021" s="11">
        <v>45559</v>
      </c>
      <c r="I1021" s="11">
        <v>45559</v>
      </c>
      <c r="J1021" s="5">
        <f t="shared" si="45"/>
        <v>0</v>
      </c>
      <c r="K1021" s="5" t="str">
        <f t="shared" si="46"/>
        <v>Met</v>
      </c>
      <c r="L1021" s="7" t="str">
        <f t="shared" si="47"/>
        <v>Sep</v>
      </c>
    </row>
    <row r="1022" spans="1:12" x14ac:dyDescent="0.3">
      <c r="A1022" s="4" t="s">
        <v>1268</v>
      </c>
      <c r="B1022" s="13" t="s">
        <v>13</v>
      </c>
      <c r="C1022" s="13" t="s">
        <v>61</v>
      </c>
      <c r="D1022" s="5" t="s">
        <v>22</v>
      </c>
      <c r="E1022" s="13" t="s">
        <v>342</v>
      </c>
      <c r="F1022" s="13" t="s">
        <v>17</v>
      </c>
      <c r="G1022" s="13" t="s">
        <v>53</v>
      </c>
      <c r="H1022" s="7">
        <v>45497</v>
      </c>
      <c r="I1022" s="7">
        <v>45497</v>
      </c>
      <c r="J1022" s="5">
        <f t="shared" si="45"/>
        <v>0</v>
      </c>
      <c r="K1022" s="5" t="str">
        <f t="shared" si="46"/>
        <v>Met</v>
      </c>
      <c r="L1022" s="7" t="str">
        <f t="shared" si="47"/>
        <v>Jul</v>
      </c>
    </row>
    <row r="1023" spans="1:12" x14ac:dyDescent="0.3">
      <c r="A1023" s="8" t="s">
        <v>1269</v>
      </c>
      <c r="B1023" s="12" t="s">
        <v>33</v>
      </c>
      <c r="C1023" s="12" t="s">
        <v>69</v>
      </c>
      <c r="D1023" s="12" t="s">
        <v>29</v>
      </c>
      <c r="E1023" s="12" t="s">
        <v>344</v>
      </c>
      <c r="F1023" s="12" t="s">
        <v>37</v>
      </c>
      <c r="G1023" s="12" t="s">
        <v>25</v>
      </c>
      <c r="H1023" s="11">
        <v>45582</v>
      </c>
      <c r="I1023" s="11">
        <v>45582</v>
      </c>
      <c r="J1023" s="5">
        <f t="shared" si="45"/>
        <v>0</v>
      </c>
      <c r="K1023" s="5" t="str">
        <f t="shared" si="46"/>
        <v>Met</v>
      </c>
      <c r="L1023" s="7" t="str">
        <f t="shared" si="47"/>
        <v>Oct</v>
      </c>
    </row>
    <row r="1024" spans="1:12" x14ac:dyDescent="0.3">
      <c r="A1024" s="4" t="s">
        <v>1270</v>
      </c>
      <c r="B1024" s="13" t="s">
        <v>33</v>
      </c>
      <c r="C1024" s="13" t="s">
        <v>69</v>
      </c>
      <c r="D1024" s="13" t="s">
        <v>35</v>
      </c>
      <c r="E1024" s="13" t="s">
        <v>346</v>
      </c>
      <c r="F1024" s="13" t="s">
        <v>37</v>
      </c>
      <c r="G1024" s="13" t="s">
        <v>53</v>
      </c>
      <c r="H1024" s="7">
        <v>45609</v>
      </c>
      <c r="I1024" s="6">
        <v>45609</v>
      </c>
      <c r="J1024" s="5">
        <f t="shared" si="45"/>
        <v>0</v>
      </c>
      <c r="K1024" s="5" t="str">
        <f t="shared" si="46"/>
        <v>Met</v>
      </c>
      <c r="L1024" s="7" t="str">
        <f t="shared" si="47"/>
        <v>Nov</v>
      </c>
    </row>
    <row r="1025" spans="1:12" x14ac:dyDescent="0.3">
      <c r="A1025" s="8" t="s">
        <v>1271</v>
      </c>
      <c r="B1025" s="12" t="s">
        <v>39</v>
      </c>
      <c r="C1025" s="12" t="s">
        <v>40</v>
      </c>
      <c r="D1025" s="12" t="s">
        <v>79</v>
      </c>
      <c r="E1025" s="12" t="s">
        <v>348</v>
      </c>
      <c r="F1025" s="12" t="s">
        <v>24</v>
      </c>
      <c r="G1025" s="12" t="s">
        <v>45</v>
      </c>
      <c r="H1025" s="11">
        <v>45588</v>
      </c>
      <c r="I1025" s="11">
        <v>45588</v>
      </c>
      <c r="J1025" s="5">
        <f t="shared" si="45"/>
        <v>0</v>
      </c>
      <c r="K1025" s="5" t="str">
        <f t="shared" si="46"/>
        <v>Met</v>
      </c>
      <c r="L1025" s="7" t="str">
        <f t="shared" si="47"/>
        <v>Oct</v>
      </c>
    </row>
    <row r="1026" spans="1:12" x14ac:dyDescent="0.3">
      <c r="A1026" s="4" t="s">
        <v>1272</v>
      </c>
      <c r="B1026" s="13" t="s">
        <v>13</v>
      </c>
      <c r="C1026" s="13" t="s">
        <v>14</v>
      </c>
      <c r="D1026" s="13" t="s">
        <v>15</v>
      </c>
      <c r="E1026" s="13" t="s">
        <v>350</v>
      </c>
      <c r="F1026" s="13" t="s">
        <v>37</v>
      </c>
      <c r="G1026" s="13" t="s">
        <v>53</v>
      </c>
      <c r="H1026" s="7">
        <v>45515</v>
      </c>
      <c r="I1026" s="7">
        <v>45515</v>
      </c>
      <c r="J1026" s="5">
        <f t="shared" si="45"/>
        <v>0</v>
      </c>
      <c r="K1026" s="5" t="str">
        <f t="shared" si="46"/>
        <v>Met</v>
      </c>
      <c r="L1026" s="7" t="str">
        <f t="shared" si="47"/>
        <v>Aug</v>
      </c>
    </row>
    <row r="1027" spans="1:12" x14ac:dyDescent="0.3">
      <c r="A1027" s="8" t="s">
        <v>1273</v>
      </c>
      <c r="B1027" s="12" t="s">
        <v>33</v>
      </c>
      <c r="C1027" s="12" t="s">
        <v>34</v>
      </c>
      <c r="D1027" s="12" t="s">
        <v>148</v>
      </c>
      <c r="E1027" s="12" t="s">
        <v>352</v>
      </c>
      <c r="F1027" s="12" t="s">
        <v>17</v>
      </c>
      <c r="G1027" s="12" t="s">
        <v>18</v>
      </c>
      <c r="H1027" s="11">
        <v>45563</v>
      </c>
      <c r="I1027" s="11">
        <v>45563</v>
      </c>
      <c r="J1027" s="5">
        <f t="shared" ref="J1027:J1090" si="48">I1027-H1027</f>
        <v>0</v>
      </c>
      <c r="K1027" s="5" t="str">
        <f t="shared" ref="K1027:K1090" si="49">IF(J1027&gt;= 1, "Not Met","Met")</f>
        <v>Met</v>
      </c>
      <c r="L1027" s="7" t="str">
        <f t="shared" ref="L1027:L1090" si="50">TEXT(H1027,"MMM")</f>
        <v>Sep</v>
      </c>
    </row>
    <row r="1028" spans="1:12" x14ac:dyDescent="0.3">
      <c r="A1028" s="4" t="s">
        <v>1274</v>
      </c>
      <c r="B1028" s="13" t="s">
        <v>20</v>
      </c>
      <c r="C1028" s="13" t="s">
        <v>76</v>
      </c>
      <c r="D1028" s="13" t="s">
        <v>79</v>
      </c>
      <c r="E1028" s="13" t="s">
        <v>354</v>
      </c>
      <c r="F1028" s="13" t="s">
        <v>17</v>
      </c>
      <c r="G1028" s="13" t="s">
        <v>42</v>
      </c>
      <c r="H1028" s="7">
        <v>45630</v>
      </c>
      <c r="I1028" s="6">
        <v>45630</v>
      </c>
      <c r="J1028" s="5">
        <f t="shared" si="48"/>
        <v>0</v>
      </c>
      <c r="K1028" s="5" t="str">
        <f t="shared" si="49"/>
        <v>Met</v>
      </c>
      <c r="L1028" s="7" t="str">
        <f t="shared" si="50"/>
        <v>Dec</v>
      </c>
    </row>
    <row r="1029" spans="1:12" x14ac:dyDescent="0.3">
      <c r="A1029" s="8" t="s">
        <v>1275</v>
      </c>
      <c r="B1029" s="9" t="s">
        <v>27</v>
      </c>
      <c r="C1029" s="9" t="s">
        <v>28</v>
      </c>
      <c r="D1029" s="9" t="s">
        <v>29</v>
      </c>
      <c r="E1029" s="9" t="s">
        <v>30</v>
      </c>
      <c r="F1029" s="9" t="s">
        <v>24</v>
      </c>
      <c r="G1029" s="9" t="s">
        <v>31</v>
      </c>
      <c r="H1029" s="10">
        <v>45513</v>
      </c>
      <c r="I1029" s="10">
        <v>45513</v>
      </c>
      <c r="J1029" s="5">
        <f t="shared" si="48"/>
        <v>0</v>
      </c>
      <c r="K1029" s="5" t="str">
        <f t="shared" si="49"/>
        <v>Met</v>
      </c>
      <c r="L1029" s="7" t="str">
        <f t="shared" si="50"/>
        <v>Aug</v>
      </c>
    </row>
    <row r="1030" spans="1:12" x14ac:dyDescent="0.3">
      <c r="A1030" s="4" t="s">
        <v>1276</v>
      </c>
      <c r="B1030" s="5" t="s">
        <v>27</v>
      </c>
      <c r="C1030" s="5" t="s">
        <v>47</v>
      </c>
      <c r="D1030" s="5" t="s">
        <v>15</v>
      </c>
      <c r="E1030" s="5" t="s">
        <v>48</v>
      </c>
      <c r="F1030" s="5" t="s">
        <v>37</v>
      </c>
      <c r="G1030" s="5" t="s">
        <v>45</v>
      </c>
      <c r="H1030" s="6">
        <v>45496</v>
      </c>
      <c r="I1030" s="6">
        <f>[1]!Table1[[#This Row],[Open Date]]</f>
        <v>45496</v>
      </c>
      <c r="J1030" s="5">
        <f t="shared" si="48"/>
        <v>0</v>
      </c>
      <c r="K1030" s="5" t="str">
        <f t="shared" si="49"/>
        <v>Met</v>
      </c>
      <c r="L1030" s="7" t="str">
        <f t="shared" si="50"/>
        <v>Jul</v>
      </c>
    </row>
    <row r="1031" spans="1:12" x14ac:dyDescent="0.3">
      <c r="A1031" s="8" t="s">
        <v>1277</v>
      </c>
      <c r="B1031" s="9" t="s">
        <v>27</v>
      </c>
      <c r="C1031" s="9" t="s">
        <v>47</v>
      </c>
      <c r="D1031" s="9" t="s">
        <v>29</v>
      </c>
      <c r="E1031" s="9" t="s">
        <v>50</v>
      </c>
      <c r="F1031" s="9" t="s">
        <v>17</v>
      </c>
      <c r="G1031" s="9" t="s">
        <v>31</v>
      </c>
      <c r="H1031" s="10">
        <v>45583</v>
      </c>
      <c r="I1031" s="10">
        <v>45583</v>
      </c>
      <c r="J1031" s="5">
        <f t="shared" si="48"/>
        <v>0</v>
      </c>
      <c r="K1031" s="5" t="str">
        <f t="shared" si="49"/>
        <v>Met</v>
      </c>
      <c r="L1031" s="7" t="str">
        <f t="shared" si="50"/>
        <v>Oct</v>
      </c>
    </row>
    <row r="1032" spans="1:12" x14ac:dyDescent="0.3">
      <c r="A1032" s="4" t="s">
        <v>1278</v>
      </c>
      <c r="B1032" s="5" t="s">
        <v>27</v>
      </c>
      <c r="C1032" s="5" t="s">
        <v>47</v>
      </c>
      <c r="D1032" s="5" t="s">
        <v>35</v>
      </c>
      <c r="E1032" s="5" t="s">
        <v>84</v>
      </c>
      <c r="F1032" s="5" t="s">
        <v>37</v>
      </c>
      <c r="G1032" s="5" t="s">
        <v>18</v>
      </c>
      <c r="H1032" s="6">
        <v>45511</v>
      </c>
      <c r="I1032" s="6">
        <v>45511</v>
      </c>
      <c r="J1032" s="5">
        <f t="shared" si="48"/>
        <v>0</v>
      </c>
      <c r="K1032" s="5" t="str">
        <f t="shared" si="49"/>
        <v>Met</v>
      </c>
      <c r="L1032" s="7" t="str">
        <f t="shared" si="50"/>
        <v>Aug</v>
      </c>
    </row>
    <row r="1033" spans="1:12" x14ac:dyDescent="0.3">
      <c r="A1033" s="8" t="s">
        <v>1279</v>
      </c>
      <c r="B1033" s="9" t="s">
        <v>27</v>
      </c>
      <c r="C1033" s="9" t="s">
        <v>47</v>
      </c>
      <c r="D1033" s="9" t="s">
        <v>35</v>
      </c>
      <c r="E1033" s="9" t="s">
        <v>108</v>
      </c>
      <c r="F1033" s="9" t="s">
        <v>37</v>
      </c>
      <c r="G1033" s="9" t="s">
        <v>18</v>
      </c>
      <c r="H1033" s="10">
        <v>45614</v>
      </c>
      <c r="I1033" s="10">
        <v>45614</v>
      </c>
      <c r="J1033" s="5">
        <f t="shared" si="48"/>
        <v>0</v>
      </c>
      <c r="K1033" s="5" t="str">
        <f t="shared" si="49"/>
        <v>Met</v>
      </c>
      <c r="L1033" s="7" t="str">
        <f t="shared" si="50"/>
        <v>Nov</v>
      </c>
    </row>
    <row r="1034" spans="1:12" x14ac:dyDescent="0.3">
      <c r="A1034" s="4" t="s">
        <v>1280</v>
      </c>
      <c r="B1034" s="5" t="s">
        <v>27</v>
      </c>
      <c r="C1034" s="5" t="s">
        <v>28</v>
      </c>
      <c r="D1034" s="5" t="s">
        <v>29</v>
      </c>
      <c r="E1034" s="5" t="s">
        <v>136</v>
      </c>
      <c r="F1034" s="5" t="s">
        <v>37</v>
      </c>
      <c r="G1034" s="5" t="s">
        <v>42</v>
      </c>
      <c r="H1034" s="6">
        <v>45503</v>
      </c>
      <c r="I1034" s="6">
        <v>45503</v>
      </c>
      <c r="J1034" s="5">
        <f t="shared" si="48"/>
        <v>0</v>
      </c>
      <c r="K1034" s="5" t="str">
        <f t="shared" si="49"/>
        <v>Met</v>
      </c>
      <c r="L1034" s="7" t="str">
        <f t="shared" si="50"/>
        <v>Jul</v>
      </c>
    </row>
    <row r="1035" spans="1:12" x14ac:dyDescent="0.3">
      <c r="A1035" s="8" t="s">
        <v>1281</v>
      </c>
      <c r="B1035" s="9" t="s">
        <v>27</v>
      </c>
      <c r="C1035" s="9" t="s">
        <v>28</v>
      </c>
      <c r="D1035" s="9" t="s">
        <v>79</v>
      </c>
      <c r="E1035" s="9" t="s">
        <v>138</v>
      </c>
      <c r="F1035" s="9" t="s">
        <v>37</v>
      </c>
      <c r="G1035" s="9" t="s">
        <v>25</v>
      </c>
      <c r="H1035" s="10">
        <v>45602</v>
      </c>
      <c r="I1035" s="10">
        <v>45602</v>
      </c>
      <c r="J1035" s="5">
        <f t="shared" si="48"/>
        <v>0</v>
      </c>
      <c r="K1035" s="5" t="str">
        <f t="shared" si="49"/>
        <v>Met</v>
      </c>
      <c r="L1035" s="7" t="str">
        <f t="shared" si="50"/>
        <v>Nov</v>
      </c>
    </row>
    <row r="1036" spans="1:12" x14ac:dyDescent="0.3">
      <c r="A1036" s="4" t="s">
        <v>1282</v>
      </c>
      <c r="B1036" s="5" t="s">
        <v>27</v>
      </c>
      <c r="C1036" s="5" t="s">
        <v>153</v>
      </c>
      <c r="D1036" s="5" t="s">
        <v>22</v>
      </c>
      <c r="E1036" s="5" t="s">
        <v>154</v>
      </c>
      <c r="F1036" s="5" t="s">
        <v>17</v>
      </c>
      <c r="G1036" s="5" t="s">
        <v>42</v>
      </c>
      <c r="H1036" s="6">
        <v>45607</v>
      </c>
      <c r="I1036" s="6">
        <v>45607</v>
      </c>
      <c r="J1036" s="5">
        <f t="shared" si="48"/>
        <v>0</v>
      </c>
      <c r="K1036" s="5" t="str">
        <f t="shared" si="49"/>
        <v>Met</v>
      </c>
      <c r="L1036" s="7" t="str">
        <f t="shared" si="50"/>
        <v>Nov</v>
      </c>
    </row>
    <row r="1037" spans="1:12" x14ac:dyDescent="0.3">
      <c r="A1037" s="8" t="s">
        <v>1283</v>
      </c>
      <c r="B1037" s="9" t="s">
        <v>27</v>
      </c>
      <c r="C1037" s="9" t="s">
        <v>47</v>
      </c>
      <c r="D1037" s="9" t="s">
        <v>35</v>
      </c>
      <c r="E1037" s="9" t="s">
        <v>172</v>
      </c>
      <c r="F1037" s="9" t="s">
        <v>37</v>
      </c>
      <c r="G1037" s="9" t="s">
        <v>31</v>
      </c>
      <c r="H1037" s="10">
        <v>45614</v>
      </c>
      <c r="I1037" s="10">
        <v>45614</v>
      </c>
      <c r="J1037" s="5">
        <f t="shared" si="48"/>
        <v>0</v>
      </c>
      <c r="K1037" s="5" t="str">
        <f t="shared" si="49"/>
        <v>Met</v>
      </c>
      <c r="L1037" s="7" t="str">
        <f t="shared" si="50"/>
        <v>Nov</v>
      </c>
    </row>
    <row r="1038" spans="1:12" x14ac:dyDescent="0.3">
      <c r="A1038" s="4" t="s">
        <v>1284</v>
      </c>
      <c r="B1038" s="5" t="s">
        <v>27</v>
      </c>
      <c r="C1038" s="5" t="s">
        <v>47</v>
      </c>
      <c r="D1038" s="5" t="s">
        <v>35</v>
      </c>
      <c r="E1038" s="5" t="s">
        <v>178</v>
      </c>
      <c r="F1038" s="5" t="s">
        <v>37</v>
      </c>
      <c r="G1038" s="5" t="s">
        <v>18</v>
      </c>
      <c r="H1038" s="6">
        <v>45605</v>
      </c>
      <c r="I1038" s="6">
        <v>45605</v>
      </c>
      <c r="J1038" s="5">
        <f t="shared" si="48"/>
        <v>0</v>
      </c>
      <c r="K1038" s="5" t="str">
        <f t="shared" si="49"/>
        <v>Met</v>
      </c>
      <c r="L1038" s="7" t="str">
        <f t="shared" si="50"/>
        <v>Nov</v>
      </c>
    </row>
    <row r="1039" spans="1:12" x14ac:dyDescent="0.3">
      <c r="A1039" s="8" t="s">
        <v>1285</v>
      </c>
      <c r="B1039" s="9" t="s">
        <v>27</v>
      </c>
      <c r="C1039" s="9" t="s">
        <v>153</v>
      </c>
      <c r="D1039" s="9" t="s">
        <v>29</v>
      </c>
      <c r="E1039" s="9" t="s">
        <v>180</v>
      </c>
      <c r="F1039" s="9" t="s">
        <v>37</v>
      </c>
      <c r="G1039" s="9" t="s">
        <v>18</v>
      </c>
      <c r="H1039" s="10">
        <v>45491</v>
      </c>
      <c r="I1039" s="10">
        <v>45491</v>
      </c>
      <c r="J1039" s="5">
        <f t="shared" si="48"/>
        <v>0</v>
      </c>
      <c r="K1039" s="5" t="str">
        <f t="shared" si="49"/>
        <v>Met</v>
      </c>
      <c r="L1039" s="7" t="str">
        <f t="shared" si="50"/>
        <v>Jul</v>
      </c>
    </row>
    <row r="1040" spans="1:12" x14ac:dyDescent="0.3">
      <c r="A1040" s="4" t="s">
        <v>1286</v>
      </c>
      <c r="B1040" s="5" t="s">
        <v>27</v>
      </c>
      <c r="C1040" s="5" t="s">
        <v>28</v>
      </c>
      <c r="D1040" s="5" t="s">
        <v>22</v>
      </c>
      <c r="E1040" s="5" t="s">
        <v>184</v>
      </c>
      <c r="F1040" s="5" t="s">
        <v>24</v>
      </c>
      <c r="G1040" s="5" t="s">
        <v>25</v>
      </c>
      <c r="H1040" s="6">
        <v>45589</v>
      </c>
      <c r="I1040" s="6">
        <v>45589</v>
      </c>
      <c r="J1040" s="5">
        <f t="shared" si="48"/>
        <v>0</v>
      </c>
      <c r="K1040" s="5" t="str">
        <f t="shared" si="49"/>
        <v>Met</v>
      </c>
      <c r="L1040" s="7" t="str">
        <f t="shared" si="50"/>
        <v>Oct</v>
      </c>
    </row>
    <row r="1041" spans="1:12" x14ac:dyDescent="0.3">
      <c r="A1041" s="8" t="s">
        <v>1287</v>
      </c>
      <c r="B1041" s="9" t="s">
        <v>27</v>
      </c>
      <c r="C1041" s="9" t="s">
        <v>153</v>
      </c>
      <c r="D1041" s="9" t="s">
        <v>15</v>
      </c>
      <c r="E1041" s="9" t="s">
        <v>188</v>
      </c>
      <c r="F1041" s="9" t="s">
        <v>17</v>
      </c>
      <c r="G1041" s="9" t="s">
        <v>42</v>
      </c>
      <c r="H1041" s="10">
        <v>45591</v>
      </c>
      <c r="I1041" s="10">
        <v>45591</v>
      </c>
      <c r="J1041" s="5">
        <f t="shared" si="48"/>
        <v>0</v>
      </c>
      <c r="K1041" s="5" t="str">
        <f t="shared" si="49"/>
        <v>Met</v>
      </c>
      <c r="L1041" s="7" t="str">
        <f t="shared" si="50"/>
        <v>Oct</v>
      </c>
    </row>
    <row r="1042" spans="1:12" x14ac:dyDescent="0.3">
      <c r="A1042" s="4" t="s">
        <v>1288</v>
      </c>
      <c r="B1042" s="5" t="s">
        <v>27</v>
      </c>
      <c r="C1042" s="5" t="s">
        <v>153</v>
      </c>
      <c r="D1042" s="5" t="s">
        <v>22</v>
      </c>
      <c r="E1042" s="5" t="s">
        <v>192</v>
      </c>
      <c r="F1042" s="5" t="s">
        <v>17</v>
      </c>
      <c r="G1042" s="5" t="s">
        <v>31</v>
      </c>
      <c r="H1042" s="6">
        <v>45580</v>
      </c>
      <c r="I1042" s="6">
        <v>45580</v>
      </c>
      <c r="J1042" s="5">
        <f t="shared" si="48"/>
        <v>0</v>
      </c>
      <c r="K1042" s="5" t="str">
        <f t="shared" si="49"/>
        <v>Met</v>
      </c>
      <c r="L1042" s="7" t="str">
        <f t="shared" si="50"/>
        <v>Oct</v>
      </c>
    </row>
    <row r="1043" spans="1:12" x14ac:dyDescent="0.3">
      <c r="A1043" s="8" t="s">
        <v>1289</v>
      </c>
      <c r="B1043" s="9" t="s">
        <v>27</v>
      </c>
      <c r="C1043" s="9" t="s">
        <v>28</v>
      </c>
      <c r="D1043" s="9" t="s">
        <v>86</v>
      </c>
      <c r="E1043" s="9" t="s">
        <v>206</v>
      </c>
      <c r="F1043" s="9" t="s">
        <v>17</v>
      </c>
      <c r="G1043" s="9" t="s">
        <v>31</v>
      </c>
      <c r="H1043" s="10">
        <v>45600</v>
      </c>
      <c r="I1043" s="10">
        <v>45600</v>
      </c>
      <c r="J1043" s="5">
        <f t="shared" si="48"/>
        <v>0</v>
      </c>
      <c r="K1043" s="5" t="str">
        <f t="shared" si="49"/>
        <v>Met</v>
      </c>
      <c r="L1043" s="7" t="str">
        <f t="shared" si="50"/>
        <v>Nov</v>
      </c>
    </row>
    <row r="1044" spans="1:12" x14ac:dyDescent="0.3">
      <c r="A1044" s="4" t="s">
        <v>1290</v>
      </c>
      <c r="B1044" s="5" t="s">
        <v>27</v>
      </c>
      <c r="C1044" s="5" t="s">
        <v>153</v>
      </c>
      <c r="D1044" s="5" t="s">
        <v>66</v>
      </c>
      <c r="E1044" s="5" t="s">
        <v>210</v>
      </c>
      <c r="F1044" s="5" t="s">
        <v>17</v>
      </c>
      <c r="G1044" s="5" t="s">
        <v>42</v>
      </c>
      <c r="H1044" s="6">
        <v>45540</v>
      </c>
      <c r="I1044" s="6">
        <v>45540</v>
      </c>
      <c r="J1044" s="5">
        <f t="shared" si="48"/>
        <v>0</v>
      </c>
      <c r="K1044" s="5" t="str">
        <f t="shared" si="49"/>
        <v>Met</v>
      </c>
      <c r="L1044" s="7" t="str">
        <f t="shared" si="50"/>
        <v>Sep</v>
      </c>
    </row>
    <row r="1045" spans="1:12" x14ac:dyDescent="0.3">
      <c r="A1045" s="8" t="s">
        <v>1291</v>
      </c>
      <c r="B1045" s="9" t="s">
        <v>27</v>
      </c>
      <c r="C1045" s="9" t="s">
        <v>47</v>
      </c>
      <c r="D1045" s="9" t="s">
        <v>66</v>
      </c>
      <c r="E1045" s="9" t="s">
        <v>218</v>
      </c>
      <c r="F1045" s="9" t="s">
        <v>17</v>
      </c>
      <c r="G1045" s="9" t="s">
        <v>31</v>
      </c>
      <c r="H1045" s="10">
        <v>45561</v>
      </c>
      <c r="I1045" s="10">
        <v>45561</v>
      </c>
      <c r="J1045" s="5">
        <f t="shared" si="48"/>
        <v>0</v>
      </c>
      <c r="K1045" s="5" t="str">
        <f t="shared" si="49"/>
        <v>Met</v>
      </c>
      <c r="L1045" s="7" t="str">
        <f t="shared" si="50"/>
        <v>Sep</v>
      </c>
    </row>
    <row r="1046" spans="1:12" x14ac:dyDescent="0.3">
      <c r="A1046" s="4" t="s">
        <v>1292</v>
      </c>
      <c r="B1046" s="5" t="s">
        <v>27</v>
      </c>
      <c r="C1046" s="5" t="s">
        <v>153</v>
      </c>
      <c r="D1046" s="5" t="s">
        <v>35</v>
      </c>
      <c r="E1046" s="5" t="s">
        <v>222</v>
      </c>
      <c r="F1046" s="5" t="s">
        <v>24</v>
      </c>
      <c r="G1046" s="5" t="s">
        <v>25</v>
      </c>
      <c r="H1046" s="6">
        <v>45592</v>
      </c>
      <c r="I1046" s="6">
        <v>45592</v>
      </c>
      <c r="J1046" s="5">
        <f t="shared" si="48"/>
        <v>0</v>
      </c>
      <c r="K1046" s="5" t="str">
        <f t="shared" si="49"/>
        <v>Met</v>
      </c>
      <c r="L1046" s="7" t="str">
        <f t="shared" si="50"/>
        <v>Oct</v>
      </c>
    </row>
    <row r="1047" spans="1:12" x14ac:dyDescent="0.3">
      <c r="A1047" s="8" t="s">
        <v>1293</v>
      </c>
      <c r="B1047" s="9" t="s">
        <v>27</v>
      </c>
      <c r="C1047" s="9" t="s">
        <v>153</v>
      </c>
      <c r="D1047" s="9" t="s">
        <v>35</v>
      </c>
      <c r="E1047" s="9" t="s">
        <v>234</v>
      </c>
      <c r="F1047" s="9" t="s">
        <v>37</v>
      </c>
      <c r="G1047" s="9" t="s">
        <v>53</v>
      </c>
      <c r="H1047" s="10">
        <v>45556</v>
      </c>
      <c r="I1047" s="10">
        <v>45556</v>
      </c>
      <c r="J1047" s="5">
        <f t="shared" si="48"/>
        <v>0</v>
      </c>
      <c r="K1047" s="5" t="str">
        <f t="shared" si="49"/>
        <v>Met</v>
      </c>
      <c r="L1047" s="7" t="str">
        <f t="shared" si="50"/>
        <v>Sep</v>
      </c>
    </row>
    <row r="1048" spans="1:12" x14ac:dyDescent="0.3">
      <c r="A1048" s="4" t="s">
        <v>1294</v>
      </c>
      <c r="B1048" s="5" t="s">
        <v>27</v>
      </c>
      <c r="C1048" s="5" t="s">
        <v>28</v>
      </c>
      <c r="D1048" s="5" t="s">
        <v>86</v>
      </c>
      <c r="E1048" s="5" t="s">
        <v>244</v>
      </c>
      <c r="F1048" s="5" t="s">
        <v>37</v>
      </c>
      <c r="G1048" s="5" t="s">
        <v>18</v>
      </c>
      <c r="H1048" s="6">
        <v>45540</v>
      </c>
      <c r="I1048" s="6">
        <f>[1]!Table1[[#This Row],[Open Date]]+1</f>
        <v>45541</v>
      </c>
      <c r="J1048" s="5">
        <f t="shared" si="48"/>
        <v>1</v>
      </c>
      <c r="K1048" s="5" t="str">
        <f t="shared" si="49"/>
        <v>Not Met</v>
      </c>
      <c r="L1048" s="7" t="str">
        <f t="shared" si="50"/>
        <v>Sep</v>
      </c>
    </row>
    <row r="1049" spans="1:12" x14ac:dyDescent="0.3">
      <c r="A1049" s="8" t="s">
        <v>1295</v>
      </c>
      <c r="B1049" s="9" t="s">
        <v>27</v>
      </c>
      <c r="C1049" s="9" t="s">
        <v>47</v>
      </c>
      <c r="D1049" s="9" t="s">
        <v>86</v>
      </c>
      <c r="E1049" s="9" t="s">
        <v>252</v>
      </c>
      <c r="F1049" s="9" t="s">
        <v>37</v>
      </c>
      <c r="G1049" s="9" t="s">
        <v>25</v>
      </c>
      <c r="H1049" s="10">
        <v>45599</v>
      </c>
      <c r="I1049" s="10">
        <v>45599</v>
      </c>
      <c r="J1049" s="5">
        <f t="shared" si="48"/>
        <v>0</v>
      </c>
      <c r="K1049" s="5" t="str">
        <f t="shared" si="49"/>
        <v>Met</v>
      </c>
      <c r="L1049" s="7" t="str">
        <f t="shared" si="50"/>
        <v>Nov</v>
      </c>
    </row>
    <row r="1050" spans="1:12" x14ac:dyDescent="0.3">
      <c r="A1050" s="4" t="s">
        <v>1296</v>
      </c>
      <c r="B1050" s="5" t="s">
        <v>27</v>
      </c>
      <c r="C1050" s="5" t="s">
        <v>47</v>
      </c>
      <c r="D1050" s="5" t="s">
        <v>148</v>
      </c>
      <c r="E1050" s="5" t="s">
        <v>258</v>
      </c>
      <c r="F1050" s="5" t="s">
        <v>17</v>
      </c>
      <c r="G1050" s="5" t="s">
        <v>42</v>
      </c>
      <c r="H1050" s="6">
        <v>45595</v>
      </c>
      <c r="I1050" s="6">
        <v>45595</v>
      </c>
      <c r="J1050" s="5">
        <f t="shared" si="48"/>
        <v>0</v>
      </c>
      <c r="K1050" s="5" t="str">
        <f t="shared" si="49"/>
        <v>Met</v>
      </c>
      <c r="L1050" s="7" t="str">
        <f t="shared" si="50"/>
        <v>Oct</v>
      </c>
    </row>
    <row r="1051" spans="1:12" x14ac:dyDescent="0.3">
      <c r="A1051" s="8" t="s">
        <v>1297</v>
      </c>
      <c r="B1051" s="9" t="s">
        <v>27</v>
      </c>
      <c r="C1051" s="9" t="s">
        <v>47</v>
      </c>
      <c r="D1051" s="9" t="s">
        <v>35</v>
      </c>
      <c r="E1051" s="9" t="s">
        <v>264</v>
      </c>
      <c r="F1051" s="9" t="s">
        <v>37</v>
      </c>
      <c r="G1051" s="9" t="s">
        <v>25</v>
      </c>
      <c r="H1051" s="10">
        <v>45540</v>
      </c>
      <c r="I1051" s="10">
        <v>45541</v>
      </c>
      <c r="J1051" s="5">
        <f t="shared" si="48"/>
        <v>1</v>
      </c>
      <c r="K1051" s="5" t="str">
        <f t="shared" si="49"/>
        <v>Not Met</v>
      </c>
      <c r="L1051" s="7" t="str">
        <f t="shared" si="50"/>
        <v>Sep</v>
      </c>
    </row>
    <row r="1052" spans="1:12" x14ac:dyDescent="0.3">
      <c r="A1052" s="4" t="s">
        <v>1298</v>
      </c>
      <c r="B1052" s="5" t="s">
        <v>27</v>
      </c>
      <c r="C1052" s="5" t="s">
        <v>28</v>
      </c>
      <c r="D1052" s="5" t="s">
        <v>35</v>
      </c>
      <c r="E1052" s="5" t="s">
        <v>266</v>
      </c>
      <c r="F1052" s="5" t="s">
        <v>37</v>
      </c>
      <c r="G1052" s="5" t="s">
        <v>31</v>
      </c>
      <c r="H1052" s="6">
        <v>45614</v>
      </c>
      <c r="I1052" s="6">
        <v>45614</v>
      </c>
      <c r="J1052" s="5">
        <f t="shared" si="48"/>
        <v>0</v>
      </c>
      <c r="K1052" s="5" t="str">
        <f t="shared" si="49"/>
        <v>Met</v>
      </c>
      <c r="L1052" s="7" t="str">
        <f t="shared" si="50"/>
        <v>Nov</v>
      </c>
    </row>
    <row r="1053" spans="1:12" x14ac:dyDescent="0.3">
      <c r="A1053" s="8" t="s">
        <v>1299</v>
      </c>
      <c r="B1053" s="9" t="s">
        <v>27</v>
      </c>
      <c r="C1053" s="9" t="s">
        <v>153</v>
      </c>
      <c r="D1053" s="9" t="s">
        <v>35</v>
      </c>
      <c r="E1053" s="9" t="s">
        <v>272</v>
      </c>
      <c r="F1053" s="9" t="s">
        <v>24</v>
      </c>
      <c r="G1053" s="9" t="s">
        <v>45</v>
      </c>
      <c r="H1053" s="10">
        <v>45495</v>
      </c>
      <c r="I1053" s="10">
        <v>45495</v>
      </c>
      <c r="J1053" s="5">
        <f t="shared" si="48"/>
        <v>0</v>
      </c>
      <c r="K1053" s="5" t="str">
        <f t="shared" si="49"/>
        <v>Met</v>
      </c>
      <c r="L1053" s="7" t="str">
        <f t="shared" si="50"/>
        <v>Jul</v>
      </c>
    </row>
    <row r="1054" spans="1:12" x14ac:dyDescent="0.3">
      <c r="A1054" s="4" t="s">
        <v>1300</v>
      </c>
      <c r="B1054" s="5" t="s">
        <v>27</v>
      </c>
      <c r="C1054" s="5" t="s">
        <v>28</v>
      </c>
      <c r="D1054" s="5" t="s">
        <v>66</v>
      </c>
      <c r="E1054" s="5" t="s">
        <v>280</v>
      </c>
      <c r="F1054" s="5" t="s">
        <v>24</v>
      </c>
      <c r="G1054" s="5" t="s">
        <v>25</v>
      </c>
      <c r="H1054" s="6">
        <v>45616</v>
      </c>
      <c r="I1054" s="6">
        <v>45616</v>
      </c>
      <c r="J1054" s="5">
        <f t="shared" si="48"/>
        <v>0</v>
      </c>
      <c r="K1054" s="5" t="str">
        <f t="shared" si="49"/>
        <v>Met</v>
      </c>
      <c r="L1054" s="7" t="str">
        <f t="shared" si="50"/>
        <v>Nov</v>
      </c>
    </row>
    <row r="1055" spans="1:12" x14ac:dyDescent="0.3">
      <c r="A1055" s="8" t="s">
        <v>1301</v>
      </c>
      <c r="B1055" s="9" t="s">
        <v>27</v>
      </c>
      <c r="C1055" s="9" t="s">
        <v>153</v>
      </c>
      <c r="D1055" s="9" t="s">
        <v>79</v>
      </c>
      <c r="E1055" s="9" t="s">
        <v>282</v>
      </c>
      <c r="F1055" s="9" t="s">
        <v>37</v>
      </c>
      <c r="G1055" s="9" t="s">
        <v>53</v>
      </c>
      <c r="H1055" s="10">
        <v>45478</v>
      </c>
      <c r="I1055" s="10">
        <v>45478</v>
      </c>
      <c r="J1055" s="5">
        <f t="shared" si="48"/>
        <v>0</v>
      </c>
      <c r="K1055" s="5" t="str">
        <f t="shared" si="49"/>
        <v>Met</v>
      </c>
      <c r="L1055" s="7" t="str">
        <f t="shared" si="50"/>
        <v>Jul</v>
      </c>
    </row>
    <row r="1056" spans="1:12" x14ac:dyDescent="0.3">
      <c r="A1056" s="4" t="s">
        <v>1302</v>
      </c>
      <c r="B1056" s="5" t="s">
        <v>27</v>
      </c>
      <c r="C1056" s="5" t="s">
        <v>28</v>
      </c>
      <c r="D1056" s="5" t="s">
        <v>86</v>
      </c>
      <c r="E1056" s="5" t="s">
        <v>298</v>
      </c>
      <c r="F1056" s="5" t="s">
        <v>24</v>
      </c>
      <c r="G1056" s="5" t="s">
        <v>18</v>
      </c>
      <c r="H1056" s="6">
        <v>45588</v>
      </c>
      <c r="I1056" s="6">
        <v>45588</v>
      </c>
      <c r="J1056" s="5">
        <f t="shared" si="48"/>
        <v>0</v>
      </c>
      <c r="K1056" s="5" t="str">
        <f t="shared" si="49"/>
        <v>Met</v>
      </c>
      <c r="L1056" s="7" t="str">
        <f t="shared" si="50"/>
        <v>Oct</v>
      </c>
    </row>
    <row r="1057" spans="1:12" x14ac:dyDescent="0.3">
      <c r="A1057" s="8" t="s">
        <v>1303</v>
      </c>
      <c r="B1057" s="9" t="s">
        <v>27</v>
      </c>
      <c r="C1057" s="9" t="s">
        <v>28</v>
      </c>
      <c r="D1057" s="9" t="s">
        <v>35</v>
      </c>
      <c r="E1057" s="9" t="s">
        <v>302</v>
      </c>
      <c r="F1057" s="9" t="s">
        <v>24</v>
      </c>
      <c r="G1057" s="9" t="s">
        <v>45</v>
      </c>
      <c r="H1057" s="10">
        <v>45598</v>
      </c>
      <c r="I1057" s="10">
        <v>45598</v>
      </c>
      <c r="J1057" s="5">
        <f t="shared" si="48"/>
        <v>0</v>
      </c>
      <c r="K1057" s="5" t="str">
        <f t="shared" si="49"/>
        <v>Met</v>
      </c>
      <c r="L1057" s="7" t="str">
        <f t="shared" si="50"/>
        <v>Nov</v>
      </c>
    </row>
    <row r="1058" spans="1:12" x14ac:dyDescent="0.3">
      <c r="A1058" s="4" t="s">
        <v>1304</v>
      </c>
      <c r="B1058" s="5" t="s">
        <v>27</v>
      </c>
      <c r="C1058" s="5" t="s">
        <v>47</v>
      </c>
      <c r="D1058" s="5" t="s">
        <v>66</v>
      </c>
      <c r="E1058" s="5" t="s">
        <v>306</v>
      </c>
      <c r="F1058" s="5" t="s">
        <v>17</v>
      </c>
      <c r="G1058" s="5" t="s">
        <v>18</v>
      </c>
      <c r="H1058" s="6">
        <v>45486</v>
      </c>
      <c r="I1058" s="6">
        <v>45486</v>
      </c>
      <c r="J1058" s="5">
        <f t="shared" si="48"/>
        <v>0</v>
      </c>
      <c r="K1058" s="5" t="str">
        <f t="shared" si="49"/>
        <v>Met</v>
      </c>
      <c r="L1058" s="7" t="str">
        <f t="shared" si="50"/>
        <v>Jul</v>
      </c>
    </row>
    <row r="1059" spans="1:12" x14ac:dyDescent="0.3">
      <c r="A1059" s="8" t="s">
        <v>1305</v>
      </c>
      <c r="B1059" s="9" t="s">
        <v>27</v>
      </c>
      <c r="C1059" s="9" t="s">
        <v>153</v>
      </c>
      <c r="D1059" s="9" t="s">
        <v>15</v>
      </c>
      <c r="E1059" s="9" t="s">
        <v>312</v>
      </c>
      <c r="F1059" s="9" t="s">
        <v>24</v>
      </c>
      <c r="G1059" s="9" t="s">
        <v>31</v>
      </c>
      <c r="H1059" s="10">
        <v>45484</v>
      </c>
      <c r="I1059" s="10">
        <v>45484</v>
      </c>
      <c r="J1059" s="5">
        <f t="shared" si="48"/>
        <v>0</v>
      </c>
      <c r="K1059" s="5" t="str">
        <f t="shared" si="49"/>
        <v>Met</v>
      </c>
      <c r="L1059" s="7" t="str">
        <f t="shared" si="50"/>
        <v>Jul</v>
      </c>
    </row>
    <row r="1060" spans="1:12" x14ac:dyDescent="0.3">
      <c r="A1060" s="4" t="s">
        <v>1306</v>
      </c>
      <c r="B1060" s="5" t="s">
        <v>27</v>
      </c>
      <c r="C1060" s="5" t="s">
        <v>153</v>
      </c>
      <c r="D1060" s="5" t="s">
        <v>79</v>
      </c>
      <c r="E1060" s="5" t="s">
        <v>338</v>
      </c>
      <c r="F1060" s="5" t="s">
        <v>17</v>
      </c>
      <c r="G1060" s="5" t="s">
        <v>18</v>
      </c>
      <c r="H1060" s="6">
        <v>45576</v>
      </c>
      <c r="I1060" s="6">
        <v>45576</v>
      </c>
      <c r="J1060" s="5">
        <f t="shared" si="48"/>
        <v>0</v>
      </c>
      <c r="K1060" s="5" t="str">
        <f t="shared" si="49"/>
        <v>Met</v>
      </c>
      <c r="L1060" s="7" t="str">
        <f t="shared" si="50"/>
        <v>Oct</v>
      </c>
    </row>
    <row r="1061" spans="1:12" x14ac:dyDescent="0.3">
      <c r="A1061" s="8" t="s">
        <v>1307</v>
      </c>
      <c r="B1061" s="9" t="s">
        <v>27</v>
      </c>
      <c r="C1061" s="9" t="s">
        <v>47</v>
      </c>
      <c r="D1061" s="9" t="s">
        <v>29</v>
      </c>
      <c r="E1061" s="9" t="s">
        <v>370</v>
      </c>
      <c r="F1061" s="9" t="s">
        <v>17</v>
      </c>
      <c r="G1061" s="9" t="s">
        <v>18</v>
      </c>
      <c r="H1061" s="10">
        <v>45546</v>
      </c>
      <c r="I1061" s="10">
        <v>45546</v>
      </c>
      <c r="J1061" s="5">
        <f t="shared" si="48"/>
        <v>0</v>
      </c>
      <c r="K1061" s="5" t="str">
        <f t="shared" si="49"/>
        <v>Met</v>
      </c>
      <c r="L1061" s="7" t="str">
        <f t="shared" si="50"/>
        <v>Sep</v>
      </c>
    </row>
    <row r="1062" spans="1:12" x14ac:dyDescent="0.3">
      <c r="A1062" s="4" t="s">
        <v>1308</v>
      </c>
      <c r="B1062" s="5" t="s">
        <v>27</v>
      </c>
      <c r="C1062" s="5" t="s">
        <v>47</v>
      </c>
      <c r="D1062" s="5" t="s">
        <v>15</v>
      </c>
      <c r="E1062" s="5" t="s">
        <v>374</v>
      </c>
      <c r="F1062" s="5" t="s">
        <v>37</v>
      </c>
      <c r="G1062" s="5" t="s">
        <v>18</v>
      </c>
      <c r="H1062" s="6">
        <v>45478</v>
      </c>
      <c r="I1062" s="6">
        <v>45478</v>
      </c>
      <c r="J1062" s="5">
        <f t="shared" si="48"/>
        <v>0</v>
      </c>
      <c r="K1062" s="5" t="str">
        <f t="shared" si="49"/>
        <v>Met</v>
      </c>
      <c r="L1062" s="7" t="str">
        <f t="shared" si="50"/>
        <v>Jul</v>
      </c>
    </row>
    <row r="1063" spans="1:12" x14ac:dyDescent="0.3">
      <c r="A1063" s="8" t="s">
        <v>1309</v>
      </c>
      <c r="B1063" s="9" t="s">
        <v>27</v>
      </c>
      <c r="C1063" s="9" t="s">
        <v>47</v>
      </c>
      <c r="D1063" s="9" t="s">
        <v>35</v>
      </c>
      <c r="E1063" s="9" t="s">
        <v>382</v>
      </c>
      <c r="F1063" s="9" t="s">
        <v>17</v>
      </c>
      <c r="G1063" s="9" t="s">
        <v>53</v>
      </c>
      <c r="H1063" s="10">
        <v>45565</v>
      </c>
      <c r="I1063" s="10">
        <v>45565</v>
      </c>
      <c r="J1063" s="5">
        <f t="shared" si="48"/>
        <v>0</v>
      </c>
      <c r="K1063" s="5" t="str">
        <f t="shared" si="49"/>
        <v>Met</v>
      </c>
      <c r="L1063" s="7" t="str">
        <f t="shared" si="50"/>
        <v>Sep</v>
      </c>
    </row>
    <row r="1064" spans="1:12" x14ac:dyDescent="0.3">
      <c r="A1064" s="4" t="s">
        <v>1310</v>
      </c>
      <c r="B1064" s="5" t="s">
        <v>27</v>
      </c>
      <c r="C1064" s="5" t="s">
        <v>28</v>
      </c>
      <c r="D1064" s="5" t="s">
        <v>35</v>
      </c>
      <c r="E1064" s="5" t="s">
        <v>406</v>
      </c>
      <c r="F1064" s="5" t="s">
        <v>37</v>
      </c>
      <c r="G1064" s="5" t="s">
        <v>18</v>
      </c>
      <c r="H1064" s="6">
        <v>45585</v>
      </c>
      <c r="I1064" s="6">
        <v>45585</v>
      </c>
      <c r="J1064" s="5">
        <f t="shared" si="48"/>
        <v>0</v>
      </c>
      <c r="K1064" s="5" t="str">
        <f t="shared" si="49"/>
        <v>Met</v>
      </c>
      <c r="L1064" s="7" t="str">
        <f t="shared" si="50"/>
        <v>Oct</v>
      </c>
    </row>
    <row r="1065" spans="1:12" x14ac:dyDescent="0.3">
      <c r="A1065" s="8" t="s">
        <v>1311</v>
      </c>
      <c r="B1065" s="9" t="s">
        <v>27</v>
      </c>
      <c r="C1065" s="9" t="s">
        <v>28</v>
      </c>
      <c r="D1065" s="9" t="s">
        <v>22</v>
      </c>
      <c r="E1065" s="9" t="s">
        <v>408</v>
      </c>
      <c r="F1065" s="9" t="s">
        <v>37</v>
      </c>
      <c r="G1065" s="9" t="s">
        <v>25</v>
      </c>
      <c r="H1065" s="10">
        <v>45615</v>
      </c>
      <c r="I1065" s="10">
        <v>45615</v>
      </c>
      <c r="J1065" s="5">
        <f t="shared" si="48"/>
        <v>0</v>
      </c>
      <c r="K1065" s="5" t="str">
        <f t="shared" si="49"/>
        <v>Met</v>
      </c>
      <c r="L1065" s="7" t="str">
        <f t="shared" si="50"/>
        <v>Nov</v>
      </c>
    </row>
    <row r="1066" spans="1:12" x14ac:dyDescent="0.3">
      <c r="A1066" s="4" t="s">
        <v>1312</v>
      </c>
      <c r="B1066" s="5" t="s">
        <v>27</v>
      </c>
      <c r="C1066" s="5" t="s">
        <v>47</v>
      </c>
      <c r="D1066" s="5" t="s">
        <v>79</v>
      </c>
      <c r="E1066" s="5" t="s">
        <v>410</v>
      </c>
      <c r="F1066" s="5" t="s">
        <v>24</v>
      </c>
      <c r="G1066" s="5" t="s">
        <v>45</v>
      </c>
      <c r="H1066" s="6">
        <v>45518</v>
      </c>
      <c r="I1066" s="6">
        <v>45518</v>
      </c>
      <c r="J1066" s="5">
        <f t="shared" si="48"/>
        <v>0</v>
      </c>
      <c r="K1066" s="5" t="str">
        <f t="shared" si="49"/>
        <v>Met</v>
      </c>
      <c r="L1066" s="7" t="str">
        <f t="shared" si="50"/>
        <v>Aug</v>
      </c>
    </row>
    <row r="1067" spans="1:12" x14ac:dyDescent="0.3">
      <c r="A1067" s="8" t="s">
        <v>1313</v>
      </c>
      <c r="B1067" s="9" t="s">
        <v>27</v>
      </c>
      <c r="C1067" s="9" t="s">
        <v>153</v>
      </c>
      <c r="D1067" s="9" t="s">
        <v>86</v>
      </c>
      <c r="E1067" s="9" t="s">
        <v>414</v>
      </c>
      <c r="F1067" s="9" t="s">
        <v>17</v>
      </c>
      <c r="G1067" s="9" t="s">
        <v>18</v>
      </c>
      <c r="H1067" s="10">
        <v>45628</v>
      </c>
      <c r="I1067" s="10">
        <v>45628</v>
      </c>
      <c r="J1067" s="5">
        <f t="shared" si="48"/>
        <v>0</v>
      </c>
      <c r="K1067" s="5" t="str">
        <f t="shared" si="49"/>
        <v>Met</v>
      </c>
      <c r="L1067" s="7" t="str">
        <f t="shared" si="50"/>
        <v>Dec</v>
      </c>
    </row>
    <row r="1068" spans="1:12" x14ac:dyDescent="0.3">
      <c r="A1068" s="4" t="s">
        <v>1314</v>
      </c>
      <c r="B1068" s="5" t="s">
        <v>27</v>
      </c>
      <c r="C1068" s="5" t="s">
        <v>47</v>
      </c>
      <c r="D1068" s="5" t="s">
        <v>66</v>
      </c>
      <c r="E1068" s="5" t="s">
        <v>428</v>
      </c>
      <c r="F1068" s="5" t="s">
        <v>37</v>
      </c>
      <c r="G1068" s="5" t="s">
        <v>31</v>
      </c>
      <c r="H1068" s="6">
        <v>45633</v>
      </c>
      <c r="I1068" s="6">
        <v>45633</v>
      </c>
      <c r="J1068" s="5">
        <f t="shared" si="48"/>
        <v>0</v>
      </c>
      <c r="K1068" s="5" t="str">
        <f t="shared" si="49"/>
        <v>Met</v>
      </c>
      <c r="L1068" s="7" t="str">
        <f t="shared" si="50"/>
        <v>Dec</v>
      </c>
    </row>
    <row r="1069" spans="1:12" x14ac:dyDescent="0.3">
      <c r="A1069" s="8" t="s">
        <v>1315</v>
      </c>
      <c r="B1069" s="9" t="s">
        <v>27</v>
      </c>
      <c r="C1069" s="9" t="s">
        <v>28</v>
      </c>
      <c r="D1069" s="9" t="s">
        <v>35</v>
      </c>
      <c r="E1069" s="9" t="s">
        <v>430</v>
      </c>
      <c r="F1069" s="9" t="s">
        <v>24</v>
      </c>
      <c r="G1069" s="9" t="s">
        <v>45</v>
      </c>
      <c r="H1069" s="10">
        <v>45474</v>
      </c>
      <c r="I1069" s="10">
        <v>45474</v>
      </c>
      <c r="J1069" s="5">
        <f t="shared" si="48"/>
        <v>0</v>
      </c>
      <c r="K1069" s="5" t="str">
        <f t="shared" si="49"/>
        <v>Met</v>
      </c>
      <c r="L1069" s="7" t="str">
        <f t="shared" si="50"/>
        <v>Jul</v>
      </c>
    </row>
    <row r="1070" spans="1:12" x14ac:dyDescent="0.3">
      <c r="A1070" s="4" t="s">
        <v>1316</v>
      </c>
      <c r="B1070" s="5" t="s">
        <v>27</v>
      </c>
      <c r="C1070" s="5" t="s">
        <v>28</v>
      </c>
      <c r="D1070" s="5" t="s">
        <v>35</v>
      </c>
      <c r="E1070" s="5" t="s">
        <v>434</v>
      </c>
      <c r="F1070" s="5" t="s">
        <v>17</v>
      </c>
      <c r="G1070" s="5" t="s">
        <v>42</v>
      </c>
      <c r="H1070" s="6">
        <v>45492</v>
      </c>
      <c r="I1070" s="6">
        <v>45492</v>
      </c>
      <c r="J1070" s="5">
        <f t="shared" si="48"/>
        <v>0</v>
      </c>
      <c r="K1070" s="5" t="str">
        <f t="shared" si="49"/>
        <v>Met</v>
      </c>
      <c r="L1070" s="7" t="str">
        <f t="shared" si="50"/>
        <v>Jul</v>
      </c>
    </row>
    <row r="1071" spans="1:12" x14ac:dyDescent="0.3">
      <c r="A1071" s="8" t="s">
        <v>1317</v>
      </c>
      <c r="B1071" s="12" t="s">
        <v>27</v>
      </c>
      <c r="C1071" s="12" t="s">
        <v>28</v>
      </c>
      <c r="D1071" s="12" t="s">
        <v>29</v>
      </c>
      <c r="E1071" s="12" t="s">
        <v>30</v>
      </c>
      <c r="F1071" s="12" t="s">
        <v>24</v>
      </c>
      <c r="G1071" s="12" t="s">
        <v>31</v>
      </c>
      <c r="H1071" s="11">
        <v>45513</v>
      </c>
      <c r="I1071" s="11">
        <v>45513</v>
      </c>
      <c r="J1071" s="5">
        <f t="shared" si="48"/>
        <v>0</v>
      </c>
      <c r="K1071" s="5" t="str">
        <f t="shared" si="49"/>
        <v>Met</v>
      </c>
      <c r="L1071" s="7" t="str">
        <f t="shared" si="50"/>
        <v>Aug</v>
      </c>
    </row>
    <row r="1072" spans="1:12" x14ac:dyDescent="0.3">
      <c r="A1072" s="4" t="s">
        <v>1318</v>
      </c>
      <c r="B1072" s="13" t="s">
        <v>27</v>
      </c>
      <c r="C1072" s="13" t="s">
        <v>47</v>
      </c>
      <c r="D1072" s="13" t="s">
        <v>15</v>
      </c>
      <c r="E1072" s="13" t="s">
        <v>48</v>
      </c>
      <c r="F1072" s="13" t="s">
        <v>37</v>
      </c>
      <c r="G1072" s="13" t="s">
        <v>45</v>
      </c>
      <c r="H1072" s="7">
        <v>45496</v>
      </c>
      <c r="I1072" s="6">
        <f>[1]!Table1[[#This Row],[Open Date]]</f>
        <v>45496</v>
      </c>
      <c r="J1072" s="5">
        <f t="shared" si="48"/>
        <v>0</v>
      </c>
      <c r="K1072" s="5" t="str">
        <f t="shared" si="49"/>
        <v>Met</v>
      </c>
      <c r="L1072" s="7" t="str">
        <f t="shared" si="50"/>
        <v>Jul</v>
      </c>
    </row>
    <row r="1073" spans="1:12" x14ac:dyDescent="0.3">
      <c r="A1073" s="8" t="s">
        <v>1319</v>
      </c>
      <c r="B1073" s="12" t="s">
        <v>27</v>
      </c>
      <c r="C1073" s="12" t="s">
        <v>47</v>
      </c>
      <c r="D1073" s="12" t="s">
        <v>29</v>
      </c>
      <c r="E1073" s="12" t="s">
        <v>50</v>
      </c>
      <c r="F1073" s="12" t="s">
        <v>17</v>
      </c>
      <c r="G1073" s="12" t="s">
        <v>31</v>
      </c>
      <c r="H1073" s="11">
        <v>45583</v>
      </c>
      <c r="I1073" s="10">
        <v>45583</v>
      </c>
      <c r="J1073" s="5">
        <f t="shared" si="48"/>
        <v>0</v>
      </c>
      <c r="K1073" s="5" t="str">
        <f t="shared" si="49"/>
        <v>Met</v>
      </c>
      <c r="L1073" s="7" t="str">
        <f t="shared" si="50"/>
        <v>Oct</v>
      </c>
    </row>
    <row r="1074" spans="1:12" x14ac:dyDescent="0.3">
      <c r="A1074" s="4" t="s">
        <v>1320</v>
      </c>
      <c r="B1074" s="13" t="s">
        <v>27</v>
      </c>
      <c r="C1074" s="13" t="s">
        <v>47</v>
      </c>
      <c r="D1074" s="13" t="s">
        <v>35</v>
      </c>
      <c r="E1074" s="13" t="s">
        <v>84</v>
      </c>
      <c r="F1074" s="13" t="s">
        <v>37</v>
      </c>
      <c r="G1074" s="13" t="s">
        <v>18</v>
      </c>
      <c r="H1074" s="7">
        <v>45511</v>
      </c>
      <c r="I1074" s="7">
        <v>45511</v>
      </c>
      <c r="J1074" s="5">
        <f t="shared" si="48"/>
        <v>0</v>
      </c>
      <c r="K1074" s="5" t="str">
        <f t="shared" si="49"/>
        <v>Met</v>
      </c>
      <c r="L1074" s="7" t="str">
        <f t="shared" si="50"/>
        <v>Aug</v>
      </c>
    </row>
    <row r="1075" spans="1:12" x14ac:dyDescent="0.3">
      <c r="A1075" s="8" t="s">
        <v>1321</v>
      </c>
      <c r="B1075" s="12" t="s">
        <v>27</v>
      </c>
      <c r="C1075" s="12" t="s">
        <v>47</v>
      </c>
      <c r="D1075" s="12" t="s">
        <v>35</v>
      </c>
      <c r="E1075" s="12" t="s">
        <v>108</v>
      </c>
      <c r="F1075" s="12" t="s">
        <v>37</v>
      </c>
      <c r="G1075" s="12" t="s">
        <v>18</v>
      </c>
      <c r="H1075" s="11">
        <v>45614</v>
      </c>
      <c r="I1075" s="10">
        <v>45614</v>
      </c>
      <c r="J1075" s="5">
        <f t="shared" si="48"/>
        <v>0</v>
      </c>
      <c r="K1075" s="5" t="str">
        <f t="shared" si="49"/>
        <v>Met</v>
      </c>
      <c r="L1075" s="7" t="str">
        <f t="shared" si="50"/>
        <v>Nov</v>
      </c>
    </row>
    <row r="1076" spans="1:12" x14ac:dyDescent="0.3">
      <c r="A1076" s="4" t="s">
        <v>1322</v>
      </c>
      <c r="B1076" s="13" t="s">
        <v>27</v>
      </c>
      <c r="C1076" s="13" t="s">
        <v>28</v>
      </c>
      <c r="D1076" s="5" t="s">
        <v>35</v>
      </c>
      <c r="E1076" s="13" t="s">
        <v>136</v>
      </c>
      <c r="F1076" s="13" t="s">
        <v>37</v>
      </c>
      <c r="G1076" s="13" t="s">
        <v>42</v>
      </c>
      <c r="H1076" s="7">
        <v>45503</v>
      </c>
      <c r="I1076" s="7">
        <v>45503</v>
      </c>
      <c r="J1076" s="5">
        <f t="shared" si="48"/>
        <v>0</v>
      </c>
      <c r="K1076" s="5" t="str">
        <f t="shared" si="49"/>
        <v>Met</v>
      </c>
      <c r="L1076" s="7" t="str">
        <f t="shared" si="50"/>
        <v>Jul</v>
      </c>
    </row>
    <row r="1077" spans="1:12" x14ac:dyDescent="0.3">
      <c r="A1077" s="8" t="s">
        <v>1323</v>
      </c>
      <c r="B1077" s="12" t="s">
        <v>27</v>
      </c>
      <c r="C1077" s="12" t="s">
        <v>28</v>
      </c>
      <c r="D1077" s="12" t="s">
        <v>79</v>
      </c>
      <c r="E1077" s="12" t="s">
        <v>138</v>
      </c>
      <c r="F1077" s="12" t="s">
        <v>37</v>
      </c>
      <c r="G1077" s="12" t="s">
        <v>25</v>
      </c>
      <c r="H1077" s="11">
        <v>45602</v>
      </c>
      <c r="I1077" s="10">
        <v>45602</v>
      </c>
      <c r="J1077" s="5">
        <f t="shared" si="48"/>
        <v>0</v>
      </c>
      <c r="K1077" s="5" t="str">
        <f t="shared" si="49"/>
        <v>Met</v>
      </c>
      <c r="L1077" s="7" t="str">
        <f t="shared" si="50"/>
        <v>Nov</v>
      </c>
    </row>
    <row r="1078" spans="1:12" x14ac:dyDescent="0.3">
      <c r="A1078" s="4" t="s">
        <v>1324</v>
      </c>
      <c r="B1078" s="13" t="s">
        <v>27</v>
      </c>
      <c r="C1078" s="13" t="s">
        <v>153</v>
      </c>
      <c r="D1078" s="13" t="s">
        <v>22</v>
      </c>
      <c r="E1078" s="13" t="s">
        <v>154</v>
      </c>
      <c r="F1078" s="13" t="s">
        <v>17</v>
      </c>
      <c r="G1078" s="13" t="s">
        <v>42</v>
      </c>
      <c r="H1078" s="7">
        <v>45607</v>
      </c>
      <c r="I1078" s="6">
        <v>45607</v>
      </c>
      <c r="J1078" s="5">
        <f t="shared" si="48"/>
        <v>0</v>
      </c>
      <c r="K1078" s="5" t="str">
        <f t="shared" si="49"/>
        <v>Met</v>
      </c>
      <c r="L1078" s="7" t="str">
        <f t="shared" si="50"/>
        <v>Nov</v>
      </c>
    </row>
    <row r="1079" spans="1:12" x14ac:dyDescent="0.3">
      <c r="A1079" s="8" t="s">
        <v>1325</v>
      </c>
      <c r="B1079" s="12" t="s">
        <v>27</v>
      </c>
      <c r="C1079" s="12" t="s">
        <v>47</v>
      </c>
      <c r="D1079" s="12" t="s">
        <v>35</v>
      </c>
      <c r="E1079" s="12" t="s">
        <v>172</v>
      </c>
      <c r="F1079" s="12" t="s">
        <v>37</v>
      </c>
      <c r="G1079" s="12" t="s">
        <v>31</v>
      </c>
      <c r="H1079" s="11">
        <v>45614</v>
      </c>
      <c r="I1079" s="10">
        <v>45614</v>
      </c>
      <c r="J1079" s="5">
        <f t="shared" si="48"/>
        <v>0</v>
      </c>
      <c r="K1079" s="5" t="str">
        <f t="shared" si="49"/>
        <v>Met</v>
      </c>
      <c r="L1079" s="7" t="str">
        <f t="shared" si="50"/>
        <v>Nov</v>
      </c>
    </row>
    <row r="1080" spans="1:12" x14ac:dyDescent="0.3">
      <c r="A1080" s="4" t="s">
        <v>1326</v>
      </c>
      <c r="B1080" s="13" t="s">
        <v>27</v>
      </c>
      <c r="C1080" s="13" t="s">
        <v>47</v>
      </c>
      <c r="D1080" s="13" t="s">
        <v>35</v>
      </c>
      <c r="E1080" s="13" t="s">
        <v>178</v>
      </c>
      <c r="F1080" s="13" t="s">
        <v>37</v>
      </c>
      <c r="G1080" s="13" t="s">
        <v>18</v>
      </c>
      <c r="H1080" s="7">
        <v>45605</v>
      </c>
      <c r="I1080" s="6">
        <v>45605</v>
      </c>
      <c r="J1080" s="5">
        <f t="shared" si="48"/>
        <v>0</v>
      </c>
      <c r="K1080" s="5" t="str">
        <f t="shared" si="49"/>
        <v>Met</v>
      </c>
      <c r="L1080" s="7" t="str">
        <f t="shared" si="50"/>
        <v>Nov</v>
      </c>
    </row>
    <row r="1081" spans="1:12" x14ac:dyDescent="0.3">
      <c r="A1081" s="8" t="s">
        <v>1327</v>
      </c>
      <c r="B1081" s="12" t="s">
        <v>27</v>
      </c>
      <c r="C1081" s="12" t="s">
        <v>153</v>
      </c>
      <c r="D1081" s="12" t="s">
        <v>29</v>
      </c>
      <c r="E1081" s="12" t="s">
        <v>180</v>
      </c>
      <c r="F1081" s="12" t="s">
        <v>37</v>
      </c>
      <c r="G1081" s="12" t="s">
        <v>18</v>
      </c>
      <c r="H1081" s="11">
        <v>45491</v>
      </c>
      <c r="I1081" s="11">
        <v>45491</v>
      </c>
      <c r="J1081" s="5">
        <f t="shared" si="48"/>
        <v>0</v>
      </c>
      <c r="K1081" s="5" t="str">
        <f t="shared" si="49"/>
        <v>Met</v>
      </c>
      <c r="L1081" s="7" t="str">
        <f t="shared" si="50"/>
        <v>Jul</v>
      </c>
    </row>
    <row r="1082" spans="1:12" x14ac:dyDescent="0.3">
      <c r="A1082" s="4" t="s">
        <v>1328</v>
      </c>
      <c r="B1082" s="13" t="s">
        <v>27</v>
      </c>
      <c r="C1082" s="13" t="s">
        <v>28</v>
      </c>
      <c r="D1082" s="13" t="s">
        <v>22</v>
      </c>
      <c r="E1082" s="13" t="s">
        <v>184</v>
      </c>
      <c r="F1082" s="13" t="s">
        <v>24</v>
      </c>
      <c r="G1082" s="13" t="s">
        <v>25</v>
      </c>
      <c r="H1082" s="7">
        <v>45589</v>
      </c>
      <c r="I1082" s="6">
        <v>45589</v>
      </c>
      <c r="J1082" s="5">
        <f t="shared" si="48"/>
        <v>0</v>
      </c>
      <c r="K1082" s="5" t="str">
        <f t="shared" si="49"/>
        <v>Met</v>
      </c>
      <c r="L1082" s="7" t="str">
        <f t="shared" si="50"/>
        <v>Oct</v>
      </c>
    </row>
    <row r="1083" spans="1:12" x14ac:dyDescent="0.3">
      <c r="A1083" s="8" t="s">
        <v>1329</v>
      </c>
      <c r="B1083" s="12" t="s">
        <v>27</v>
      </c>
      <c r="C1083" s="12" t="s">
        <v>153</v>
      </c>
      <c r="D1083" s="12" t="s">
        <v>15</v>
      </c>
      <c r="E1083" s="12" t="s">
        <v>188</v>
      </c>
      <c r="F1083" s="12" t="s">
        <v>17</v>
      </c>
      <c r="G1083" s="12" t="s">
        <v>42</v>
      </c>
      <c r="H1083" s="11">
        <v>45591</v>
      </c>
      <c r="I1083" s="10">
        <v>45591</v>
      </c>
      <c r="J1083" s="5">
        <f t="shared" si="48"/>
        <v>0</v>
      </c>
      <c r="K1083" s="5" t="str">
        <f t="shared" si="49"/>
        <v>Met</v>
      </c>
      <c r="L1083" s="7" t="str">
        <f t="shared" si="50"/>
        <v>Oct</v>
      </c>
    </row>
    <row r="1084" spans="1:12" x14ac:dyDescent="0.3">
      <c r="A1084" s="4" t="s">
        <v>1330</v>
      </c>
      <c r="B1084" s="13" t="s">
        <v>27</v>
      </c>
      <c r="C1084" s="13" t="s">
        <v>153</v>
      </c>
      <c r="D1084" s="13" t="s">
        <v>22</v>
      </c>
      <c r="E1084" s="13" t="s">
        <v>192</v>
      </c>
      <c r="F1084" s="13" t="s">
        <v>17</v>
      </c>
      <c r="G1084" s="13" t="s">
        <v>31</v>
      </c>
      <c r="H1084" s="7">
        <v>45580</v>
      </c>
      <c r="I1084" s="7">
        <v>45580</v>
      </c>
      <c r="J1084" s="5">
        <f t="shared" si="48"/>
        <v>0</v>
      </c>
      <c r="K1084" s="5" t="str">
        <f t="shared" si="49"/>
        <v>Met</v>
      </c>
      <c r="L1084" s="7" t="str">
        <f t="shared" si="50"/>
        <v>Oct</v>
      </c>
    </row>
    <row r="1085" spans="1:12" x14ac:dyDescent="0.3">
      <c r="A1085" s="8" t="s">
        <v>1331</v>
      </c>
      <c r="B1085" s="12" t="s">
        <v>27</v>
      </c>
      <c r="C1085" s="12" t="s">
        <v>28</v>
      </c>
      <c r="D1085" s="12" t="s">
        <v>86</v>
      </c>
      <c r="E1085" s="12" t="s">
        <v>206</v>
      </c>
      <c r="F1085" s="12" t="s">
        <v>17</v>
      </c>
      <c r="G1085" s="12" t="s">
        <v>31</v>
      </c>
      <c r="H1085" s="11">
        <v>45600</v>
      </c>
      <c r="I1085" s="10">
        <v>45600</v>
      </c>
      <c r="J1085" s="5">
        <f t="shared" si="48"/>
        <v>0</v>
      </c>
      <c r="K1085" s="5" t="str">
        <f t="shared" si="49"/>
        <v>Met</v>
      </c>
      <c r="L1085" s="7" t="str">
        <f t="shared" si="50"/>
        <v>Nov</v>
      </c>
    </row>
    <row r="1086" spans="1:12" x14ac:dyDescent="0.3">
      <c r="A1086" s="4" t="s">
        <v>1332</v>
      </c>
      <c r="B1086" s="13" t="s">
        <v>27</v>
      </c>
      <c r="C1086" s="13" t="s">
        <v>153</v>
      </c>
      <c r="D1086" s="13" t="s">
        <v>66</v>
      </c>
      <c r="E1086" s="13" t="s">
        <v>210</v>
      </c>
      <c r="F1086" s="13" t="s">
        <v>17</v>
      </c>
      <c r="G1086" s="13" t="s">
        <v>42</v>
      </c>
      <c r="H1086" s="7">
        <v>45540</v>
      </c>
      <c r="I1086" s="7">
        <v>45540</v>
      </c>
      <c r="J1086" s="5">
        <f t="shared" si="48"/>
        <v>0</v>
      </c>
      <c r="K1086" s="5" t="str">
        <f t="shared" si="49"/>
        <v>Met</v>
      </c>
      <c r="L1086" s="7" t="str">
        <f t="shared" si="50"/>
        <v>Sep</v>
      </c>
    </row>
    <row r="1087" spans="1:12" x14ac:dyDescent="0.3">
      <c r="A1087" s="8" t="s">
        <v>1333</v>
      </c>
      <c r="B1087" s="12" t="s">
        <v>27</v>
      </c>
      <c r="C1087" s="12" t="s">
        <v>47</v>
      </c>
      <c r="D1087" s="12" t="s">
        <v>66</v>
      </c>
      <c r="E1087" s="12" t="s">
        <v>218</v>
      </c>
      <c r="F1087" s="12" t="s">
        <v>17</v>
      </c>
      <c r="G1087" s="12" t="s">
        <v>31</v>
      </c>
      <c r="H1087" s="11">
        <v>45561</v>
      </c>
      <c r="I1087" s="11">
        <v>45561</v>
      </c>
      <c r="J1087" s="5">
        <f t="shared" si="48"/>
        <v>0</v>
      </c>
      <c r="K1087" s="5" t="str">
        <f t="shared" si="49"/>
        <v>Met</v>
      </c>
      <c r="L1087" s="7" t="str">
        <f t="shared" si="50"/>
        <v>Sep</v>
      </c>
    </row>
    <row r="1088" spans="1:12" x14ac:dyDescent="0.3">
      <c r="A1088" s="4" t="s">
        <v>1334</v>
      </c>
      <c r="B1088" s="13" t="s">
        <v>27</v>
      </c>
      <c r="C1088" s="13" t="s">
        <v>153</v>
      </c>
      <c r="D1088" s="13" t="s">
        <v>35</v>
      </c>
      <c r="E1088" s="13" t="s">
        <v>222</v>
      </c>
      <c r="F1088" s="13" t="s">
        <v>24</v>
      </c>
      <c r="G1088" s="13" t="s">
        <v>25</v>
      </c>
      <c r="H1088" s="7">
        <v>45592</v>
      </c>
      <c r="I1088" s="6">
        <v>45592</v>
      </c>
      <c r="J1088" s="5">
        <f t="shared" si="48"/>
        <v>0</v>
      </c>
      <c r="K1088" s="5" t="str">
        <f t="shared" si="49"/>
        <v>Met</v>
      </c>
      <c r="L1088" s="7" t="str">
        <f t="shared" si="50"/>
        <v>Oct</v>
      </c>
    </row>
    <row r="1089" spans="1:12" x14ac:dyDescent="0.3">
      <c r="A1089" s="8" t="s">
        <v>1335</v>
      </c>
      <c r="B1089" s="12" t="s">
        <v>27</v>
      </c>
      <c r="C1089" s="12" t="s">
        <v>153</v>
      </c>
      <c r="D1089" s="12" t="s">
        <v>35</v>
      </c>
      <c r="E1089" s="12" t="s">
        <v>234</v>
      </c>
      <c r="F1089" s="12" t="s">
        <v>37</v>
      </c>
      <c r="G1089" s="12" t="s">
        <v>53</v>
      </c>
      <c r="H1089" s="11">
        <v>45556</v>
      </c>
      <c r="I1089" s="11">
        <v>45556</v>
      </c>
      <c r="J1089" s="5">
        <f t="shared" si="48"/>
        <v>0</v>
      </c>
      <c r="K1089" s="5" t="str">
        <f t="shared" si="49"/>
        <v>Met</v>
      </c>
      <c r="L1089" s="7" t="str">
        <f t="shared" si="50"/>
        <v>Sep</v>
      </c>
    </row>
    <row r="1090" spans="1:12" x14ac:dyDescent="0.3">
      <c r="A1090" s="4" t="s">
        <v>1336</v>
      </c>
      <c r="B1090" s="13" t="s">
        <v>27</v>
      </c>
      <c r="C1090" s="13" t="s">
        <v>28</v>
      </c>
      <c r="D1090" s="13" t="s">
        <v>86</v>
      </c>
      <c r="E1090" s="13" t="s">
        <v>244</v>
      </c>
      <c r="F1090" s="13" t="s">
        <v>37</v>
      </c>
      <c r="G1090" s="13" t="s">
        <v>18</v>
      </c>
      <c r="H1090" s="7">
        <v>45540</v>
      </c>
      <c r="I1090" s="7">
        <v>45540</v>
      </c>
      <c r="J1090" s="5">
        <f t="shared" si="48"/>
        <v>0</v>
      </c>
      <c r="K1090" s="5" t="str">
        <f t="shared" si="49"/>
        <v>Met</v>
      </c>
      <c r="L1090" s="7" t="str">
        <f t="shared" si="50"/>
        <v>Sep</v>
      </c>
    </row>
    <row r="1091" spans="1:12" x14ac:dyDescent="0.3">
      <c r="A1091" s="8" t="s">
        <v>1337</v>
      </c>
      <c r="B1091" s="12" t="s">
        <v>27</v>
      </c>
      <c r="C1091" s="12" t="s">
        <v>47</v>
      </c>
      <c r="D1091" s="12" t="s">
        <v>86</v>
      </c>
      <c r="E1091" s="12" t="s">
        <v>252</v>
      </c>
      <c r="F1091" s="12" t="s">
        <v>37</v>
      </c>
      <c r="G1091" s="12" t="s">
        <v>25</v>
      </c>
      <c r="H1091" s="11">
        <v>45599</v>
      </c>
      <c r="I1091" s="10">
        <v>45599</v>
      </c>
      <c r="J1091" s="5">
        <f t="shared" ref="J1091:J1127" si="51">I1091-H1091</f>
        <v>0</v>
      </c>
      <c r="K1091" s="5" t="str">
        <f t="shared" ref="K1091:K1127" si="52">IF(J1091&gt;= 1, "Not Met","Met")</f>
        <v>Met</v>
      </c>
      <c r="L1091" s="7" t="str">
        <f t="shared" ref="L1091:L1127" si="53">TEXT(H1091,"MMM")</f>
        <v>Nov</v>
      </c>
    </row>
    <row r="1092" spans="1:12" x14ac:dyDescent="0.3">
      <c r="A1092" s="4" t="s">
        <v>1338</v>
      </c>
      <c r="B1092" s="13" t="s">
        <v>27</v>
      </c>
      <c r="C1092" s="13" t="s">
        <v>47</v>
      </c>
      <c r="D1092" s="13" t="s">
        <v>148</v>
      </c>
      <c r="E1092" s="13" t="s">
        <v>258</v>
      </c>
      <c r="F1092" s="13" t="s">
        <v>17</v>
      </c>
      <c r="G1092" s="13" t="s">
        <v>42</v>
      </c>
      <c r="H1092" s="7">
        <v>45595</v>
      </c>
      <c r="I1092" s="7">
        <v>45595</v>
      </c>
      <c r="J1092" s="5">
        <f t="shared" si="51"/>
        <v>0</v>
      </c>
      <c r="K1092" s="5" t="str">
        <f t="shared" si="52"/>
        <v>Met</v>
      </c>
      <c r="L1092" s="7" t="str">
        <f t="shared" si="53"/>
        <v>Oct</v>
      </c>
    </row>
    <row r="1093" spans="1:12" x14ac:dyDescent="0.3">
      <c r="A1093" s="8" t="s">
        <v>1339</v>
      </c>
      <c r="B1093" s="12" t="s">
        <v>27</v>
      </c>
      <c r="C1093" s="12" t="s">
        <v>47</v>
      </c>
      <c r="D1093" s="9" t="s">
        <v>35</v>
      </c>
      <c r="E1093" s="12" t="s">
        <v>264</v>
      </c>
      <c r="F1093" s="12" t="s">
        <v>37</v>
      </c>
      <c r="G1093" s="12" t="s">
        <v>25</v>
      </c>
      <c r="H1093" s="11">
        <v>45540</v>
      </c>
      <c r="I1093" s="10">
        <v>45540</v>
      </c>
      <c r="J1093" s="5">
        <f t="shared" si="51"/>
        <v>0</v>
      </c>
      <c r="K1093" s="5" t="str">
        <f t="shared" si="52"/>
        <v>Met</v>
      </c>
      <c r="L1093" s="7" t="str">
        <f t="shared" si="53"/>
        <v>Sep</v>
      </c>
    </row>
    <row r="1094" spans="1:12" x14ac:dyDescent="0.3">
      <c r="A1094" s="4" t="s">
        <v>1340</v>
      </c>
      <c r="B1094" s="13" t="s">
        <v>27</v>
      </c>
      <c r="C1094" s="13" t="s">
        <v>28</v>
      </c>
      <c r="D1094" s="13" t="s">
        <v>35</v>
      </c>
      <c r="E1094" s="13" t="s">
        <v>266</v>
      </c>
      <c r="F1094" s="13" t="s">
        <v>37</v>
      </c>
      <c r="G1094" s="13" t="s">
        <v>31</v>
      </c>
      <c r="H1094" s="7">
        <v>45614</v>
      </c>
      <c r="I1094" s="6">
        <v>45614</v>
      </c>
      <c r="J1094" s="5">
        <f t="shared" si="51"/>
        <v>0</v>
      </c>
      <c r="K1094" s="5" t="str">
        <f t="shared" si="52"/>
        <v>Met</v>
      </c>
      <c r="L1094" s="7" t="str">
        <f t="shared" si="53"/>
        <v>Nov</v>
      </c>
    </row>
    <row r="1095" spans="1:12" x14ac:dyDescent="0.3">
      <c r="A1095" s="8" t="s">
        <v>1341</v>
      </c>
      <c r="B1095" s="12" t="s">
        <v>27</v>
      </c>
      <c r="C1095" s="12" t="s">
        <v>153</v>
      </c>
      <c r="D1095" s="12" t="s">
        <v>35</v>
      </c>
      <c r="E1095" s="12" t="s">
        <v>272</v>
      </c>
      <c r="F1095" s="12" t="s">
        <v>24</v>
      </c>
      <c r="G1095" s="12" t="s">
        <v>45</v>
      </c>
      <c r="H1095" s="11">
        <v>45495</v>
      </c>
      <c r="I1095" s="11">
        <v>45495</v>
      </c>
      <c r="J1095" s="5">
        <f t="shared" si="51"/>
        <v>0</v>
      </c>
      <c r="K1095" s="5" t="str">
        <f t="shared" si="52"/>
        <v>Met</v>
      </c>
      <c r="L1095" s="7" t="str">
        <f t="shared" si="53"/>
        <v>Jul</v>
      </c>
    </row>
    <row r="1096" spans="1:12" x14ac:dyDescent="0.3">
      <c r="A1096" s="4" t="s">
        <v>1342</v>
      </c>
      <c r="B1096" s="13" t="s">
        <v>27</v>
      </c>
      <c r="C1096" s="13" t="s">
        <v>28</v>
      </c>
      <c r="D1096" s="13" t="s">
        <v>66</v>
      </c>
      <c r="E1096" s="13" t="s">
        <v>280</v>
      </c>
      <c r="F1096" s="13" t="s">
        <v>24</v>
      </c>
      <c r="G1096" s="13" t="s">
        <v>25</v>
      </c>
      <c r="H1096" s="7">
        <v>45616</v>
      </c>
      <c r="I1096" s="6">
        <v>45616</v>
      </c>
      <c r="J1096" s="5">
        <f t="shared" si="51"/>
        <v>0</v>
      </c>
      <c r="K1096" s="5" t="str">
        <f t="shared" si="52"/>
        <v>Met</v>
      </c>
      <c r="L1096" s="7" t="str">
        <f t="shared" si="53"/>
        <v>Nov</v>
      </c>
    </row>
    <row r="1097" spans="1:12" x14ac:dyDescent="0.3">
      <c r="A1097" s="8" t="s">
        <v>1343</v>
      </c>
      <c r="B1097" s="12" t="s">
        <v>27</v>
      </c>
      <c r="C1097" s="12" t="s">
        <v>153</v>
      </c>
      <c r="D1097" s="12" t="s">
        <v>79</v>
      </c>
      <c r="E1097" s="12" t="s">
        <v>282</v>
      </c>
      <c r="F1097" s="12" t="s">
        <v>37</v>
      </c>
      <c r="G1097" s="12" t="s">
        <v>53</v>
      </c>
      <c r="H1097" s="11">
        <v>45478</v>
      </c>
      <c r="I1097" s="11">
        <v>45478</v>
      </c>
      <c r="J1097" s="5">
        <f t="shared" si="51"/>
        <v>0</v>
      </c>
      <c r="K1097" s="5" t="str">
        <f t="shared" si="52"/>
        <v>Met</v>
      </c>
      <c r="L1097" s="7" t="str">
        <f t="shared" si="53"/>
        <v>Jul</v>
      </c>
    </row>
    <row r="1098" spans="1:12" x14ac:dyDescent="0.3">
      <c r="A1098" s="4" t="s">
        <v>1344</v>
      </c>
      <c r="B1098" s="13" t="s">
        <v>27</v>
      </c>
      <c r="C1098" s="13" t="s">
        <v>28</v>
      </c>
      <c r="D1098" s="13" t="s">
        <v>86</v>
      </c>
      <c r="E1098" s="13" t="s">
        <v>298</v>
      </c>
      <c r="F1098" s="13" t="s">
        <v>24</v>
      </c>
      <c r="G1098" s="13" t="s">
        <v>18</v>
      </c>
      <c r="H1098" s="7">
        <v>45588</v>
      </c>
      <c r="I1098" s="6">
        <v>45588</v>
      </c>
      <c r="J1098" s="5">
        <f t="shared" si="51"/>
        <v>0</v>
      </c>
      <c r="K1098" s="5" t="str">
        <f t="shared" si="52"/>
        <v>Met</v>
      </c>
      <c r="L1098" s="7" t="str">
        <f t="shared" si="53"/>
        <v>Oct</v>
      </c>
    </row>
    <row r="1099" spans="1:12" x14ac:dyDescent="0.3">
      <c r="A1099" s="8" t="s">
        <v>1345</v>
      </c>
      <c r="B1099" s="12" t="s">
        <v>27</v>
      </c>
      <c r="C1099" s="12" t="s">
        <v>28</v>
      </c>
      <c r="D1099" s="12" t="s">
        <v>35</v>
      </c>
      <c r="E1099" s="12" t="s">
        <v>302</v>
      </c>
      <c r="F1099" s="12" t="s">
        <v>24</v>
      </c>
      <c r="G1099" s="12" t="s">
        <v>45</v>
      </c>
      <c r="H1099" s="11">
        <v>45598</v>
      </c>
      <c r="I1099" s="10">
        <v>45598</v>
      </c>
      <c r="J1099" s="5">
        <f t="shared" si="51"/>
        <v>0</v>
      </c>
      <c r="K1099" s="5" t="str">
        <f t="shared" si="52"/>
        <v>Met</v>
      </c>
      <c r="L1099" s="7" t="str">
        <f t="shared" si="53"/>
        <v>Nov</v>
      </c>
    </row>
    <row r="1100" spans="1:12" x14ac:dyDescent="0.3">
      <c r="A1100" s="4" t="s">
        <v>1346</v>
      </c>
      <c r="B1100" s="13" t="s">
        <v>27</v>
      </c>
      <c r="C1100" s="13" t="s">
        <v>47</v>
      </c>
      <c r="D1100" s="13" t="s">
        <v>66</v>
      </c>
      <c r="E1100" s="13" t="s">
        <v>306</v>
      </c>
      <c r="F1100" s="13" t="s">
        <v>17</v>
      </c>
      <c r="G1100" s="13" t="s">
        <v>18</v>
      </c>
      <c r="H1100" s="7">
        <v>45486</v>
      </c>
      <c r="I1100" s="7">
        <v>45486</v>
      </c>
      <c r="J1100" s="5">
        <f t="shared" si="51"/>
        <v>0</v>
      </c>
      <c r="K1100" s="5" t="str">
        <f t="shared" si="52"/>
        <v>Met</v>
      </c>
      <c r="L1100" s="7" t="str">
        <f t="shared" si="53"/>
        <v>Jul</v>
      </c>
    </row>
    <row r="1101" spans="1:12" x14ac:dyDescent="0.3">
      <c r="A1101" s="8" t="s">
        <v>1347</v>
      </c>
      <c r="B1101" s="12" t="s">
        <v>27</v>
      </c>
      <c r="C1101" s="12" t="s">
        <v>153</v>
      </c>
      <c r="D1101" s="12" t="s">
        <v>15</v>
      </c>
      <c r="E1101" s="12" t="s">
        <v>312</v>
      </c>
      <c r="F1101" s="12" t="s">
        <v>24</v>
      </c>
      <c r="G1101" s="12" t="s">
        <v>31</v>
      </c>
      <c r="H1101" s="11">
        <v>45484</v>
      </c>
      <c r="I1101" s="11">
        <v>45484</v>
      </c>
      <c r="J1101" s="5">
        <f t="shared" si="51"/>
        <v>0</v>
      </c>
      <c r="K1101" s="5" t="str">
        <f t="shared" si="52"/>
        <v>Met</v>
      </c>
      <c r="L1101" s="7" t="str">
        <f t="shared" si="53"/>
        <v>Jul</v>
      </c>
    </row>
    <row r="1102" spans="1:12" x14ac:dyDescent="0.3">
      <c r="A1102" s="4" t="s">
        <v>1348</v>
      </c>
      <c r="B1102" s="13" t="s">
        <v>27</v>
      </c>
      <c r="C1102" s="13" t="s">
        <v>153</v>
      </c>
      <c r="D1102" s="13" t="s">
        <v>79</v>
      </c>
      <c r="E1102" s="13" t="s">
        <v>338</v>
      </c>
      <c r="F1102" s="13" t="s">
        <v>17</v>
      </c>
      <c r="G1102" s="13" t="s">
        <v>18</v>
      </c>
      <c r="H1102" s="7">
        <v>45576</v>
      </c>
      <c r="I1102" s="6">
        <v>45576</v>
      </c>
      <c r="J1102" s="5">
        <f t="shared" si="51"/>
        <v>0</v>
      </c>
      <c r="K1102" s="5" t="str">
        <f t="shared" si="52"/>
        <v>Met</v>
      </c>
      <c r="L1102" s="7" t="str">
        <f t="shared" si="53"/>
        <v>Oct</v>
      </c>
    </row>
    <row r="1103" spans="1:12" x14ac:dyDescent="0.3">
      <c r="A1103" s="8" t="s">
        <v>1349</v>
      </c>
      <c r="B1103" s="12" t="s">
        <v>27</v>
      </c>
      <c r="C1103" s="12" t="s">
        <v>47</v>
      </c>
      <c r="D1103" s="12" t="s">
        <v>29</v>
      </c>
      <c r="E1103" s="12" t="s">
        <v>370</v>
      </c>
      <c r="F1103" s="12" t="s">
        <v>17</v>
      </c>
      <c r="G1103" s="12" t="s">
        <v>18</v>
      </c>
      <c r="H1103" s="11">
        <v>45546</v>
      </c>
      <c r="I1103" s="11">
        <f>[1]!Table1[[#This Row],[Open Date]]+1</f>
        <v>45547</v>
      </c>
      <c r="J1103" s="5">
        <f t="shared" si="51"/>
        <v>1</v>
      </c>
      <c r="K1103" s="5" t="str">
        <f t="shared" si="52"/>
        <v>Not Met</v>
      </c>
      <c r="L1103" s="7" t="str">
        <f t="shared" si="53"/>
        <v>Sep</v>
      </c>
    </row>
    <row r="1104" spans="1:12" x14ac:dyDescent="0.3">
      <c r="A1104" s="4" t="s">
        <v>1350</v>
      </c>
      <c r="B1104" s="13" t="s">
        <v>27</v>
      </c>
      <c r="C1104" s="13" t="s">
        <v>47</v>
      </c>
      <c r="D1104" s="13" t="s">
        <v>15</v>
      </c>
      <c r="E1104" s="13" t="s">
        <v>374</v>
      </c>
      <c r="F1104" s="13" t="s">
        <v>37</v>
      </c>
      <c r="G1104" s="13" t="s">
        <v>18</v>
      </c>
      <c r="H1104" s="7">
        <v>45478</v>
      </c>
      <c r="I1104" s="7">
        <v>45478</v>
      </c>
      <c r="J1104" s="5">
        <f t="shared" si="51"/>
        <v>0</v>
      </c>
      <c r="K1104" s="5" t="str">
        <f t="shared" si="52"/>
        <v>Met</v>
      </c>
      <c r="L1104" s="7" t="str">
        <f t="shared" si="53"/>
        <v>Jul</v>
      </c>
    </row>
    <row r="1105" spans="1:12" x14ac:dyDescent="0.3">
      <c r="A1105" s="8" t="s">
        <v>1351</v>
      </c>
      <c r="B1105" s="12" t="s">
        <v>27</v>
      </c>
      <c r="C1105" s="12" t="s">
        <v>47</v>
      </c>
      <c r="D1105" s="12" t="s">
        <v>35</v>
      </c>
      <c r="E1105" s="12" t="s">
        <v>382</v>
      </c>
      <c r="F1105" s="12" t="s">
        <v>17</v>
      </c>
      <c r="G1105" s="12" t="s">
        <v>53</v>
      </c>
      <c r="H1105" s="11">
        <v>45565</v>
      </c>
      <c r="I1105" s="11">
        <v>45565</v>
      </c>
      <c r="J1105" s="5">
        <f t="shared" si="51"/>
        <v>0</v>
      </c>
      <c r="K1105" s="5" t="str">
        <f t="shared" si="52"/>
        <v>Met</v>
      </c>
      <c r="L1105" s="7" t="str">
        <f t="shared" si="53"/>
        <v>Sep</v>
      </c>
    </row>
    <row r="1106" spans="1:12" x14ac:dyDescent="0.3">
      <c r="A1106" s="4" t="s">
        <v>1352</v>
      </c>
      <c r="B1106" s="13" t="s">
        <v>27</v>
      </c>
      <c r="C1106" s="13" t="s">
        <v>28</v>
      </c>
      <c r="D1106" s="13" t="s">
        <v>35</v>
      </c>
      <c r="E1106" s="13" t="s">
        <v>406</v>
      </c>
      <c r="F1106" s="13" t="s">
        <v>37</v>
      </c>
      <c r="G1106" s="13" t="s">
        <v>18</v>
      </c>
      <c r="H1106" s="7">
        <v>45585</v>
      </c>
      <c r="I1106" s="7">
        <v>45585</v>
      </c>
      <c r="J1106" s="5">
        <f t="shared" si="51"/>
        <v>0</v>
      </c>
      <c r="K1106" s="5" t="str">
        <f t="shared" si="52"/>
        <v>Met</v>
      </c>
      <c r="L1106" s="7" t="str">
        <f t="shared" si="53"/>
        <v>Oct</v>
      </c>
    </row>
    <row r="1107" spans="1:12" x14ac:dyDescent="0.3">
      <c r="A1107" s="8" t="s">
        <v>1353</v>
      </c>
      <c r="B1107" s="12" t="s">
        <v>27</v>
      </c>
      <c r="C1107" s="12" t="s">
        <v>28</v>
      </c>
      <c r="D1107" s="12" t="s">
        <v>22</v>
      </c>
      <c r="E1107" s="12" t="s">
        <v>408</v>
      </c>
      <c r="F1107" s="12" t="s">
        <v>37</v>
      </c>
      <c r="G1107" s="12" t="s">
        <v>25</v>
      </c>
      <c r="H1107" s="11">
        <v>45615</v>
      </c>
      <c r="I1107" s="10">
        <v>45615</v>
      </c>
      <c r="J1107" s="5">
        <f t="shared" si="51"/>
        <v>0</v>
      </c>
      <c r="K1107" s="5" t="str">
        <f t="shared" si="52"/>
        <v>Met</v>
      </c>
      <c r="L1107" s="7" t="str">
        <f t="shared" si="53"/>
        <v>Nov</v>
      </c>
    </row>
    <row r="1108" spans="1:12" x14ac:dyDescent="0.3">
      <c r="A1108" s="4" t="s">
        <v>1354</v>
      </c>
      <c r="B1108" s="13" t="s">
        <v>27</v>
      </c>
      <c r="C1108" s="13" t="s">
        <v>47</v>
      </c>
      <c r="D1108" s="13" t="s">
        <v>79</v>
      </c>
      <c r="E1108" s="13" t="s">
        <v>410</v>
      </c>
      <c r="F1108" s="13" t="s">
        <v>24</v>
      </c>
      <c r="G1108" s="13" t="s">
        <v>45</v>
      </c>
      <c r="H1108" s="7">
        <v>45518</v>
      </c>
      <c r="I1108" s="7">
        <v>45518</v>
      </c>
      <c r="J1108" s="5">
        <f t="shared" si="51"/>
        <v>0</v>
      </c>
      <c r="K1108" s="5" t="str">
        <f t="shared" si="52"/>
        <v>Met</v>
      </c>
      <c r="L1108" s="7" t="str">
        <f t="shared" si="53"/>
        <v>Aug</v>
      </c>
    </row>
    <row r="1109" spans="1:12" x14ac:dyDescent="0.3">
      <c r="A1109" s="8" t="s">
        <v>1355</v>
      </c>
      <c r="B1109" s="12" t="s">
        <v>27</v>
      </c>
      <c r="C1109" s="12" t="s">
        <v>153</v>
      </c>
      <c r="D1109" s="12" t="s">
        <v>86</v>
      </c>
      <c r="E1109" s="12" t="s">
        <v>414</v>
      </c>
      <c r="F1109" s="12" t="s">
        <v>17</v>
      </c>
      <c r="G1109" s="12" t="s">
        <v>18</v>
      </c>
      <c r="H1109" s="11">
        <v>45628</v>
      </c>
      <c r="I1109" s="10">
        <v>45628</v>
      </c>
      <c r="J1109" s="5">
        <f t="shared" si="51"/>
        <v>0</v>
      </c>
      <c r="K1109" s="5" t="str">
        <f t="shared" si="52"/>
        <v>Met</v>
      </c>
      <c r="L1109" s="7" t="str">
        <f t="shared" si="53"/>
        <v>Dec</v>
      </c>
    </row>
    <row r="1110" spans="1:12" x14ac:dyDescent="0.3">
      <c r="A1110" s="4" t="s">
        <v>1356</v>
      </c>
      <c r="B1110" s="13" t="s">
        <v>27</v>
      </c>
      <c r="C1110" s="13" t="s">
        <v>47</v>
      </c>
      <c r="D1110" s="13" t="s">
        <v>66</v>
      </c>
      <c r="E1110" s="13" t="s">
        <v>428</v>
      </c>
      <c r="F1110" s="13" t="s">
        <v>37</v>
      </c>
      <c r="G1110" s="13" t="s">
        <v>31</v>
      </c>
      <c r="H1110" s="7">
        <v>45633</v>
      </c>
      <c r="I1110" s="6">
        <v>45633</v>
      </c>
      <c r="J1110" s="5">
        <f t="shared" si="51"/>
        <v>0</v>
      </c>
      <c r="K1110" s="5" t="str">
        <f t="shared" si="52"/>
        <v>Met</v>
      </c>
      <c r="L1110" s="7" t="str">
        <f t="shared" si="53"/>
        <v>Dec</v>
      </c>
    </row>
    <row r="1111" spans="1:12" x14ac:dyDescent="0.3">
      <c r="A1111" s="8" t="s">
        <v>1357</v>
      </c>
      <c r="B1111" s="12" t="s">
        <v>27</v>
      </c>
      <c r="C1111" s="12" t="s">
        <v>28</v>
      </c>
      <c r="D1111" s="12" t="s">
        <v>35</v>
      </c>
      <c r="E1111" s="12" t="s">
        <v>430</v>
      </c>
      <c r="F1111" s="12" t="s">
        <v>24</v>
      </c>
      <c r="G1111" s="12" t="s">
        <v>45</v>
      </c>
      <c r="H1111" s="11">
        <v>45474</v>
      </c>
      <c r="I1111" s="11">
        <v>45474</v>
      </c>
      <c r="J1111" s="5">
        <f t="shared" si="51"/>
        <v>0</v>
      </c>
      <c r="K1111" s="5" t="str">
        <f t="shared" si="52"/>
        <v>Met</v>
      </c>
      <c r="L1111" s="7" t="str">
        <f t="shared" si="53"/>
        <v>Jul</v>
      </c>
    </row>
    <row r="1112" spans="1:12" x14ac:dyDescent="0.3">
      <c r="A1112" s="4" t="s">
        <v>1358</v>
      </c>
      <c r="B1112" s="13" t="s">
        <v>27</v>
      </c>
      <c r="C1112" s="13" t="s">
        <v>28</v>
      </c>
      <c r="D1112" s="13" t="s">
        <v>35</v>
      </c>
      <c r="E1112" s="13" t="s">
        <v>434</v>
      </c>
      <c r="F1112" s="13" t="s">
        <v>17</v>
      </c>
      <c r="G1112" s="13" t="s">
        <v>42</v>
      </c>
      <c r="H1112" s="7">
        <v>45492</v>
      </c>
      <c r="I1112" s="7">
        <v>45492</v>
      </c>
      <c r="J1112" s="5">
        <f t="shared" si="51"/>
        <v>0</v>
      </c>
      <c r="K1112" s="5" t="str">
        <f t="shared" si="52"/>
        <v>Met</v>
      </c>
      <c r="L1112" s="7" t="str">
        <f t="shared" si="53"/>
        <v>Jul</v>
      </c>
    </row>
    <row r="1113" spans="1:12" x14ac:dyDescent="0.3">
      <c r="A1113" s="8" t="s">
        <v>1359</v>
      </c>
      <c r="B1113" s="12" t="s">
        <v>27</v>
      </c>
      <c r="C1113" s="12" t="s">
        <v>153</v>
      </c>
      <c r="D1113" s="12" t="s">
        <v>35</v>
      </c>
      <c r="E1113" s="12" t="s">
        <v>222</v>
      </c>
      <c r="F1113" s="12" t="s">
        <v>24</v>
      </c>
      <c r="G1113" s="12" t="s">
        <v>25</v>
      </c>
      <c r="H1113" s="11">
        <v>45592</v>
      </c>
      <c r="I1113" s="10">
        <v>45592</v>
      </c>
      <c r="J1113" s="5">
        <f t="shared" si="51"/>
        <v>0</v>
      </c>
      <c r="K1113" s="5" t="str">
        <f t="shared" si="52"/>
        <v>Met</v>
      </c>
      <c r="L1113" s="7" t="str">
        <f t="shared" si="53"/>
        <v>Oct</v>
      </c>
    </row>
    <row r="1114" spans="1:12" x14ac:dyDescent="0.3">
      <c r="A1114" s="4" t="s">
        <v>1360</v>
      </c>
      <c r="B1114" s="13" t="s">
        <v>27</v>
      </c>
      <c r="C1114" s="13" t="s">
        <v>153</v>
      </c>
      <c r="D1114" s="13" t="s">
        <v>35</v>
      </c>
      <c r="E1114" s="13" t="s">
        <v>234</v>
      </c>
      <c r="F1114" s="13" t="s">
        <v>37</v>
      </c>
      <c r="G1114" s="13" t="s">
        <v>53</v>
      </c>
      <c r="H1114" s="7">
        <v>45556</v>
      </c>
      <c r="I1114" s="7">
        <v>45556</v>
      </c>
      <c r="J1114" s="5">
        <f t="shared" si="51"/>
        <v>0</v>
      </c>
      <c r="K1114" s="5" t="str">
        <f t="shared" si="52"/>
        <v>Met</v>
      </c>
      <c r="L1114" s="7" t="str">
        <f t="shared" si="53"/>
        <v>Sep</v>
      </c>
    </row>
    <row r="1115" spans="1:12" x14ac:dyDescent="0.3">
      <c r="A1115" s="8" t="s">
        <v>1361</v>
      </c>
      <c r="B1115" s="12" t="s">
        <v>27</v>
      </c>
      <c r="C1115" s="12" t="s">
        <v>28</v>
      </c>
      <c r="D1115" s="12" t="s">
        <v>86</v>
      </c>
      <c r="E1115" s="12" t="s">
        <v>244</v>
      </c>
      <c r="F1115" s="12" t="s">
        <v>37</v>
      </c>
      <c r="G1115" s="12" t="s">
        <v>18</v>
      </c>
      <c r="H1115" s="11">
        <v>45540</v>
      </c>
      <c r="I1115" s="11">
        <v>45540</v>
      </c>
      <c r="J1115" s="5">
        <f t="shared" si="51"/>
        <v>0</v>
      </c>
      <c r="K1115" s="5" t="str">
        <f t="shared" si="52"/>
        <v>Met</v>
      </c>
      <c r="L1115" s="7" t="str">
        <f t="shared" si="53"/>
        <v>Sep</v>
      </c>
    </row>
    <row r="1116" spans="1:12" x14ac:dyDescent="0.3">
      <c r="A1116" s="4" t="s">
        <v>1362</v>
      </c>
      <c r="B1116" s="13" t="s">
        <v>27</v>
      </c>
      <c r="C1116" s="13" t="s">
        <v>47</v>
      </c>
      <c r="D1116" s="13" t="s">
        <v>86</v>
      </c>
      <c r="E1116" s="13" t="s">
        <v>252</v>
      </c>
      <c r="F1116" s="13" t="s">
        <v>37</v>
      </c>
      <c r="G1116" s="13" t="s">
        <v>25</v>
      </c>
      <c r="H1116" s="7">
        <v>45599</v>
      </c>
      <c r="I1116" s="6">
        <v>45599</v>
      </c>
      <c r="J1116" s="5">
        <f t="shared" si="51"/>
        <v>0</v>
      </c>
      <c r="K1116" s="5" t="str">
        <f t="shared" si="52"/>
        <v>Met</v>
      </c>
      <c r="L1116" s="7" t="str">
        <f t="shared" si="53"/>
        <v>Nov</v>
      </c>
    </row>
    <row r="1117" spans="1:12" x14ac:dyDescent="0.3">
      <c r="A1117" s="8" t="s">
        <v>1363</v>
      </c>
      <c r="B1117" s="12" t="s">
        <v>27</v>
      </c>
      <c r="C1117" s="12" t="s">
        <v>47</v>
      </c>
      <c r="D1117" s="12" t="s">
        <v>148</v>
      </c>
      <c r="E1117" s="12" t="s">
        <v>258</v>
      </c>
      <c r="F1117" s="12" t="s">
        <v>17</v>
      </c>
      <c r="G1117" s="12" t="s">
        <v>42</v>
      </c>
      <c r="H1117" s="11">
        <v>45595</v>
      </c>
      <c r="I1117" s="11">
        <v>45595</v>
      </c>
      <c r="J1117" s="5">
        <f t="shared" si="51"/>
        <v>0</v>
      </c>
      <c r="K1117" s="5" t="str">
        <f t="shared" si="52"/>
        <v>Met</v>
      </c>
      <c r="L1117" s="7" t="str">
        <f t="shared" si="53"/>
        <v>Oct</v>
      </c>
    </row>
    <row r="1118" spans="1:12" x14ac:dyDescent="0.3">
      <c r="A1118" s="4" t="s">
        <v>1364</v>
      </c>
      <c r="B1118" s="13" t="s">
        <v>27</v>
      </c>
      <c r="C1118" s="13" t="s">
        <v>47</v>
      </c>
      <c r="D1118" s="13" t="s">
        <v>29</v>
      </c>
      <c r="E1118" s="13" t="s">
        <v>264</v>
      </c>
      <c r="F1118" s="13" t="s">
        <v>37</v>
      </c>
      <c r="G1118" s="13" t="s">
        <v>25</v>
      </c>
      <c r="H1118" s="7">
        <v>45540</v>
      </c>
      <c r="I1118" s="6">
        <v>45540</v>
      </c>
      <c r="J1118" s="5">
        <f t="shared" si="51"/>
        <v>0</v>
      </c>
      <c r="K1118" s="5" t="str">
        <f t="shared" si="52"/>
        <v>Met</v>
      </c>
      <c r="L1118" s="7" t="str">
        <f t="shared" si="53"/>
        <v>Sep</v>
      </c>
    </row>
    <row r="1119" spans="1:12" x14ac:dyDescent="0.3">
      <c r="A1119" s="8" t="s">
        <v>1365</v>
      </c>
      <c r="B1119" s="12" t="s">
        <v>27</v>
      </c>
      <c r="C1119" s="12" t="s">
        <v>28</v>
      </c>
      <c r="D1119" s="12" t="s">
        <v>35</v>
      </c>
      <c r="E1119" s="12" t="s">
        <v>266</v>
      </c>
      <c r="F1119" s="12" t="s">
        <v>37</v>
      </c>
      <c r="G1119" s="12" t="s">
        <v>31</v>
      </c>
      <c r="H1119" s="11">
        <v>45614</v>
      </c>
      <c r="I1119" s="10">
        <v>45614</v>
      </c>
      <c r="J1119" s="5">
        <f t="shared" si="51"/>
        <v>0</v>
      </c>
      <c r="K1119" s="5" t="str">
        <f t="shared" si="52"/>
        <v>Met</v>
      </c>
      <c r="L1119" s="7" t="str">
        <f t="shared" si="53"/>
        <v>Nov</v>
      </c>
    </row>
    <row r="1120" spans="1:12" x14ac:dyDescent="0.3">
      <c r="A1120" s="4" t="s">
        <v>1366</v>
      </c>
      <c r="B1120" s="13" t="s">
        <v>27</v>
      </c>
      <c r="C1120" s="13" t="s">
        <v>153</v>
      </c>
      <c r="D1120" s="13" t="s">
        <v>35</v>
      </c>
      <c r="E1120" s="13" t="s">
        <v>272</v>
      </c>
      <c r="F1120" s="13" t="s">
        <v>24</v>
      </c>
      <c r="G1120" s="13" t="s">
        <v>45</v>
      </c>
      <c r="H1120" s="7">
        <v>45495</v>
      </c>
      <c r="I1120" s="7">
        <v>45495</v>
      </c>
      <c r="J1120" s="5">
        <f t="shared" si="51"/>
        <v>0</v>
      </c>
      <c r="K1120" s="5" t="str">
        <f t="shared" si="52"/>
        <v>Met</v>
      </c>
      <c r="L1120" s="7" t="str">
        <f t="shared" si="53"/>
        <v>Jul</v>
      </c>
    </row>
    <row r="1121" spans="1:12" x14ac:dyDescent="0.3">
      <c r="A1121" s="8" t="s">
        <v>1367</v>
      </c>
      <c r="B1121" s="12" t="s">
        <v>27</v>
      </c>
      <c r="C1121" s="12" t="s">
        <v>28</v>
      </c>
      <c r="D1121" s="12" t="s">
        <v>66</v>
      </c>
      <c r="E1121" s="12" t="s">
        <v>280</v>
      </c>
      <c r="F1121" s="12" t="s">
        <v>24</v>
      </c>
      <c r="G1121" s="12" t="s">
        <v>25</v>
      </c>
      <c r="H1121" s="11">
        <v>45616</v>
      </c>
      <c r="I1121" s="10">
        <v>45616</v>
      </c>
      <c r="J1121" s="5">
        <f t="shared" si="51"/>
        <v>0</v>
      </c>
      <c r="K1121" s="5" t="str">
        <f t="shared" si="52"/>
        <v>Met</v>
      </c>
      <c r="L1121" s="7" t="str">
        <f t="shared" si="53"/>
        <v>Nov</v>
      </c>
    </row>
    <row r="1122" spans="1:12" x14ac:dyDescent="0.3">
      <c r="A1122" s="4" t="s">
        <v>1368</v>
      </c>
      <c r="B1122" s="13" t="s">
        <v>27</v>
      </c>
      <c r="C1122" s="13" t="s">
        <v>153</v>
      </c>
      <c r="D1122" s="13" t="s">
        <v>79</v>
      </c>
      <c r="E1122" s="13" t="s">
        <v>282</v>
      </c>
      <c r="F1122" s="13" t="s">
        <v>37</v>
      </c>
      <c r="G1122" s="13" t="s">
        <v>53</v>
      </c>
      <c r="H1122" s="7">
        <v>45478</v>
      </c>
      <c r="I1122" s="7">
        <v>45478</v>
      </c>
      <c r="J1122" s="5">
        <f t="shared" si="51"/>
        <v>0</v>
      </c>
      <c r="K1122" s="5" t="str">
        <f t="shared" si="52"/>
        <v>Met</v>
      </c>
      <c r="L1122" s="7" t="str">
        <f t="shared" si="53"/>
        <v>Jul</v>
      </c>
    </row>
    <row r="1123" spans="1:12" x14ac:dyDescent="0.3">
      <c r="A1123" s="8" t="s">
        <v>1369</v>
      </c>
      <c r="B1123" s="12" t="s">
        <v>27</v>
      </c>
      <c r="C1123" s="12" t="s">
        <v>28</v>
      </c>
      <c r="D1123" s="9" t="s">
        <v>22</v>
      </c>
      <c r="E1123" s="12" t="s">
        <v>298</v>
      </c>
      <c r="F1123" s="12" t="s">
        <v>24</v>
      </c>
      <c r="G1123" s="12" t="s">
        <v>18</v>
      </c>
      <c r="H1123" s="11">
        <v>45588</v>
      </c>
      <c r="I1123" s="10">
        <v>45588</v>
      </c>
      <c r="J1123" s="5">
        <f t="shared" si="51"/>
        <v>0</v>
      </c>
      <c r="K1123" s="5" t="str">
        <f t="shared" si="52"/>
        <v>Met</v>
      </c>
      <c r="L1123" s="7" t="str">
        <f t="shared" si="53"/>
        <v>Oct</v>
      </c>
    </row>
    <row r="1124" spans="1:12" x14ac:dyDescent="0.3">
      <c r="A1124" s="4" t="s">
        <v>1370</v>
      </c>
      <c r="B1124" s="13" t="s">
        <v>27</v>
      </c>
      <c r="C1124" s="13" t="s">
        <v>28</v>
      </c>
      <c r="D1124" s="13" t="s">
        <v>35</v>
      </c>
      <c r="E1124" s="13" t="s">
        <v>302</v>
      </c>
      <c r="F1124" s="13" t="s">
        <v>24</v>
      </c>
      <c r="G1124" s="13" t="s">
        <v>45</v>
      </c>
      <c r="H1124" s="7">
        <v>45598</v>
      </c>
      <c r="I1124" s="6">
        <v>45598</v>
      </c>
      <c r="J1124" s="5">
        <f t="shared" si="51"/>
        <v>0</v>
      </c>
      <c r="K1124" s="5" t="str">
        <f t="shared" si="52"/>
        <v>Met</v>
      </c>
      <c r="L1124" s="7" t="str">
        <f t="shared" si="53"/>
        <v>Nov</v>
      </c>
    </row>
    <row r="1125" spans="1:12" x14ac:dyDescent="0.3">
      <c r="A1125" s="8" t="s">
        <v>1371</v>
      </c>
      <c r="B1125" s="12" t="s">
        <v>27</v>
      </c>
      <c r="C1125" s="12" t="s">
        <v>47</v>
      </c>
      <c r="D1125" s="12" t="s">
        <v>66</v>
      </c>
      <c r="E1125" s="12" t="s">
        <v>306</v>
      </c>
      <c r="F1125" s="12" t="s">
        <v>17</v>
      </c>
      <c r="G1125" s="12" t="s">
        <v>18</v>
      </c>
      <c r="H1125" s="11">
        <v>45486</v>
      </c>
      <c r="I1125" s="11">
        <v>45486</v>
      </c>
      <c r="J1125" s="5">
        <f t="shared" si="51"/>
        <v>0</v>
      </c>
      <c r="K1125" s="5" t="str">
        <f t="shared" si="52"/>
        <v>Met</v>
      </c>
      <c r="L1125" s="7" t="str">
        <f t="shared" si="53"/>
        <v>Jul</v>
      </c>
    </row>
    <row r="1126" spans="1:12" x14ac:dyDescent="0.3">
      <c r="A1126" s="4" t="s">
        <v>1372</v>
      </c>
      <c r="B1126" s="13" t="s">
        <v>27</v>
      </c>
      <c r="C1126" s="13" t="s">
        <v>153</v>
      </c>
      <c r="D1126" s="13" t="s">
        <v>15</v>
      </c>
      <c r="E1126" s="13" t="s">
        <v>312</v>
      </c>
      <c r="F1126" s="13" t="s">
        <v>24</v>
      </c>
      <c r="G1126" s="13" t="s">
        <v>31</v>
      </c>
      <c r="H1126" s="7">
        <v>45484</v>
      </c>
      <c r="I1126" s="7">
        <v>45484</v>
      </c>
      <c r="J1126" s="5">
        <f t="shared" si="51"/>
        <v>0</v>
      </c>
      <c r="K1126" s="5" t="str">
        <f t="shared" si="52"/>
        <v>Met</v>
      </c>
      <c r="L1126" s="7" t="str">
        <f t="shared" si="53"/>
        <v>Jul</v>
      </c>
    </row>
    <row r="1127" spans="1:12" x14ac:dyDescent="0.3">
      <c r="A1127" s="8" t="s">
        <v>1373</v>
      </c>
      <c r="B1127" s="12" t="s">
        <v>27</v>
      </c>
      <c r="C1127" s="12" t="s">
        <v>153</v>
      </c>
      <c r="D1127" s="12" t="s">
        <v>79</v>
      </c>
      <c r="E1127" s="12" t="s">
        <v>338</v>
      </c>
      <c r="F1127" s="12" t="s">
        <v>17</v>
      </c>
      <c r="G1127" s="12" t="s">
        <v>18</v>
      </c>
      <c r="H1127" s="11">
        <v>45576</v>
      </c>
      <c r="I1127" s="10">
        <v>45576</v>
      </c>
      <c r="J1127" s="5">
        <f t="shared" si="51"/>
        <v>0</v>
      </c>
      <c r="K1127" s="5" t="str">
        <f t="shared" si="52"/>
        <v>Met</v>
      </c>
      <c r="L1127" s="7" t="str">
        <f t="shared" si="53"/>
        <v>Oct</v>
      </c>
    </row>
  </sheetData>
  <autoFilter ref="A1:L1127" xr:uid="{84C8EEEF-F0EF-4B92-BB19-416B278BCD7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3B5F-C3B8-49F6-97DE-875FB3A54496}">
  <dimension ref="A1:R93"/>
  <sheetViews>
    <sheetView topLeftCell="A47" zoomScale="80" zoomScaleNormal="80" workbookViewId="0">
      <selection activeCell="B54" sqref="B54:C58"/>
    </sheetView>
  </sheetViews>
  <sheetFormatPr defaultColWidth="9.33203125" defaultRowHeight="14.4" x14ac:dyDescent="0.3"/>
  <cols>
    <col min="2" max="2" width="13.5546875" bestFit="1" customWidth="1"/>
    <col min="3" max="3" width="16.88671875" bestFit="1" customWidth="1"/>
    <col min="4" max="4" width="6.5546875" bestFit="1" customWidth="1"/>
    <col min="5" max="5" width="8.109375" bestFit="1" customWidth="1"/>
    <col min="6" max="7" width="16.88671875" bestFit="1" customWidth="1"/>
    <col min="8" max="8" width="7.88671875" bestFit="1" customWidth="1"/>
    <col min="9" max="10" width="11" bestFit="1" customWidth="1"/>
    <col min="11" max="11" width="6.6640625" bestFit="1" customWidth="1"/>
    <col min="12" max="12" width="25.33203125" bestFit="1" customWidth="1"/>
    <col min="13" max="13" width="21.88671875" bestFit="1" customWidth="1"/>
    <col min="14" max="14" width="6.6640625" bestFit="1" customWidth="1"/>
    <col min="15" max="15" width="8.88671875" bestFit="1" customWidth="1"/>
    <col min="16" max="16" width="8.109375" bestFit="1" customWidth="1"/>
    <col min="17" max="17" width="5" bestFit="1" customWidth="1"/>
  </cols>
  <sheetData>
    <row r="1" spans="1:14" ht="15" thickBot="1" x14ac:dyDescent="0.35">
      <c r="A1" s="16"/>
      <c r="B1" s="31" t="s">
        <v>10</v>
      </c>
      <c r="C1" s="32" t="s">
        <v>1391</v>
      </c>
      <c r="D1" s="17"/>
      <c r="E1" s="17"/>
      <c r="F1" s="17"/>
      <c r="G1" s="17"/>
      <c r="H1" s="17"/>
      <c r="I1" s="17"/>
      <c r="J1" s="17"/>
      <c r="K1" s="17"/>
      <c r="L1" s="17"/>
      <c r="M1" s="17"/>
      <c r="N1" s="18"/>
    </row>
    <row r="2" spans="1:14" ht="15" thickBot="1" x14ac:dyDescent="0.35">
      <c r="A2" s="23"/>
      <c r="N2" s="28"/>
    </row>
    <row r="3" spans="1:14" ht="15" thickBot="1" x14ac:dyDescent="0.35">
      <c r="A3" s="23"/>
      <c r="B3" s="35" t="s">
        <v>1374</v>
      </c>
      <c r="C3" s="33" t="s">
        <v>1388</v>
      </c>
      <c r="N3" s="28"/>
    </row>
    <row r="4" spans="1:14" x14ac:dyDescent="0.3">
      <c r="A4" s="23"/>
      <c r="B4" s="42" t="s">
        <v>1375</v>
      </c>
      <c r="C4" s="39">
        <v>118</v>
      </c>
      <c r="F4" t="s">
        <v>1392</v>
      </c>
      <c r="N4" s="28"/>
    </row>
    <row r="5" spans="1:14" ht="15" thickBot="1" x14ac:dyDescent="0.35">
      <c r="A5" s="23"/>
      <c r="B5" s="43" t="s">
        <v>1376</v>
      </c>
      <c r="C5" s="40">
        <v>68</v>
      </c>
      <c r="N5" s="28"/>
    </row>
    <row r="6" spans="1:14" ht="15" thickBot="1" x14ac:dyDescent="0.35">
      <c r="A6" s="23"/>
      <c r="B6" s="43" t="s">
        <v>1377</v>
      </c>
      <c r="C6" s="40">
        <v>103</v>
      </c>
      <c r="F6" s="31" t="s">
        <v>10</v>
      </c>
      <c r="G6" s="32" t="s">
        <v>1389</v>
      </c>
      <c r="I6" s="36" t="s">
        <v>11</v>
      </c>
      <c r="J6" s="36" t="s">
        <v>1393</v>
      </c>
      <c r="K6" s="36" t="s">
        <v>1394</v>
      </c>
      <c r="L6" s="36" t="s">
        <v>1408</v>
      </c>
      <c r="M6" s="36" t="s">
        <v>1409</v>
      </c>
      <c r="N6" s="28"/>
    </row>
    <row r="7" spans="1:14" ht="15" thickBot="1" x14ac:dyDescent="0.35">
      <c r="A7" s="23"/>
      <c r="B7" s="43" t="s">
        <v>1378</v>
      </c>
      <c r="C7" s="40">
        <v>121</v>
      </c>
      <c r="I7" s="36" t="str">
        <f t="shared" ref="I7:I18" si="0">B4</f>
        <v>Jan</v>
      </c>
      <c r="J7" s="37">
        <v>0.94</v>
      </c>
      <c r="K7" s="38">
        <f>GETPIVOTDATA("Ticket ID",$F$8,"Month",F9)/GETPIVOTDATA("Ticket ID",$B$3,"Month",B4)</f>
        <v>0.81355932203389836</v>
      </c>
      <c r="L7" s="38">
        <f>IF(J7&gt;K7,K7,"")</f>
        <v>0.81355932203389836</v>
      </c>
      <c r="M7" s="38" t="str">
        <f>IF(J7&lt;K7,K7,"")</f>
        <v/>
      </c>
      <c r="N7" s="28"/>
    </row>
    <row r="8" spans="1:14" ht="15" thickBot="1" x14ac:dyDescent="0.35">
      <c r="A8" s="23"/>
      <c r="B8" s="43" t="s">
        <v>1379</v>
      </c>
      <c r="C8" s="40">
        <v>111</v>
      </c>
      <c r="F8" s="35" t="s">
        <v>1374</v>
      </c>
      <c r="G8" s="33" t="s">
        <v>1388</v>
      </c>
      <c r="I8" s="36" t="str">
        <f t="shared" si="0"/>
        <v>Feb</v>
      </c>
      <c r="J8" s="37">
        <v>0.94</v>
      </c>
      <c r="K8" s="38">
        <f t="shared" ref="K8:K18" si="1">GETPIVOTDATA("Ticket ID",$F$8,"Month",F10)/GETPIVOTDATA("Ticket ID",$B$3,"Month",B5)</f>
        <v>0.94117647058823528</v>
      </c>
      <c r="L8" s="38" t="str">
        <f t="shared" ref="L8:L18" si="2">IF(J8&gt;K8,K8,"")</f>
        <v/>
      </c>
      <c r="M8" s="38">
        <f t="shared" ref="M8:M18" si="3">IF(J8&lt;K8,K8,"")</f>
        <v>0.94117647058823528</v>
      </c>
      <c r="N8" s="28"/>
    </row>
    <row r="9" spans="1:14" x14ac:dyDescent="0.3">
      <c r="A9" s="23"/>
      <c r="B9" s="43" t="s">
        <v>1380</v>
      </c>
      <c r="C9" s="40">
        <v>42</v>
      </c>
      <c r="F9" s="42" t="s">
        <v>1375</v>
      </c>
      <c r="G9" s="39">
        <v>96</v>
      </c>
      <c r="I9" s="36" t="str">
        <f t="shared" si="0"/>
        <v>Mar</v>
      </c>
      <c r="J9" s="37">
        <v>0.94</v>
      </c>
      <c r="K9" s="38">
        <f t="shared" si="1"/>
        <v>0.92233009708737868</v>
      </c>
      <c r="L9" s="38">
        <f t="shared" si="2"/>
        <v>0.92233009708737868</v>
      </c>
      <c r="M9" s="38" t="str">
        <f t="shared" si="3"/>
        <v/>
      </c>
      <c r="N9" s="28"/>
    </row>
    <row r="10" spans="1:14" x14ac:dyDescent="0.3">
      <c r="A10" s="23"/>
      <c r="B10" s="43" t="s">
        <v>1381</v>
      </c>
      <c r="C10" s="40">
        <v>118</v>
      </c>
      <c r="F10" s="43" t="s">
        <v>1376</v>
      </c>
      <c r="G10" s="40">
        <v>64</v>
      </c>
      <c r="I10" s="36" t="str">
        <f t="shared" si="0"/>
        <v>Apr</v>
      </c>
      <c r="J10" s="37">
        <v>0.94</v>
      </c>
      <c r="K10" s="38">
        <f t="shared" si="1"/>
        <v>0.98347107438016534</v>
      </c>
      <c r="L10" s="38" t="str">
        <f t="shared" si="2"/>
        <v/>
      </c>
      <c r="M10" s="38">
        <f t="shared" si="3"/>
        <v>0.98347107438016534</v>
      </c>
      <c r="N10" s="28"/>
    </row>
    <row r="11" spans="1:14" x14ac:dyDescent="0.3">
      <c r="A11" s="23"/>
      <c r="B11" s="43" t="s">
        <v>1382</v>
      </c>
      <c r="C11" s="40">
        <v>68</v>
      </c>
      <c r="F11" s="43" t="s">
        <v>1377</v>
      </c>
      <c r="G11" s="40">
        <v>95</v>
      </c>
      <c r="I11" s="36" t="str">
        <f t="shared" si="0"/>
        <v>May</v>
      </c>
      <c r="J11" s="37">
        <v>0.94</v>
      </c>
      <c r="K11" s="38">
        <f t="shared" si="1"/>
        <v>0.94594594594594594</v>
      </c>
      <c r="L11" s="38" t="str">
        <f t="shared" si="2"/>
        <v/>
      </c>
      <c r="M11" s="38">
        <f t="shared" si="3"/>
        <v>0.94594594594594594</v>
      </c>
      <c r="N11" s="28"/>
    </row>
    <row r="12" spans="1:14" x14ac:dyDescent="0.3">
      <c r="A12" s="23"/>
      <c r="B12" s="43" t="s">
        <v>1383</v>
      </c>
      <c r="C12" s="40">
        <v>103</v>
      </c>
      <c r="F12" s="43" t="s">
        <v>1378</v>
      </c>
      <c r="G12" s="40">
        <v>119</v>
      </c>
      <c r="I12" s="36" t="str">
        <f t="shared" si="0"/>
        <v>Jun</v>
      </c>
      <c r="J12" s="37">
        <v>0.94</v>
      </c>
      <c r="K12" s="38">
        <f t="shared" si="1"/>
        <v>0.97619047619047616</v>
      </c>
      <c r="L12" s="38" t="str">
        <f t="shared" si="2"/>
        <v/>
      </c>
      <c r="M12" s="38">
        <f t="shared" si="3"/>
        <v>0.97619047619047616</v>
      </c>
      <c r="N12" s="28"/>
    </row>
    <row r="13" spans="1:14" x14ac:dyDescent="0.3">
      <c r="A13" s="23"/>
      <c r="B13" s="43" t="s">
        <v>1384</v>
      </c>
      <c r="C13" s="40">
        <v>121</v>
      </c>
      <c r="F13" s="43" t="s">
        <v>1379</v>
      </c>
      <c r="G13" s="40">
        <v>105</v>
      </c>
      <c r="I13" s="36" t="str">
        <f t="shared" si="0"/>
        <v>Jul</v>
      </c>
      <c r="J13" s="37">
        <v>0.94</v>
      </c>
      <c r="K13" s="38">
        <f t="shared" si="1"/>
        <v>1</v>
      </c>
      <c r="L13" s="38" t="str">
        <f t="shared" si="2"/>
        <v/>
      </c>
      <c r="M13" s="38">
        <f t="shared" si="3"/>
        <v>1</v>
      </c>
      <c r="N13" s="28"/>
    </row>
    <row r="14" spans="1:14" x14ac:dyDescent="0.3">
      <c r="A14" s="23"/>
      <c r="B14" s="43" t="s">
        <v>1385</v>
      </c>
      <c r="C14" s="40">
        <v>111</v>
      </c>
      <c r="F14" s="43" t="s">
        <v>1380</v>
      </c>
      <c r="G14" s="40">
        <v>41</v>
      </c>
      <c r="I14" s="36" t="str">
        <f t="shared" si="0"/>
        <v>Aug</v>
      </c>
      <c r="J14" s="37">
        <v>0.94</v>
      </c>
      <c r="K14" s="38">
        <f t="shared" si="1"/>
        <v>0.94117647058823528</v>
      </c>
      <c r="L14" s="38" t="str">
        <f t="shared" si="2"/>
        <v/>
      </c>
      <c r="M14" s="38">
        <f t="shared" si="3"/>
        <v>0.94117647058823528</v>
      </c>
      <c r="N14" s="28"/>
    </row>
    <row r="15" spans="1:14" ht="15" thickBot="1" x14ac:dyDescent="0.35">
      <c r="A15" s="23"/>
      <c r="B15" s="44" t="s">
        <v>1386</v>
      </c>
      <c r="C15" s="40">
        <v>42</v>
      </c>
      <c r="F15" s="43" t="s">
        <v>1381</v>
      </c>
      <c r="G15" s="40">
        <v>118</v>
      </c>
      <c r="I15" s="36" t="str">
        <f t="shared" si="0"/>
        <v>Sep</v>
      </c>
      <c r="J15" s="37">
        <v>0.94</v>
      </c>
      <c r="K15" s="38">
        <f t="shared" si="1"/>
        <v>0.89320388349514568</v>
      </c>
      <c r="L15" s="38">
        <f t="shared" si="2"/>
        <v>0.89320388349514568</v>
      </c>
      <c r="M15" s="38" t="str">
        <f t="shared" si="3"/>
        <v/>
      </c>
      <c r="N15" s="28"/>
    </row>
    <row r="16" spans="1:14" ht="15" thickBot="1" x14ac:dyDescent="0.35">
      <c r="A16" s="23"/>
      <c r="B16" s="34" t="s">
        <v>1387</v>
      </c>
      <c r="C16" s="41">
        <v>1126</v>
      </c>
      <c r="F16" s="43" t="s">
        <v>1382</v>
      </c>
      <c r="G16" s="40">
        <v>64</v>
      </c>
      <c r="I16" s="36" t="str">
        <f t="shared" si="0"/>
        <v>Oct</v>
      </c>
      <c r="J16" s="37">
        <v>0.94</v>
      </c>
      <c r="K16" s="38">
        <f t="shared" si="1"/>
        <v>0.98347107438016534</v>
      </c>
      <c r="L16" s="38" t="str">
        <f t="shared" si="2"/>
        <v/>
      </c>
      <c r="M16" s="38">
        <f t="shared" si="3"/>
        <v>0.98347107438016534</v>
      </c>
      <c r="N16" s="28"/>
    </row>
    <row r="17" spans="1:18" x14ac:dyDescent="0.3">
      <c r="A17" s="23"/>
      <c r="F17" s="43" t="s">
        <v>1383</v>
      </c>
      <c r="G17" s="40">
        <v>92</v>
      </c>
      <c r="I17" s="36" t="str">
        <f t="shared" si="0"/>
        <v>Nov</v>
      </c>
      <c r="J17" s="37">
        <v>0.94</v>
      </c>
      <c r="K17" s="38">
        <f t="shared" si="1"/>
        <v>0.94594594594594594</v>
      </c>
      <c r="L17" s="38" t="str">
        <f t="shared" si="2"/>
        <v/>
      </c>
      <c r="M17" s="38">
        <f t="shared" si="3"/>
        <v>0.94594594594594594</v>
      </c>
      <c r="N17" s="28"/>
    </row>
    <row r="18" spans="1:18" x14ac:dyDescent="0.3">
      <c r="A18" s="23"/>
      <c r="F18" s="43" t="s">
        <v>1384</v>
      </c>
      <c r="G18" s="40">
        <v>119</v>
      </c>
      <c r="I18" s="36" t="str">
        <f t="shared" si="0"/>
        <v>Dec</v>
      </c>
      <c r="J18" s="37">
        <v>0.94</v>
      </c>
      <c r="K18" s="38">
        <f t="shared" si="1"/>
        <v>0.97619047619047616</v>
      </c>
      <c r="L18" s="38" t="str">
        <f t="shared" si="2"/>
        <v/>
      </c>
      <c r="M18" s="38">
        <f t="shared" si="3"/>
        <v>0.97619047619047616</v>
      </c>
      <c r="N18" s="28"/>
    </row>
    <row r="19" spans="1:18" x14ac:dyDescent="0.3">
      <c r="A19" s="23"/>
      <c r="F19" s="43" t="s">
        <v>1385</v>
      </c>
      <c r="G19" s="40">
        <v>105</v>
      </c>
      <c r="J19" s="14"/>
      <c r="K19" s="15"/>
      <c r="L19" s="15"/>
      <c r="M19" s="15"/>
      <c r="N19" s="28"/>
    </row>
    <row r="20" spans="1:18" ht="15" thickBot="1" x14ac:dyDescent="0.35">
      <c r="A20" s="23"/>
      <c r="F20" s="44" t="s">
        <v>1386</v>
      </c>
      <c r="G20" s="40">
        <v>41</v>
      </c>
      <c r="J20" s="14"/>
      <c r="K20" s="15"/>
      <c r="L20" s="15"/>
      <c r="M20" s="15"/>
      <c r="N20" s="28"/>
    </row>
    <row r="21" spans="1:18" ht="15" thickBot="1" x14ac:dyDescent="0.35">
      <c r="A21" s="23"/>
      <c r="F21" s="34" t="s">
        <v>1387</v>
      </c>
      <c r="G21" s="41">
        <v>1059</v>
      </c>
      <c r="N21" s="28"/>
    </row>
    <row r="22" spans="1:18" x14ac:dyDescent="0.3">
      <c r="A22" s="23"/>
      <c r="N22" s="28"/>
    </row>
    <row r="23" spans="1:18" x14ac:dyDescent="0.3">
      <c r="A23" s="23"/>
      <c r="N23" s="28"/>
    </row>
    <row r="24" spans="1:18" ht="15" thickBot="1" x14ac:dyDescent="0.35">
      <c r="A24" s="23"/>
      <c r="N24" s="28"/>
    </row>
    <row r="25" spans="1:18" x14ac:dyDescent="0.3">
      <c r="A25" s="23"/>
      <c r="E25" s="16"/>
      <c r="F25" s="17"/>
      <c r="G25" s="22">
        <f>F26</f>
        <v>0.94049733570159855</v>
      </c>
      <c r="N25" s="28"/>
    </row>
    <row r="26" spans="1:18" x14ac:dyDescent="0.3">
      <c r="A26" s="23"/>
      <c r="E26" s="23" t="s">
        <v>1395</v>
      </c>
      <c r="F26" s="15">
        <f>IFERROR(GETPIVOTDATA("Ticket ID",$F$8)/GETPIVOTDATA("Ticket ID",$B$3),"")</f>
        <v>0.94049733570159855</v>
      </c>
      <c r="G26" s="24">
        <v>0.02</v>
      </c>
      <c r="N26" s="28"/>
    </row>
    <row r="27" spans="1:18" x14ac:dyDescent="0.3">
      <c r="A27" s="23"/>
      <c r="E27" s="23" t="s">
        <v>1396</v>
      </c>
      <c r="F27" s="14">
        <f>F28-F26</f>
        <v>0.25950266429840141</v>
      </c>
      <c r="G27" s="24">
        <f>F27</f>
        <v>0.25950266429840141</v>
      </c>
      <c r="N27" s="28"/>
    </row>
    <row r="28" spans="1:18" ht="15" thickBot="1" x14ac:dyDescent="0.35">
      <c r="A28" s="23"/>
      <c r="E28" s="25" t="s">
        <v>1397</v>
      </c>
      <c r="F28" s="26">
        <v>1.2</v>
      </c>
      <c r="G28" s="27">
        <f>F28</f>
        <v>1.2</v>
      </c>
      <c r="N28" s="28"/>
    </row>
    <row r="29" spans="1:18" ht="15" thickBot="1" x14ac:dyDescent="0.35">
      <c r="A29" s="25"/>
      <c r="B29" s="29"/>
      <c r="C29" s="29"/>
      <c r="D29" s="29"/>
      <c r="E29" s="29"/>
      <c r="F29" s="29"/>
      <c r="G29" s="29"/>
      <c r="H29" s="29"/>
      <c r="I29" s="29"/>
      <c r="J29" s="29"/>
      <c r="K29" s="29"/>
      <c r="L29" s="29"/>
      <c r="M29" s="29"/>
      <c r="N29" s="30"/>
    </row>
    <row r="31" spans="1:18" ht="15" thickBot="1" x14ac:dyDescent="0.35"/>
    <row r="32" spans="1:18" x14ac:dyDescent="0.3">
      <c r="A32" s="16"/>
      <c r="B32" s="17" t="s">
        <v>1398</v>
      </c>
      <c r="C32" s="17"/>
      <c r="D32" s="17"/>
      <c r="E32" s="17"/>
      <c r="F32" s="17"/>
      <c r="G32" s="17"/>
      <c r="H32" s="17"/>
      <c r="I32" s="17"/>
      <c r="J32" s="17"/>
      <c r="K32" s="17"/>
      <c r="L32" s="17"/>
      <c r="M32" s="17"/>
      <c r="N32" s="17"/>
      <c r="O32" s="17"/>
      <c r="P32" s="17"/>
      <c r="Q32" s="17"/>
      <c r="R32" s="18"/>
    </row>
    <row r="33" spans="1:18" x14ac:dyDescent="0.3">
      <c r="A33" s="23"/>
      <c r="R33" s="28"/>
    </row>
    <row r="34" spans="1:18" ht="15" thickBot="1" x14ac:dyDescent="0.35">
      <c r="A34" s="23"/>
      <c r="R34" s="28"/>
    </row>
    <row r="35" spans="1:18" ht="15" thickBot="1" x14ac:dyDescent="0.35">
      <c r="A35" s="23"/>
      <c r="B35" s="31" t="s">
        <v>10</v>
      </c>
      <c r="C35" s="32" t="s">
        <v>1390</v>
      </c>
      <c r="R35" s="28"/>
    </row>
    <row r="36" spans="1:18" ht="15" thickBot="1" x14ac:dyDescent="0.35">
      <c r="A36" s="23"/>
      <c r="M36" t="s">
        <v>1400</v>
      </c>
      <c r="R36" s="28"/>
    </row>
    <row r="37" spans="1:18" ht="15" thickBot="1" x14ac:dyDescent="0.35">
      <c r="A37" s="23"/>
      <c r="B37" s="35" t="s">
        <v>1374</v>
      </c>
      <c r="C37" s="33" t="s">
        <v>1388</v>
      </c>
      <c r="F37" s="35" t="s">
        <v>1388</v>
      </c>
      <c r="G37" s="35" t="s">
        <v>1399</v>
      </c>
      <c r="H37" s="45"/>
      <c r="I37" s="32"/>
      <c r="R37" s="28"/>
    </row>
    <row r="38" spans="1:18" ht="15" thickBot="1" x14ac:dyDescent="0.35">
      <c r="A38" s="23"/>
      <c r="B38" s="42" t="s">
        <v>35</v>
      </c>
      <c r="C38" s="39">
        <v>24</v>
      </c>
      <c r="F38" s="35" t="s">
        <v>1374</v>
      </c>
      <c r="G38" s="45" t="s">
        <v>1389</v>
      </c>
      <c r="H38" s="32" t="s">
        <v>1390</v>
      </c>
      <c r="I38" s="33" t="s">
        <v>1387</v>
      </c>
      <c r="M38" s="16" t="s">
        <v>1374</v>
      </c>
      <c r="N38" s="17" t="s">
        <v>1393</v>
      </c>
      <c r="O38" s="17" t="s">
        <v>1394</v>
      </c>
      <c r="P38" s="17" t="s">
        <v>1390</v>
      </c>
      <c r="Q38" s="18" t="s">
        <v>1389</v>
      </c>
      <c r="R38" s="28"/>
    </row>
    <row r="39" spans="1:18" x14ac:dyDescent="0.3">
      <c r="A39" s="23"/>
      <c r="B39" s="43" t="s">
        <v>86</v>
      </c>
      <c r="C39" s="40">
        <v>3</v>
      </c>
      <c r="F39" s="42" t="s">
        <v>25</v>
      </c>
      <c r="G39" s="16">
        <v>165</v>
      </c>
      <c r="H39" s="17">
        <v>9</v>
      </c>
      <c r="I39" s="18">
        <v>174</v>
      </c>
      <c r="M39" s="23" t="s">
        <v>25</v>
      </c>
      <c r="N39" s="14">
        <v>0.94</v>
      </c>
      <c r="O39" s="15">
        <f>GETPIVOTDATA("Ticket ID",$F$37,"Assigned To",F39,"Status","Met")/GETPIVOTDATA("Ticket ID",$F$37,"Assigned To",F39)</f>
        <v>0.94827586206896552</v>
      </c>
      <c r="P39" s="15" t="str">
        <f>IF(N39&gt;O39,O39,"")</f>
        <v/>
      </c>
      <c r="Q39" s="19">
        <f>IF(N39&lt;O39,O39,"")</f>
        <v>0.94827586206896552</v>
      </c>
      <c r="R39" s="28"/>
    </row>
    <row r="40" spans="1:18" x14ac:dyDescent="0.3">
      <c r="A40" s="23"/>
      <c r="B40" s="43" t="s">
        <v>148</v>
      </c>
      <c r="C40" s="40">
        <v>5</v>
      </c>
      <c r="F40" s="43" t="s">
        <v>53</v>
      </c>
      <c r="G40" s="23">
        <v>176</v>
      </c>
      <c r="H40">
        <v>8</v>
      </c>
      <c r="I40" s="28">
        <v>184</v>
      </c>
      <c r="M40" s="23" t="s">
        <v>53</v>
      </c>
      <c r="N40" s="14">
        <v>0.94</v>
      </c>
      <c r="O40" s="15">
        <f t="shared" ref="O40:O44" si="4">GETPIVOTDATA("Ticket ID",$F$37,"Assigned To",F40,"Status","Met")/GETPIVOTDATA("Ticket ID",$F$37,"Assigned To",F40)</f>
        <v>0.95652173913043481</v>
      </c>
      <c r="P40" s="15" t="str">
        <f t="shared" ref="P40:P44" si="5">IF(N40&gt;O40,O40,"")</f>
        <v/>
      </c>
      <c r="Q40" s="19">
        <f t="shared" ref="Q40:Q44" si="6">IF(N40&lt;O40,O40,"")</f>
        <v>0.95652173913043481</v>
      </c>
      <c r="R40" s="28"/>
    </row>
    <row r="41" spans="1:18" x14ac:dyDescent="0.3">
      <c r="A41" s="23"/>
      <c r="B41" s="43" t="s">
        <v>15</v>
      </c>
      <c r="C41" s="40">
        <v>10</v>
      </c>
      <c r="F41" s="43" t="s">
        <v>42</v>
      </c>
      <c r="G41" s="23">
        <v>175</v>
      </c>
      <c r="H41">
        <v>5</v>
      </c>
      <c r="I41" s="28">
        <v>180</v>
      </c>
      <c r="M41" s="23" t="s">
        <v>42</v>
      </c>
      <c r="N41" s="14">
        <v>0.94</v>
      </c>
      <c r="O41" s="15">
        <f t="shared" si="4"/>
        <v>0.97222222222222221</v>
      </c>
      <c r="P41" s="15" t="str">
        <f t="shared" si="5"/>
        <v/>
      </c>
      <c r="Q41" s="19">
        <f t="shared" si="6"/>
        <v>0.97222222222222221</v>
      </c>
      <c r="R41" s="28"/>
    </row>
    <row r="42" spans="1:18" x14ac:dyDescent="0.3">
      <c r="A42" s="23"/>
      <c r="B42" s="43" t="s">
        <v>79</v>
      </c>
      <c r="C42" s="40">
        <v>2</v>
      </c>
      <c r="F42" s="43" t="s">
        <v>31</v>
      </c>
      <c r="G42" s="23">
        <v>182</v>
      </c>
      <c r="H42">
        <v>14</v>
      </c>
      <c r="I42" s="28">
        <v>196</v>
      </c>
      <c r="M42" s="23" t="s">
        <v>31</v>
      </c>
      <c r="N42" s="14">
        <v>0.94</v>
      </c>
      <c r="O42" s="15">
        <f t="shared" si="4"/>
        <v>0.9285714285714286</v>
      </c>
      <c r="P42" s="15">
        <f t="shared" si="5"/>
        <v>0.9285714285714286</v>
      </c>
      <c r="Q42" s="19" t="str">
        <f t="shared" si="6"/>
        <v/>
      </c>
      <c r="R42" s="28"/>
    </row>
    <row r="43" spans="1:18" x14ac:dyDescent="0.3">
      <c r="A43" s="23"/>
      <c r="B43" s="43" t="s">
        <v>22</v>
      </c>
      <c r="C43" s="40">
        <v>8</v>
      </c>
      <c r="F43" s="43" t="s">
        <v>18</v>
      </c>
      <c r="G43" s="23">
        <v>212</v>
      </c>
      <c r="H43">
        <v>2</v>
      </c>
      <c r="I43" s="28">
        <v>214</v>
      </c>
      <c r="M43" s="23" t="s">
        <v>18</v>
      </c>
      <c r="N43" s="14">
        <v>0.94</v>
      </c>
      <c r="O43" s="15">
        <f t="shared" si="4"/>
        <v>0.99065420560747663</v>
      </c>
      <c r="P43" s="15" t="str">
        <f t="shared" si="5"/>
        <v/>
      </c>
      <c r="Q43" s="19">
        <f t="shared" si="6"/>
        <v>0.99065420560747663</v>
      </c>
      <c r="R43" s="28"/>
    </row>
    <row r="44" spans="1:18" ht="15" thickBot="1" x14ac:dyDescent="0.35">
      <c r="A44" s="23"/>
      <c r="B44" s="43" t="s">
        <v>66</v>
      </c>
      <c r="C44" s="40">
        <v>5</v>
      </c>
      <c r="F44" s="44" t="s">
        <v>45</v>
      </c>
      <c r="G44" s="23">
        <v>149</v>
      </c>
      <c r="H44">
        <v>29</v>
      </c>
      <c r="I44" s="28">
        <v>178</v>
      </c>
      <c r="M44" s="25" t="s">
        <v>45</v>
      </c>
      <c r="N44" s="26">
        <v>0.94</v>
      </c>
      <c r="O44" s="20">
        <f t="shared" si="4"/>
        <v>0.8370786516853933</v>
      </c>
      <c r="P44" s="20">
        <f t="shared" si="5"/>
        <v>0.8370786516853933</v>
      </c>
      <c r="Q44" s="21" t="str">
        <f t="shared" si="6"/>
        <v/>
      </c>
      <c r="R44" s="28"/>
    </row>
    <row r="45" spans="1:18" ht="15" thickBot="1" x14ac:dyDescent="0.35">
      <c r="A45" s="23"/>
      <c r="B45" s="44" t="s">
        <v>29</v>
      </c>
      <c r="C45" s="40">
        <v>10</v>
      </c>
      <c r="F45" s="34" t="s">
        <v>1387</v>
      </c>
      <c r="G45" s="25">
        <v>1059</v>
      </c>
      <c r="H45" s="29">
        <v>67</v>
      </c>
      <c r="I45" s="30">
        <v>1126</v>
      </c>
      <c r="R45" s="28"/>
    </row>
    <row r="46" spans="1:18" ht="15" thickBot="1" x14ac:dyDescent="0.35">
      <c r="A46" s="23"/>
      <c r="B46" s="34" t="s">
        <v>1387</v>
      </c>
      <c r="C46" s="41">
        <v>67</v>
      </c>
      <c r="R46" s="28"/>
    </row>
    <row r="47" spans="1:18" x14ac:dyDescent="0.3">
      <c r="A47" s="23"/>
      <c r="R47" s="28"/>
    </row>
    <row r="48" spans="1:18" ht="15" thickBot="1" x14ac:dyDescent="0.35">
      <c r="A48" s="25"/>
      <c r="B48" s="29"/>
      <c r="C48" s="29"/>
      <c r="D48" s="29"/>
      <c r="E48" s="29"/>
      <c r="F48" s="29"/>
      <c r="G48" s="29"/>
      <c r="H48" s="29"/>
      <c r="I48" s="29"/>
      <c r="J48" s="29"/>
      <c r="K48" s="29"/>
      <c r="L48" s="29"/>
      <c r="M48" s="29"/>
      <c r="N48" s="29"/>
      <c r="O48" s="29"/>
      <c r="P48" s="29"/>
      <c r="Q48" s="29"/>
      <c r="R48" s="30"/>
    </row>
    <row r="49" spans="1:15" ht="15" thickBot="1" x14ac:dyDescent="0.35"/>
    <row r="50" spans="1:15" x14ac:dyDescent="0.3">
      <c r="A50" s="16"/>
      <c r="B50" s="17" t="s">
        <v>1404</v>
      </c>
      <c r="C50" s="17"/>
      <c r="D50" s="17"/>
      <c r="E50" s="18"/>
      <c r="G50" s="16"/>
      <c r="H50" s="17"/>
      <c r="I50" s="17"/>
      <c r="J50" s="17"/>
      <c r="K50" s="17"/>
      <c r="L50" s="17"/>
      <c r="M50" s="17"/>
      <c r="N50" s="17"/>
      <c r="O50" s="18"/>
    </row>
    <row r="51" spans="1:15" ht="15" thickBot="1" x14ac:dyDescent="0.35">
      <c r="A51" s="23"/>
      <c r="E51" s="28"/>
      <c r="G51" s="23"/>
      <c r="L51" t="s">
        <v>1405</v>
      </c>
      <c r="O51" s="28"/>
    </row>
    <row r="52" spans="1:15" ht="15" thickBot="1" x14ac:dyDescent="0.35">
      <c r="A52" s="23"/>
      <c r="B52" s="31" t="s">
        <v>10</v>
      </c>
      <c r="C52" s="32" t="s">
        <v>1390</v>
      </c>
      <c r="E52" s="28"/>
      <c r="G52" s="31" t="s">
        <v>10</v>
      </c>
      <c r="H52" s="32" t="s">
        <v>1391</v>
      </c>
      <c r="O52" s="28"/>
    </row>
    <row r="53" spans="1:15" ht="15" thickBot="1" x14ac:dyDescent="0.35">
      <c r="A53" s="23"/>
      <c r="E53" s="28"/>
      <c r="G53" s="23"/>
      <c r="O53" s="28"/>
    </row>
    <row r="54" spans="1:15" ht="15" thickBot="1" x14ac:dyDescent="0.35">
      <c r="A54" s="23"/>
      <c r="B54" s="35" t="s">
        <v>1374</v>
      </c>
      <c r="C54" s="33" t="s">
        <v>1388</v>
      </c>
      <c r="E54" s="28"/>
      <c r="G54" s="35" t="s">
        <v>1374</v>
      </c>
      <c r="H54" s="33" t="s">
        <v>1388</v>
      </c>
      <c r="L54" t="s">
        <v>10</v>
      </c>
      <c r="M54" t="s">
        <v>1402</v>
      </c>
      <c r="N54" t="s">
        <v>1403</v>
      </c>
      <c r="O54" s="28"/>
    </row>
    <row r="55" spans="1:15" x14ac:dyDescent="0.3">
      <c r="A55" s="23"/>
      <c r="B55" s="42" t="s">
        <v>17</v>
      </c>
      <c r="C55" s="39">
        <v>16</v>
      </c>
      <c r="E55" s="28"/>
      <c r="G55" s="42" t="s">
        <v>39</v>
      </c>
      <c r="H55" s="39">
        <v>138</v>
      </c>
      <c r="L55" t="s">
        <v>39</v>
      </c>
      <c r="M55">
        <f>N55/$N$60</f>
        <v>0.12255772646536411</v>
      </c>
      <c r="N55">
        <f>GETPIVOTDATA("Ticket ID",$G$54,"Region",G55)</f>
        <v>138</v>
      </c>
      <c r="O55" s="28"/>
    </row>
    <row r="56" spans="1:15" x14ac:dyDescent="0.3">
      <c r="A56" s="23"/>
      <c r="B56" s="43" t="s">
        <v>24</v>
      </c>
      <c r="C56" s="40">
        <v>22</v>
      </c>
      <c r="E56" s="28"/>
      <c r="G56" s="43" t="s">
        <v>13</v>
      </c>
      <c r="H56" s="40">
        <v>250</v>
      </c>
      <c r="L56" t="s">
        <v>13</v>
      </c>
      <c r="M56">
        <f t="shared" ref="M56:M59" si="7">N56/$N$60</f>
        <v>0.22202486678507993</v>
      </c>
      <c r="N56">
        <f t="shared" ref="N56:N59" si="8">GETPIVOTDATA("Ticket ID",$G$54,"Region",G56)</f>
        <v>250</v>
      </c>
      <c r="O56" s="28"/>
    </row>
    <row r="57" spans="1:15" ht="15" thickBot="1" x14ac:dyDescent="0.35">
      <c r="A57" s="23"/>
      <c r="B57" s="44" t="s">
        <v>37</v>
      </c>
      <c r="C57" s="40">
        <v>29</v>
      </c>
      <c r="E57" s="28"/>
      <c r="G57" s="43" t="s">
        <v>20</v>
      </c>
      <c r="H57" s="40">
        <v>192</v>
      </c>
      <c r="L57" t="s">
        <v>20</v>
      </c>
      <c r="M57">
        <f t="shared" si="7"/>
        <v>0.17051509769094139</v>
      </c>
      <c r="N57">
        <f t="shared" si="8"/>
        <v>192</v>
      </c>
      <c r="O57" s="28"/>
    </row>
    <row r="58" spans="1:15" ht="15" thickBot="1" x14ac:dyDescent="0.35">
      <c r="A58" s="23"/>
      <c r="B58" s="34" t="s">
        <v>1387</v>
      </c>
      <c r="C58" s="41">
        <v>67</v>
      </c>
      <c r="E58" s="28"/>
      <c r="G58" s="43" t="s">
        <v>27</v>
      </c>
      <c r="H58" s="40">
        <v>396</v>
      </c>
      <c r="L58" t="s">
        <v>27</v>
      </c>
      <c r="M58">
        <f t="shared" si="7"/>
        <v>0.35168738898756663</v>
      </c>
      <c r="N58">
        <f t="shared" si="8"/>
        <v>396</v>
      </c>
      <c r="O58" s="28"/>
    </row>
    <row r="59" spans="1:15" ht="15" thickBot="1" x14ac:dyDescent="0.35">
      <c r="A59" s="23"/>
      <c r="E59" s="28"/>
      <c r="G59" s="44" t="s">
        <v>33</v>
      </c>
      <c r="H59" s="40">
        <v>150</v>
      </c>
      <c r="L59" t="s">
        <v>33</v>
      </c>
      <c r="M59">
        <f t="shared" si="7"/>
        <v>0.13321492007104796</v>
      </c>
      <c r="N59">
        <f t="shared" si="8"/>
        <v>150</v>
      </c>
      <c r="O59" s="28"/>
    </row>
    <row r="60" spans="1:15" ht="15" thickBot="1" x14ac:dyDescent="0.35">
      <c r="A60" s="23"/>
      <c r="E60" s="28"/>
      <c r="G60" s="34" t="s">
        <v>1387</v>
      </c>
      <c r="H60" s="41">
        <v>1126</v>
      </c>
      <c r="L60" t="s">
        <v>1387</v>
      </c>
      <c r="N60">
        <f>GETPIVOTDATA("Ticket ID",$G$54)</f>
        <v>1126</v>
      </c>
      <c r="O60" s="28"/>
    </row>
    <row r="61" spans="1:15" ht="15" thickBot="1" x14ac:dyDescent="0.35">
      <c r="A61" s="23"/>
      <c r="E61" s="28"/>
      <c r="G61" s="25"/>
      <c r="H61" s="29"/>
      <c r="I61" s="29"/>
      <c r="J61" s="29"/>
      <c r="K61" s="29"/>
      <c r="L61" s="29"/>
      <c r="M61" s="29"/>
      <c r="N61" s="29"/>
      <c r="O61" s="30"/>
    </row>
    <row r="62" spans="1:15" x14ac:dyDescent="0.3">
      <c r="A62" s="23"/>
      <c r="E62" s="28"/>
    </row>
    <row r="63" spans="1:15" x14ac:dyDescent="0.3">
      <c r="A63" s="23"/>
      <c r="E63" s="28"/>
    </row>
    <row r="64" spans="1:15" ht="15" thickBot="1" x14ac:dyDescent="0.35">
      <c r="A64" s="23"/>
      <c r="E64" s="28"/>
    </row>
    <row r="65" spans="1:18" ht="15" thickBot="1" x14ac:dyDescent="0.35">
      <c r="A65" s="23"/>
      <c r="E65" s="28"/>
    </row>
    <row r="66" spans="1:18" x14ac:dyDescent="0.3">
      <c r="A66" s="23"/>
      <c r="B66" t="s">
        <v>1401</v>
      </c>
      <c r="C66" t="s">
        <v>1402</v>
      </c>
      <c r="D66" t="s">
        <v>1403</v>
      </c>
      <c r="E66" s="28"/>
      <c r="G66" s="16"/>
      <c r="H66" s="17"/>
      <c r="I66" s="17"/>
      <c r="J66" s="17"/>
      <c r="K66" s="17"/>
      <c r="L66" s="17"/>
      <c r="M66" s="17"/>
      <c r="N66" s="17"/>
      <c r="O66" s="17"/>
      <c r="P66" s="17"/>
      <c r="Q66" s="17"/>
      <c r="R66" s="18"/>
    </row>
    <row r="67" spans="1:18" x14ac:dyDescent="0.3">
      <c r="A67" s="23"/>
      <c r="B67" t="s">
        <v>17</v>
      </c>
      <c r="C67" s="15">
        <f>D67/GETPIVOTDATA("Ticket ID",$B$54)</f>
        <v>0.23880597014925373</v>
      </c>
      <c r="D67">
        <f>GETPIVOTDATA("Ticket ID",$B$54,"Priority",B55)</f>
        <v>16</v>
      </c>
      <c r="E67" s="28"/>
      <c r="G67" s="23"/>
      <c r="L67" t="s">
        <v>1407</v>
      </c>
      <c r="R67" s="28"/>
    </row>
    <row r="68" spans="1:18" ht="15" thickBot="1" x14ac:dyDescent="0.35">
      <c r="A68" s="23"/>
      <c r="B68" t="s">
        <v>24</v>
      </c>
      <c r="C68" s="15">
        <f>D68/GETPIVOTDATA("Ticket ID",$B$54)</f>
        <v>0.32835820895522388</v>
      </c>
      <c r="D68">
        <f>GETPIVOTDATA("Ticket ID",$B$54,"Priority",B56)</f>
        <v>22</v>
      </c>
      <c r="E68" s="28"/>
      <c r="G68" s="23"/>
      <c r="R68" s="28"/>
    </row>
    <row r="69" spans="1:18" ht="15" thickBot="1" x14ac:dyDescent="0.35">
      <c r="A69" s="23"/>
      <c r="B69" t="s">
        <v>37</v>
      </c>
      <c r="C69" s="15">
        <f>D69/GETPIVOTDATA("Ticket ID",$B$54)</f>
        <v>0.43283582089552236</v>
      </c>
      <c r="D69">
        <f>GETPIVOTDATA("Ticket ID",$B$54,"Priority",B57)</f>
        <v>29</v>
      </c>
      <c r="E69" s="28"/>
      <c r="G69" s="35" t="s">
        <v>1388</v>
      </c>
      <c r="H69" s="35" t="s">
        <v>1399</v>
      </c>
      <c r="I69" s="45"/>
      <c r="J69" s="32"/>
      <c r="L69" t="s">
        <v>2</v>
      </c>
      <c r="M69" t="s">
        <v>1393</v>
      </c>
      <c r="N69" t="s">
        <v>1394</v>
      </c>
      <c r="O69" t="s">
        <v>1406</v>
      </c>
      <c r="P69" t="s">
        <v>1389</v>
      </c>
      <c r="R69" s="28"/>
    </row>
    <row r="70" spans="1:18" ht="15" thickBot="1" x14ac:dyDescent="0.35">
      <c r="A70" s="23"/>
      <c r="B70" t="s">
        <v>1397</v>
      </c>
      <c r="C70">
        <f>GETPIVOTDATA("Ticket ID",$B$54)</f>
        <v>67</v>
      </c>
      <c r="E70" s="28"/>
      <c r="G70" s="35" t="s">
        <v>1374</v>
      </c>
      <c r="H70" s="45" t="s">
        <v>1389</v>
      </c>
      <c r="I70" s="32" t="s">
        <v>1390</v>
      </c>
      <c r="J70" s="33" t="s">
        <v>1387</v>
      </c>
      <c r="L70" t="s">
        <v>34</v>
      </c>
      <c r="M70" s="14">
        <v>0.94</v>
      </c>
      <c r="N70" s="15">
        <f>GETPIVOTDATA("Ticket ID",$G$69,"Country",G71,"Status","Met")/GETPIVOTDATA("Ticket ID",$G$69,"Country",G71)</f>
        <v>0.9375</v>
      </c>
      <c r="O70" s="15">
        <f>IF(M70&lt;N70,"",N70)</f>
        <v>0.9375</v>
      </c>
      <c r="P70" s="15" t="str">
        <f>IF(M70&gt;N70,"",N70)</f>
        <v/>
      </c>
      <c r="R70" s="28"/>
    </row>
    <row r="71" spans="1:18" ht="15" thickBot="1" x14ac:dyDescent="0.35">
      <c r="A71" s="25"/>
      <c r="B71" s="29"/>
      <c r="C71" s="29"/>
      <c r="D71" s="29"/>
      <c r="E71" s="30"/>
      <c r="G71" s="42" t="s">
        <v>34</v>
      </c>
      <c r="H71" s="16">
        <v>60</v>
      </c>
      <c r="I71" s="17">
        <v>4</v>
      </c>
      <c r="J71" s="18">
        <v>64</v>
      </c>
      <c r="L71" t="s">
        <v>69</v>
      </c>
      <c r="M71" s="14">
        <v>0.94</v>
      </c>
      <c r="N71" s="15">
        <f t="shared" ref="N71:N84" si="9">GETPIVOTDATA("Ticket ID",$G$69,"Country",G72,"Status","Met")/GETPIVOTDATA("Ticket ID",$G$69,"Country",G72)</f>
        <v>0.92592592592592593</v>
      </c>
      <c r="O71" s="15">
        <f t="shared" ref="O71:O84" si="10">IF(M71&lt;N71,"",N71)</f>
        <v>0.92592592592592593</v>
      </c>
      <c r="P71" s="15" t="str">
        <f t="shared" ref="P71:P84" si="11">IF(M71&gt;N71,"",N71)</f>
        <v/>
      </c>
      <c r="R71" s="28"/>
    </row>
    <row r="72" spans="1:18" x14ac:dyDescent="0.3">
      <c r="G72" s="43" t="s">
        <v>69</v>
      </c>
      <c r="H72" s="23">
        <v>50</v>
      </c>
      <c r="I72">
        <v>4</v>
      </c>
      <c r="J72" s="28">
        <v>54</v>
      </c>
      <c r="L72" t="s">
        <v>153</v>
      </c>
      <c r="M72" s="14">
        <v>0.94</v>
      </c>
      <c r="N72" s="15">
        <f t="shared" si="9"/>
        <v>0.98333333333333328</v>
      </c>
      <c r="O72" s="15" t="str">
        <f t="shared" si="10"/>
        <v/>
      </c>
      <c r="P72" s="15">
        <f t="shared" si="11"/>
        <v>0.98333333333333328</v>
      </c>
      <c r="R72" s="28"/>
    </row>
    <row r="73" spans="1:18" x14ac:dyDescent="0.3">
      <c r="G73" s="43" t="s">
        <v>153</v>
      </c>
      <c r="H73" s="23">
        <v>118</v>
      </c>
      <c r="I73">
        <v>2</v>
      </c>
      <c r="J73" s="28">
        <v>120</v>
      </c>
      <c r="L73" t="s">
        <v>55</v>
      </c>
      <c r="M73" s="14">
        <v>0.94</v>
      </c>
      <c r="N73" s="15">
        <f t="shared" si="9"/>
        <v>0.9375</v>
      </c>
      <c r="O73" s="15">
        <f t="shared" si="10"/>
        <v>0.9375</v>
      </c>
      <c r="P73" s="15" t="str">
        <f t="shared" si="11"/>
        <v/>
      </c>
      <c r="R73" s="28"/>
    </row>
    <row r="74" spans="1:18" x14ac:dyDescent="0.3">
      <c r="G74" s="43" t="s">
        <v>55</v>
      </c>
      <c r="H74" s="23">
        <v>30</v>
      </c>
      <c r="I74">
        <v>2</v>
      </c>
      <c r="J74" s="28">
        <v>32</v>
      </c>
      <c r="L74" t="s">
        <v>58</v>
      </c>
      <c r="M74" s="14">
        <v>0.94</v>
      </c>
      <c r="N74" s="15">
        <f t="shared" si="9"/>
        <v>0.96969696969696972</v>
      </c>
      <c r="O74" s="15" t="str">
        <f t="shared" si="10"/>
        <v/>
      </c>
      <c r="P74" s="15">
        <f t="shared" si="11"/>
        <v>0.96969696969696972</v>
      </c>
      <c r="R74" s="28"/>
    </row>
    <row r="75" spans="1:18" x14ac:dyDescent="0.3">
      <c r="G75" s="43" t="s">
        <v>58</v>
      </c>
      <c r="H75" s="23">
        <v>64</v>
      </c>
      <c r="I75">
        <v>2</v>
      </c>
      <c r="J75" s="28">
        <v>66</v>
      </c>
      <c r="L75" t="s">
        <v>93</v>
      </c>
      <c r="M75" s="14">
        <v>0.94</v>
      </c>
      <c r="N75" s="15">
        <f t="shared" si="9"/>
        <v>0.90476190476190477</v>
      </c>
      <c r="O75" s="15">
        <f t="shared" si="10"/>
        <v>0.90476190476190477</v>
      </c>
      <c r="P75" s="15" t="str">
        <f t="shared" si="11"/>
        <v/>
      </c>
      <c r="R75" s="28"/>
    </row>
    <row r="76" spans="1:18" x14ac:dyDescent="0.3">
      <c r="G76" s="43" t="s">
        <v>93</v>
      </c>
      <c r="H76" s="23">
        <v>38</v>
      </c>
      <c r="I76">
        <v>4</v>
      </c>
      <c r="J76" s="28">
        <v>42</v>
      </c>
      <c r="L76" t="s">
        <v>21</v>
      </c>
      <c r="M76" s="14">
        <v>0.94</v>
      </c>
      <c r="N76" s="15">
        <f t="shared" si="9"/>
        <v>0.86363636363636365</v>
      </c>
      <c r="O76" s="15">
        <f t="shared" si="10"/>
        <v>0.86363636363636365</v>
      </c>
      <c r="P76" s="15" t="str">
        <f t="shared" si="11"/>
        <v/>
      </c>
      <c r="R76" s="28"/>
    </row>
    <row r="77" spans="1:18" x14ac:dyDescent="0.3">
      <c r="G77" s="43" t="s">
        <v>21</v>
      </c>
      <c r="H77" s="23">
        <v>57</v>
      </c>
      <c r="I77">
        <v>9</v>
      </c>
      <c r="J77" s="28">
        <v>66</v>
      </c>
      <c r="L77" t="s">
        <v>14</v>
      </c>
      <c r="M77" s="14">
        <v>0.94</v>
      </c>
      <c r="N77" s="15">
        <f t="shared" si="9"/>
        <v>0.87704918032786883</v>
      </c>
      <c r="O77" s="15">
        <f t="shared" si="10"/>
        <v>0.87704918032786883</v>
      </c>
      <c r="P77" s="15" t="str">
        <f t="shared" si="11"/>
        <v/>
      </c>
      <c r="R77" s="28"/>
    </row>
    <row r="78" spans="1:18" x14ac:dyDescent="0.3">
      <c r="G78" s="43" t="s">
        <v>14</v>
      </c>
      <c r="H78" s="23">
        <v>107</v>
      </c>
      <c r="I78">
        <v>15</v>
      </c>
      <c r="J78" s="28">
        <v>122</v>
      </c>
      <c r="L78" t="s">
        <v>61</v>
      </c>
      <c r="M78" s="14">
        <v>0.94</v>
      </c>
      <c r="N78" s="15">
        <f t="shared" si="9"/>
        <v>0.967741935483871</v>
      </c>
      <c r="O78" s="15" t="str">
        <f t="shared" si="10"/>
        <v/>
      </c>
      <c r="P78" s="15">
        <f t="shared" si="11"/>
        <v>0.967741935483871</v>
      </c>
      <c r="R78" s="28"/>
    </row>
    <row r="79" spans="1:18" x14ac:dyDescent="0.3">
      <c r="G79" s="43" t="s">
        <v>61</v>
      </c>
      <c r="H79" s="23">
        <v>60</v>
      </c>
      <c r="I79">
        <v>2</v>
      </c>
      <c r="J79" s="28">
        <v>62</v>
      </c>
      <c r="L79" t="s">
        <v>40</v>
      </c>
      <c r="M79" s="14">
        <v>0.94</v>
      </c>
      <c r="N79" s="15">
        <f t="shared" si="9"/>
        <v>1</v>
      </c>
      <c r="O79" s="15" t="str">
        <f t="shared" si="10"/>
        <v/>
      </c>
      <c r="P79" s="15">
        <f t="shared" si="11"/>
        <v>1</v>
      </c>
      <c r="R79" s="28"/>
    </row>
    <row r="80" spans="1:18" x14ac:dyDescent="0.3">
      <c r="G80" s="43" t="s">
        <v>40</v>
      </c>
      <c r="H80" s="23">
        <v>44</v>
      </c>
      <c r="J80" s="28">
        <v>44</v>
      </c>
      <c r="L80" t="s">
        <v>47</v>
      </c>
      <c r="M80" s="14">
        <v>0.94</v>
      </c>
      <c r="N80" s="15">
        <f t="shared" si="9"/>
        <v>0.90972222222222221</v>
      </c>
      <c r="O80" s="15">
        <f t="shared" si="10"/>
        <v>0.90972222222222221</v>
      </c>
      <c r="P80" s="15" t="str">
        <f t="shared" si="11"/>
        <v/>
      </c>
      <c r="R80" s="28"/>
    </row>
    <row r="81" spans="7:18" x14ac:dyDescent="0.3">
      <c r="G81" s="43" t="s">
        <v>47</v>
      </c>
      <c r="H81" s="23">
        <v>131</v>
      </c>
      <c r="I81">
        <v>13</v>
      </c>
      <c r="J81" s="28">
        <v>144</v>
      </c>
      <c r="L81" t="s">
        <v>96</v>
      </c>
      <c r="M81" s="14">
        <v>0.94</v>
      </c>
      <c r="N81" s="15">
        <f t="shared" si="9"/>
        <v>1</v>
      </c>
      <c r="O81" s="15" t="str">
        <f t="shared" si="10"/>
        <v/>
      </c>
      <c r="P81" s="15">
        <f t="shared" si="11"/>
        <v>1</v>
      </c>
      <c r="R81" s="28"/>
    </row>
    <row r="82" spans="7:18" x14ac:dyDescent="0.3">
      <c r="G82" s="43" t="s">
        <v>96</v>
      </c>
      <c r="H82" s="23">
        <v>30</v>
      </c>
      <c r="J82" s="28">
        <v>30</v>
      </c>
      <c r="L82" t="s">
        <v>99</v>
      </c>
      <c r="M82" s="14">
        <v>0.94</v>
      </c>
      <c r="N82" s="15">
        <f t="shared" si="9"/>
        <v>0.90625</v>
      </c>
      <c r="O82" s="15">
        <f t="shared" si="10"/>
        <v>0.90625</v>
      </c>
      <c r="P82" s="15" t="str">
        <f t="shared" si="11"/>
        <v/>
      </c>
      <c r="R82" s="28"/>
    </row>
    <row r="83" spans="7:18" x14ac:dyDescent="0.3">
      <c r="G83" s="43" t="s">
        <v>99</v>
      </c>
      <c r="H83" s="23">
        <v>58</v>
      </c>
      <c r="I83">
        <v>6</v>
      </c>
      <c r="J83" s="28">
        <v>64</v>
      </c>
      <c r="L83" t="s">
        <v>76</v>
      </c>
      <c r="M83" s="14">
        <v>0.94</v>
      </c>
      <c r="N83" s="15">
        <f t="shared" si="9"/>
        <v>0.98809523809523814</v>
      </c>
      <c r="O83" s="15" t="str">
        <f t="shared" si="10"/>
        <v/>
      </c>
      <c r="P83" s="15">
        <f t="shared" si="11"/>
        <v>0.98809523809523814</v>
      </c>
      <c r="R83" s="28"/>
    </row>
    <row r="84" spans="7:18" x14ac:dyDescent="0.3">
      <c r="G84" s="43" t="s">
        <v>76</v>
      </c>
      <c r="H84" s="23">
        <v>83</v>
      </c>
      <c r="I84">
        <v>1</v>
      </c>
      <c r="J84" s="28">
        <v>84</v>
      </c>
      <c r="L84" t="s">
        <v>28</v>
      </c>
      <c r="M84" s="14">
        <v>0.94</v>
      </c>
      <c r="N84" s="15">
        <f t="shared" si="9"/>
        <v>0.97727272727272729</v>
      </c>
      <c r="O84" s="15" t="str">
        <f t="shared" si="10"/>
        <v/>
      </c>
      <c r="P84" s="15">
        <f t="shared" si="11"/>
        <v>0.97727272727272729</v>
      </c>
      <c r="R84" s="28"/>
    </row>
    <row r="85" spans="7:18" ht="15" thickBot="1" x14ac:dyDescent="0.35">
      <c r="G85" s="44" t="s">
        <v>28</v>
      </c>
      <c r="H85" s="23">
        <v>129</v>
      </c>
      <c r="I85">
        <v>3</v>
      </c>
      <c r="J85" s="28">
        <v>132</v>
      </c>
      <c r="R85" s="28"/>
    </row>
    <row r="86" spans="7:18" ht="15" thickBot="1" x14ac:dyDescent="0.35">
      <c r="G86" s="34" t="s">
        <v>1387</v>
      </c>
      <c r="H86" s="25">
        <v>1059</v>
      </c>
      <c r="I86" s="29">
        <v>67</v>
      </c>
      <c r="J86" s="30">
        <v>1126</v>
      </c>
      <c r="R86" s="28"/>
    </row>
    <row r="87" spans="7:18" x14ac:dyDescent="0.3">
      <c r="G87" s="23"/>
      <c r="R87" s="28"/>
    </row>
    <row r="88" spans="7:18" x14ac:dyDescent="0.3">
      <c r="G88" s="23"/>
      <c r="R88" s="28"/>
    </row>
    <row r="89" spans="7:18" ht="15" thickBot="1" x14ac:dyDescent="0.35">
      <c r="G89" s="25"/>
      <c r="H89" s="29"/>
      <c r="I89" s="29"/>
      <c r="J89" s="29"/>
      <c r="K89" s="29"/>
      <c r="L89" s="29"/>
      <c r="M89" s="29"/>
      <c r="N89" s="29"/>
      <c r="O89" s="29"/>
      <c r="P89" s="29"/>
      <c r="Q89" s="29"/>
      <c r="R89" s="30"/>
    </row>
    <row r="91" spans="7:18" ht="15" thickBot="1" x14ac:dyDescent="0.35"/>
    <row r="93" spans="7:18" ht="15" thickBot="1" x14ac:dyDescent="0.35"/>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757F-624D-4340-AE7E-871E8199FA3D}">
  <dimension ref="A1"/>
  <sheetViews>
    <sheetView showGridLines="0" tabSelected="1" topLeftCell="A25" zoomScaleNormal="100" workbookViewId="0">
      <selection activeCell="F49" sqref="F4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Fecioru .</cp:lastModifiedBy>
  <dcterms:created xsi:type="dcterms:W3CDTF">2025-12-19T06:08:14Z</dcterms:created>
  <dcterms:modified xsi:type="dcterms:W3CDTF">2026-03-12T11:41:13Z</dcterms:modified>
</cp:coreProperties>
</file>