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W:\vscode\SQL\EXCEL\ExcerAlex\"/>
    </mc:Choice>
  </mc:AlternateContent>
  <xr:revisionPtr revIDLastSave="0" documentId="13_ncr:1_{D1D9875A-999D-4268-BA19-BB7F5B4AEA45}" xr6:coauthVersionLast="47" xr6:coauthVersionMax="47" xr10:uidLastSave="{00000000-0000-0000-0000-000000000000}"/>
  <bookViews>
    <workbookView xWindow="-120" yWindow="-120" windowWidth="29040" windowHeight="15720" xr2:uid="{00000000-000D-0000-FFFF-FFFF00000000}"/>
  </bookViews>
  <sheets>
    <sheet name="bike_buyers" sheetId="1" r:id="rId1"/>
    <sheet name="Pivot Tables" sheetId="3" r:id="rId2"/>
    <sheet name="Dashboard" sheetId="4" r:id="rId3"/>
  </sheets>
  <definedNames>
    <definedName name="_xlnm._FilterDatabase" localSheetId="0" hidden="1">bike_buyers!$CB$6:$CI$251</definedName>
    <definedName name="_xlnm.Criteria" localSheetId="0">bike_buyers!$CB$1:$CP$3</definedName>
    <definedName name="_xlnm.Extract" localSheetId="0">bike_buyers!$CK$6:$CS$6</definedName>
    <definedName name="Slicer_Marital_Status">#N/A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3" i="1" l="1"/>
  <c r="O32" i="1"/>
  <c r="O29" i="1"/>
  <c r="O24" i="1"/>
  <c r="O22" i="1"/>
  <c r="O21" i="1"/>
  <c r="O19" i="1"/>
  <c r="O18" i="1"/>
  <c r="O17" i="1"/>
  <c r="O16" i="1" a="1"/>
  <c r="O16" i="1" s="1"/>
  <c r="O15" i="1"/>
  <c r="M228" i="1"/>
  <c r="M64" i="1"/>
  <c r="M939" i="1"/>
  <c r="M777" i="1"/>
  <c r="M363" i="1"/>
  <c r="M551" i="1"/>
  <c r="M616" i="1"/>
  <c r="M378" i="1"/>
  <c r="M542" i="1"/>
  <c r="M233" i="1"/>
  <c r="M981" i="1"/>
  <c r="M82" i="1"/>
  <c r="M424" i="1"/>
  <c r="M650" i="1"/>
  <c r="M353" i="1"/>
  <c r="M229" i="1"/>
  <c r="M598" i="1"/>
  <c r="M420" i="1"/>
  <c r="M370" i="1"/>
  <c r="M844" i="1"/>
  <c r="M967" i="1"/>
  <c r="M435" i="1"/>
  <c r="M45" i="1"/>
  <c r="M419" i="1"/>
  <c r="M599" i="1"/>
  <c r="M798" i="1"/>
  <c r="M986" i="1"/>
  <c r="M33" i="1"/>
  <c r="M763" i="1"/>
  <c r="M383" i="1"/>
  <c r="M730" i="1"/>
  <c r="M760" i="1"/>
  <c r="M525" i="1"/>
  <c r="M75" i="1"/>
  <c r="M2" i="1"/>
  <c r="M359" i="1"/>
  <c r="M772" i="1"/>
  <c r="M752" i="1"/>
  <c r="M86" i="1"/>
  <c r="M389" i="1"/>
  <c r="M442" i="1"/>
  <c r="M557" i="1"/>
  <c r="M208" i="1"/>
  <c r="M214" i="1"/>
  <c r="M567" i="1"/>
  <c r="M649" i="1"/>
  <c r="M410" i="1"/>
  <c r="M404" i="1"/>
  <c r="M882" i="1"/>
  <c r="M814" i="1"/>
  <c r="M970" i="1"/>
  <c r="M576" i="1"/>
  <c r="M181" i="1"/>
  <c r="M951" i="1"/>
  <c r="M158" i="1"/>
  <c r="M888" i="1"/>
  <c r="M202" i="1"/>
  <c r="M609" i="1"/>
  <c r="M484" i="1"/>
  <c r="M554" i="1"/>
  <c r="M357" i="1"/>
  <c r="M438" i="1"/>
  <c r="M123" i="1"/>
  <c r="M592" i="1"/>
  <c r="M387" i="1"/>
  <c r="M826" i="1"/>
  <c r="M778" i="1"/>
  <c r="M91" i="1"/>
  <c r="M737" i="1"/>
  <c r="M994" i="1"/>
  <c r="M738" i="1"/>
  <c r="M334" i="1"/>
  <c r="M750" i="1"/>
  <c r="M221" i="1"/>
  <c r="M206" i="1"/>
  <c r="M764" i="1"/>
  <c r="M960" i="1"/>
  <c r="M528" i="1"/>
  <c r="M417" i="1"/>
  <c r="M92" i="1"/>
  <c r="M84" i="1"/>
  <c r="M774" i="1"/>
  <c r="M746" i="1"/>
  <c r="M425" i="1"/>
  <c r="M736" i="1"/>
  <c r="M338" i="1"/>
  <c r="M52" i="1"/>
  <c r="M781" i="1"/>
  <c r="M565" i="1"/>
  <c r="M775" i="1"/>
  <c r="M771" i="1"/>
  <c r="M472" i="1"/>
  <c r="M805" i="1"/>
  <c r="M241" i="1"/>
  <c r="M71" i="1"/>
  <c r="M601" i="1"/>
  <c r="M612" i="1"/>
  <c r="M863" i="1"/>
  <c r="M215" i="1"/>
  <c r="M364" i="1"/>
  <c r="M281" i="1"/>
  <c r="M347" i="1"/>
  <c r="M646" i="1"/>
  <c r="M516" i="1"/>
  <c r="M785" i="1"/>
  <c r="M511" i="1"/>
  <c r="M418" i="1"/>
  <c r="M840" i="1"/>
  <c r="M831" i="1"/>
  <c r="M585" i="1"/>
  <c r="M953" i="1"/>
  <c r="M437" i="1"/>
  <c r="M711" i="1"/>
  <c r="M765" i="1"/>
  <c r="M724" i="1"/>
  <c r="M584" i="1"/>
  <c r="M757" i="1"/>
  <c r="M51" i="1"/>
  <c r="M817" i="1"/>
  <c r="M429" i="1"/>
  <c r="M550" i="1"/>
  <c r="M976" i="1"/>
  <c r="M322" i="1"/>
  <c r="M834" i="1"/>
  <c r="M43" i="1"/>
  <c r="M821" i="1"/>
  <c r="M602" i="1"/>
  <c r="M352" i="1"/>
  <c r="M210" i="1"/>
  <c r="M488" i="1"/>
  <c r="M188" i="1"/>
  <c r="M861" i="1"/>
  <c r="M421" i="1"/>
  <c r="M397" i="1"/>
  <c r="M365" i="1"/>
  <c r="M552" i="1"/>
  <c r="M384" i="1"/>
  <c r="M375" i="1"/>
  <c r="M390" i="1"/>
  <c r="M855" i="1"/>
  <c r="M725" i="1"/>
  <c r="M622" i="1"/>
  <c r="M974" i="1"/>
  <c r="M587" i="1"/>
  <c r="M431" i="1"/>
  <c r="M856" i="1"/>
  <c r="M862" i="1"/>
  <c r="M90" i="1"/>
  <c r="M819" i="1"/>
  <c r="M645" i="1"/>
  <c r="M696" i="1"/>
  <c r="M762" i="1"/>
  <c r="M699" i="1"/>
  <c r="M47" i="1"/>
  <c r="M87" i="1"/>
  <c r="M81" i="1"/>
  <c r="M348" i="1"/>
  <c r="M372" i="1"/>
  <c r="M556" i="1"/>
  <c r="M654" i="1"/>
  <c r="M373" i="1"/>
  <c r="M453" i="1"/>
  <c r="M426" i="1"/>
  <c r="M729" i="1"/>
  <c r="M740" i="1"/>
  <c r="M690" i="1"/>
  <c r="M988" i="1"/>
  <c r="M955" i="1"/>
  <c r="M603" i="1"/>
  <c r="M205" i="1"/>
  <c r="M59" i="1"/>
  <c r="M726" i="1"/>
  <c r="M734" i="1"/>
  <c r="M894" i="1"/>
  <c r="M527" i="1"/>
  <c r="M769" i="1"/>
  <c r="M540" i="1"/>
  <c r="M207" i="1"/>
  <c r="M743" i="1"/>
  <c r="M553" i="1"/>
  <c r="M234" i="1"/>
  <c r="M355" i="1"/>
  <c r="M440" i="1"/>
  <c r="M201" i="1"/>
  <c r="M694" i="1"/>
  <c r="M248" i="1"/>
  <c r="M57" i="1"/>
  <c r="M947" i="1"/>
  <c r="M589" i="1"/>
  <c r="M240" i="1"/>
  <c r="M531" i="1"/>
  <c r="M63" i="1"/>
  <c r="M22" i="1"/>
  <c r="M735" i="1"/>
  <c r="M754" i="1"/>
  <c r="M898" i="1"/>
  <c r="M495" i="1"/>
  <c r="M987" i="1"/>
  <c r="M977" i="1"/>
  <c r="M911" i="1"/>
  <c r="M562" i="1"/>
  <c r="M436" i="1"/>
  <c r="M640" i="1"/>
  <c r="M321" i="1"/>
  <c r="M242" i="1"/>
  <c r="M76" i="1"/>
  <c r="M744" i="1"/>
  <c r="M854" i="1"/>
  <c r="M226" i="1"/>
  <c r="M172" i="1"/>
  <c r="M895" i="1"/>
  <c r="M789" i="1"/>
  <c r="M958" i="1"/>
  <c r="M581" i="1"/>
  <c r="M160" i="1"/>
  <c r="M374" i="1"/>
  <c r="M767" i="1"/>
  <c r="M559" i="1"/>
  <c r="M731" i="1"/>
  <c r="M643" i="1"/>
  <c r="M723" i="1"/>
  <c r="M244" i="1"/>
  <c r="M31" i="1"/>
  <c r="M402" i="1"/>
  <c r="M574" i="1"/>
  <c r="M222" i="1"/>
  <c r="M209" i="1"/>
  <c r="M570" i="1"/>
  <c r="M44" i="1"/>
  <c r="M199" i="1"/>
  <c r="M884" i="1"/>
  <c r="M93" i="1"/>
  <c r="M756" i="1"/>
  <c r="M978" i="1"/>
  <c r="M564" i="1"/>
  <c r="M6" i="1"/>
  <c r="M722" i="1"/>
  <c r="M26" i="1"/>
  <c r="M790" i="1"/>
  <c r="M558" i="1"/>
  <c r="M245" i="1"/>
  <c r="M582" i="1"/>
  <c r="M758" i="1"/>
  <c r="M332" i="1"/>
  <c r="M79" i="1"/>
  <c r="M341" i="1"/>
  <c r="M983" i="1"/>
  <c r="M4" i="1"/>
  <c r="M940" i="1"/>
  <c r="M77" i="1"/>
  <c r="M204" i="1"/>
  <c r="M930" i="1"/>
  <c r="M323" i="1"/>
  <c r="M379" i="1"/>
  <c r="M235" i="1"/>
  <c r="M568" i="1"/>
  <c r="M900" i="1"/>
  <c r="M327" i="1"/>
  <c r="M1000" i="1"/>
  <c r="M396" i="1"/>
  <c r="M607" i="1"/>
  <c r="M344" i="1"/>
  <c r="M24" i="1"/>
  <c r="M870" i="1"/>
  <c r="M398" i="1"/>
  <c r="M5" i="1"/>
  <c r="M78" i="1"/>
  <c r="M28" i="1"/>
  <c r="M893" i="1"/>
  <c r="M366" i="1"/>
  <c r="M753" i="1"/>
  <c r="M83" i="1"/>
  <c r="M751" i="1"/>
  <c r="M823" i="1"/>
  <c r="M691" i="1"/>
  <c r="M362" i="1"/>
  <c r="M346" i="1"/>
  <c r="M984" i="1"/>
  <c r="M591" i="1"/>
  <c r="M212" i="1"/>
  <c r="M575" i="1"/>
  <c r="M741" i="1"/>
  <c r="M27" i="1"/>
  <c r="M561" i="1"/>
  <c r="M673" i="1"/>
  <c r="M695" i="1"/>
  <c r="M227" i="1"/>
  <c r="M996" i="1"/>
  <c r="M223" i="1"/>
  <c r="M642" i="1"/>
  <c r="M876" i="1"/>
  <c r="M614" i="1"/>
  <c r="M563" i="1"/>
  <c r="M761" i="1"/>
  <c r="M991" i="1"/>
  <c r="M457" i="1"/>
  <c r="M702" i="1"/>
  <c r="M189" i="1"/>
  <c r="M408" i="1"/>
  <c r="M3" i="1"/>
  <c r="M872" i="1"/>
  <c r="M580" i="1"/>
  <c r="M586" i="1"/>
  <c r="M159" i="1"/>
  <c r="M345" i="1"/>
  <c r="M536" i="1"/>
  <c r="M351" i="1"/>
  <c r="M413" i="1"/>
  <c r="M386" i="1"/>
  <c r="M200" i="1"/>
  <c r="M657" i="1"/>
  <c r="M88" i="1"/>
  <c r="M255" i="1"/>
  <c r="M53" i="1"/>
  <c r="M945" i="1"/>
  <c r="M452" i="1"/>
  <c r="M810" i="1"/>
  <c r="M203" i="1"/>
  <c r="M246" i="1"/>
  <c r="M985" i="1"/>
  <c r="M1001" i="1"/>
  <c r="M85" i="1"/>
  <c r="M835" i="1"/>
  <c r="M183" i="1"/>
  <c r="M427" i="1"/>
  <c r="M759" i="1"/>
  <c r="M578" i="1"/>
  <c r="M441" i="1"/>
  <c r="M74" i="1"/>
  <c r="M962" i="1"/>
  <c r="M732" i="1"/>
  <c r="M770" i="1"/>
  <c r="M336" i="1"/>
  <c r="M532" i="1"/>
  <c r="M46" i="1"/>
  <c r="M749" i="1"/>
  <c r="M721" i="1"/>
  <c r="M333" i="1"/>
  <c r="M573" i="1"/>
  <c r="M801" i="1"/>
  <c r="M792" i="1"/>
  <c r="M733" i="1"/>
  <c r="M815" i="1"/>
  <c r="M797" i="1"/>
  <c r="M571" i="1"/>
  <c r="M608" i="1"/>
  <c r="M652" i="1"/>
  <c r="M376" i="1"/>
  <c r="M780" i="1"/>
  <c r="M747" i="1"/>
  <c r="M213" i="1"/>
  <c r="M161" i="1"/>
  <c r="M843" i="1"/>
  <c r="M596" i="1"/>
  <c r="M972" i="1"/>
  <c r="M342" i="1"/>
  <c r="M728" i="1"/>
  <c r="M190" i="1"/>
  <c r="M973" i="1"/>
  <c r="M999" i="1"/>
  <c r="M230" i="1"/>
  <c r="M624" i="1"/>
  <c r="M428" i="1"/>
  <c r="M356" i="1"/>
  <c r="M852" i="1"/>
  <c r="M665" i="1"/>
  <c r="M340" i="1"/>
  <c r="M391" i="1"/>
  <c r="M371" i="1"/>
  <c r="M193" i="1"/>
  <c r="M48" i="1"/>
  <c r="M626" i="1"/>
  <c r="M755" i="1"/>
  <c r="M61" i="1"/>
  <c r="M618" i="1"/>
  <c r="M569" i="1"/>
  <c r="M337" i="1"/>
  <c r="M236" i="1"/>
  <c r="M283" i="1"/>
  <c r="M956" i="1"/>
  <c r="M395" i="1"/>
  <c r="M175" i="1"/>
  <c r="M869" i="1"/>
  <c r="M742" i="1"/>
  <c r="M237" i="1"/>
  <c r="M992" i="1"/>
  <c r="M766" i="1"/>
  <c r="M600" i="1"/>
  <c r="M975" i="1"/>
  <c r="M946" i="1"/>
  <c r="M936" i="1"/>
  <c r="M566" i="1"/>
  <c r="M727" i="1"/>
  <c r="M873" i="1"/>
  <c r="M593" i="1"/>
  <c r="M482" i="1"/>
  <c r="M350" i="1"/>
  <c r="M579" i="1"/>
  <c r="M423" i="1"/>
  <c r="M329" i="1"/>
  <c r="M630" i="1"/>
  <c r="M555" i="1"/>
  <c r="M572" i="1"/>
  <c r="M232" i="1"/>
  <c r="M787" i="1"/>
  <c r="M617" i="1"/>
  <c r="M530" i="1"/>
  <c r="M443" i="1"/>
  <c r="M335" i="1"/>
  <c r="M380" i="1"/>
  <c r="M42" i="1"/>
  <c r="M433" i="1"/>
  <c r="M392" i="1"/>
  <c r="M871" i="1"/>
  <c r="M65" i="1"/>
  <c r="M491" i="1"/>
  <c r="M409" i="1"/>
  <c r="M604" i="1"/>
  <c r="M358" i="1"/>
  <c r="M537" i="1"/>
  <c r="M361" i="1"/>
  <c r="M989" i="1"/>
  <c r="M773" i="1"/>
  <c r="M211" i="1"/>
  <c r="M439" i="1"/>
  <c r="M791" i="1"/>
  <c r="M693" i="1"/>
  <c r="M196" i="1"/>
  <c r="M820" i="1"/>
  <c r="M243" i="1"/>
  <c r="M745" i="1"/>
  <c r="M990" i="1"/>
  <c r="M225" i="1"/>
  <c r="M231" i="1"/>
  <c r="M343" i="1"/>
  <c r="M524" i="1"/>
  <c r="M224" i="1"/>
  <c r="M963" i="1"/>
  <c r="M29" i="1"/>
  <c r="M980" i="1"/>
  <c r="M519" i="1"/>
  <c r="M163" i="1"/>
  <c r="M613" i="1"/>
  <c r="M818" i="1"/>
  <c r="M610" i="1"/>
  <c r="M997" i="1"/>
  <c r="M615" i="1"/>
  <c r="M247" i="1"/>
  <c r="M627" i="1"/>
  <c r="M360" i="1"/>
  <c r="M629" i="1"/>
  <c r="M401" i="1"/>
  <c r="M20" i="1"/>
  <c r="M822" i="1"/>
  <c r="M176" i="1"/>
  <c r="M331" i="1"/>
  <c r="M577" i="1"/>
  <c r="M993" i="1"/>
  <c r="M968" i="1"/>
  <c r="M768" i="1"/>
  <c r="M710" i="1"/>
  <c r="M883" i="1"/>
  <c r="M382" i="1"/>
  <c r="M238" i="1"/>
  <c r="M445" i="1"/>
  <c r="M239" i="1"/>
  <c r="M700" i="1"/>
  <c r="M56" i="1"/>
  <c r="M588" i="1"/>
  <c r="M804" i="1"/>
  <c r="M934" i="1"/>
  <c r="M853" i="1"/>
  <c r="M803" i="1"/>
  <c r="M529" i="1"/>
  <c r="M89" i="1"/>
  <c r="M944" i="1"/>
  <c r="M517" i="1"/>
  <c r="M786" i="1"/>
  <c r="M606" i="1"/>
  <c r="M692" i="1"/>
  <c r="M415" i="1"/>
  <c r="M830" i="1"/>
  <c r="M560" i="1"/>
  <c r="M776" i="1"/>
  <c r="M403" i="1"/>
  <c r="M180" i="1"/>
  <c r="M887" i="1"/>
  <c r="M739" i="1"/>
  <c r="M748" i="1"/>
  <c r="M130" i="1"/>
  <c r="M506" i="1"/>
  <c r="M250" i="1"/>
  <c r="M23" i="1"/>
  <c r="M134" i="1"/>
  <c r="M461" i="1"/>
  <c r="M279" i="1"/>
  <c r="M684" i="1"/>
  <c r="M688" i="1"/>
  <c r="M842" i="1"/>
  <c r="M16" i="1"/>
  <c r="M896" i="1"/>
  <c r="M879" i="1"/>
  <c r="M716" i="1"/>
  <c r="M505" i="1"/>
  <c r="M194" i="1"/>
  <c r="M137" i="1"/>
  <c r="M611" i="1"/>
  <c r="M925" i="1"/>
  <c r="M311" i="1"/>
  <c r="M950" i="1"/>
  <c r="M177" i="1"/>
  <c r="M661" i="1"/>
  <c r="M128" i="1"/>
  <c r="M864" i="1"/>
  <c r="M36" i="1"/>
  <c r="M469" i="1"/>
  <c r="M284" i="1"/>
  <c r="M964" i="1"/>
  <c r="M62" i="1"/>
  <c r="M697" i="1"/>
  <c r="M98" i="1"/>
  <c r="M282" i="1"/>
  <c r="M320" i="1"/>
  <c r="M169" i="1"/>
  <c r="M15" i="1"/>
  <c r="M705" i="1"/>
  <c r="M639" i="1"/>
  <c r="M825" i="1"/>
  <c r="M487" i="1"/>
  <c r="M909" i="1"/>
  <c r="M811" i="1"/>
  <c r="M641" i="1"/>
  <c r="M272" i="1"/>
  <c r="M95" i="1"/>
  <c r="M262" i="1"/>
  <c r="M319" i="1"/>
  <c r="M621" i="1"/>
  <c r="M179" i="1"/>
  <c r="M942" i="1"/>
  <c r="M305" i="1"/>
  <c r="M633" i="1"/>
  <c r="M890" i="1"/>
  <c r="M503" i="1"/>
  <c r="M541" i="1"/>
  <c r="M920" i="1"/>
  <c r="M125" i="1"/>
  <c r="M471" i="1"/>
  <c r="M168" i="1"/>
  <c r="M339" i="1"/>
  <c r="M954" i="1"/>
  <c r="M105" i="1"/>
  <c r="M287" i="1"/>
  <c r="M257" i="1"/>
  <c r="M476" i="1"/>
  <c r="M897" i="1"/>
  <c r="M164" i="1"/>
  <c r="M253" i="1"/>
  <c r="M263" i="1"/>
  <c r="M483" i="1"/>
  <c r="M921" i="1"/>
  <c r="M367" i="1"/>
  <c r="M514" i="1"/>
  <c r="M779" i="1"/>
  <c r="M799" i="1"/>
  <c r="M259" i="1"/>
  <c r="M475" i="1"/>
  <c r="M623" i="1"/>
  <c r="M680" i="1"/>
  <c r="M261" i="1"/>
  <c r="M299" i="1"/>
  <c r="M432" i="1"/>
  <c r="M782" i="1"/>
  <c r="M277" i="1"/>
  <c r="M969" i="1"/>
  <c r="M486" i="1"/>
  <c r="M867" i="1"/>
  <c r="M707" i="1"/>
  <c r="M126" i="1"/>
  <c r="M252" i="1"/>
  <c r="M280" i="1"/>
  <c r="M850" i="1"/>
  <c r="M174" i="1"/>
  <c r="M271" i="1"/>
  <c r="M497" i="1"/>
  <c r="M544" i="1"/>
  <c r="M480" i="1"/>
  <c r="M995" i="1"/>
  <c r="M534" i="1"/>
  <c r="M490" i="1"/>
  <c r="M651" i="1"/>
  <c r="M99" i="1"/>
  <c r="M54" i="1"/>
  <c r="M513" i="1"/>
  <c r="M162" i="1"/>
  <c r="M220" i="1"/>
  <c r="M185" i="1"/>
  <c r="M411" i="1"/>
  <c r="M713" i="1"/>
  <c r="M473" i="1"/>
  <c r="M388" i="1"/>
  <c r="M157" i="1"/>
  <c r="M474" i="1"/>
  <c r="M659" i="1"/>
  <c r="M845" i="1"/>
  <c r="M301" i="1"/>
  <c r="M444" i="1"/>
  <c r="M37" i="1"/>
  <c r="M286" i="1"/>
  <c r="M937" i="1"/>
  <c r="M671" i="1"/>
  <c r="M965" i="1"/>
  <c r="M783" i="1"/>
  <c r="M704" i="1"/>
  <c r="M326" i="1"/>
  <c r="M132" i="1"/>
  <c r="M171" i="1"/>
  <c r="M100" i="1"/>
  <c r="M217" i="1"/>
  <c r="M878" i="1"/>
  <c r="M195" i="1"/>
  <c r="M155" i="1"/>
  <c r="M13" i="1"/>
  <c r="M139" i="1"/>
  <c r="M938" i="1"/>
  <c r="M275" i="1"/>
  <c r="M917" i="1"/>
  <c r="M273" i="1"/>
  <c r="M308" i="1"/>
  <c r="M631" i="1"/>
  <c r="M836" i="1"/>
  <c r="M19" i="1"/>
  <c r="M173" i="1"/>
  <c r="M715" i="1"/>
  <c r="M270" i="1"/>
  <c r="M393" i="1"/>
  <c r="M198" i="1"/>
  <c r="M880" i="1"/>
  <c r="M949" i="1"/>
  <c r="M538" i="1"/>
  <c r="M459" i="1"/>
  <c r="M106" i="1"/>
  <c r="M296" i="1"/>
  <c r="M302" i="1"/>
  <c r="M14" i="1"/>
  <c r="M926" i="1"/>
  <c r="M122" i="1"/>
  <c r="M857" i="1"/>
  <c r="M504" i="1"/>
  <c r="M948" i="1"/>
  <c r="M32" i="1"/>
  <c r="M928" i="1"/>
  <c r="M41" i="1"/>
  <c r="M816" i="1"/>
  <c r="M828" i="1"/>
  <c r="M251" i="1"/>
  <c r="M479" i="1"/>
  <c r="M685" i="1"/>
  <c r="M451" i="1"/>
  <c r="M115" i="1"/>
  <c r="M655" i="1"/>
  <c r="M851" i="1"/>
  <c r="M698" i="1"/>
  <c r="M40" i="1"/>
  <c r="M959" i="1"/>
  <c r="M718" i="1"/>
  <c r="M663" i="1"/>
  <c r="M11" i="1"/>
  <c r="M927" i="1"/>
  <c r="M466" i="1"/>
  <c r="M508" i="1"/>
  <c r="M653" i="1"/>
  <c r="M858" i="1"/>
  <c r="M151" i="1"/>
  <c r="M405" i="1"/>
  <c r="M325" i="1"/>
  <c r="M430" i="1"/>
  <c r="M127" i="1"/>
  <c r="M58" i="1"/>
  <c r="M118" i="1"/>
  <c r="M933" i="1"/>
  <c r="M170" i="1"/>
  <c r="M216" i="1"/>
  <c r="M68" i="1"/>
  <c r="M112" i="1"/>
  <c r="M268" i="1"/>
  <c r="M625" i="1"/>
  <c r="M793" i="1"/>
  <c r="M932" i="1"/>
  <c r="M800" i="1"/>
  <c r="M712" i="1"/>
  <c r="M634" i="1"/>
  <c r="M681" i="1"/>
  <c r="M114" i="1"/>
  <c r="M310" i="1"/>
  <c r="M55" i="1"/>
  <c r="M903" i="1"/>
  <c r="M812" i="1"/>
  <c r="M368" i="1"/>
  <c r="M979" i="1"/>
  <c r="M143" i="1"/>
  <c r="M788" i="1"/>
  <c r="M708" i="1"/>
  <c r="M902" i="1"/>
  <c r="M827" i="1"/>
  <c r="M156" i="1"/>
  <c r="M919" i="1"/>
  <c r="M682" i="1"/>
  <c r="M34" i="1"/>
  <c r="M507" i="1"/>
  <c r="M912" i="1"/>
  <c r="M509" i="1"/>
  <c r="M416" i="1"/>
  <c r="M518" i="1"/>
  <c r="M877" i="1"/>
  <c r="M644" i="1"/>
  <c r="M961" i="1"/>
  <c r="M186" i="1"/>
  <c r="M136" i="1"/>
  <c r="M21" i="1"/>
  <c r="M8" i="1"/>
  <c r="M197" i="1"/>
  <c r="M303" i="1"/>
  <c r="M522" i="1"/>
  <c r="M394" i="1"/>
  <c r="M548" i="1"/>
  <c r="M381" i="1"/>
  <c r="M683" i="1"/>
  <c r="M838" i="1"/>
  <c r="M290" i="1"/>
  <c r="M116" i="1"/>
  <c r="M468" i="1"/>
  <c r="M905" i="1"/>
  <c r="M714" i="1"/>
  <c r="M717" i="1"/>
  <c r="M807" i="1"/>
  <c r="M860" i="1"/>
  <c r="M515" i="1"/>
  <c r="M412" i="1"/>
  <c r="M493" i="1"/>
  <c r="M101" i="1"/>
  <c r="M620" i="1"/>
  <c r="M813" i="1"/>
  <c r="M706" i="1"/>
  <c r="M140" i="1"/>
  <c r="M129" i="1"/>
  <c r="M456" i="1"/>
  <c r="M686" i="1"/>
  <c r="M546" i="1"/>
  <c r="M510" i="1"/>
  <c r="M399" i="1"/>
  <c r="M675" i="1"/>
  <c r="M913" i="1"/>
  <c r="M833" i="1"/>
  <c r="M96" i="1"/>
  <c r="M269" i="1"/>
  <c r="M605" i="1"/>
  <c r="M590" i="1"/>
  <c r="M49" i="1"/>
  <c r="M274" i="1"/>
  <c r="M219" i="1"/>
  <c r="M17" i="1"/>
  <c r="M449" i="1"/>
  <c r="M638" i="1"/>
  <c r="M910" i="1"/>
  <c r="M952" i="1"/>
  <c r="M109" i="1"/>
  <c r="M462" i="1"/>
  <c r="M709" i="1"/>
  <c r="M192" i="1"/>
  <c r="M664" i="1"/>
  <c r="M689" i="1"/>
  <c r="M131" i="1"/>
  <c r="M676" i="1"/>
  <c r="M317" i="1"/>
  <c r="M496" i="1"/>
  <c r="M501" i="1"/>
  <c r="M886" i="1"/>
  <c r="M70" i="1"/>
  <c r="M316" i="1"/>
  <c r="M478" i="1"/>
  <c r="M167" i="1"/>
  <c r="M144" i="1"/>
  <c r="M119" i="1"/>
  <c r="M354" i="1"/>
  <c r="M848" i="1"/>
  <c r="M636" i="1"/>
  <c r="M499" i="1"/>
  <c r="M369" i="1"/>
  <c r="M467" i="1"/>
  <c r="M520" i="1"/>
  <c r="M868" i="1"/>
  <c r="M583" i="1"/>
  <c r="M597" i="1"/>
  <c r="M450" i="1"/>
  <c r="M470" i="1"/>
  <c r="M39" i="1"/>
  <c r="M918" i="1"/>
  <c r="M784" i="1"/>
  <c r="M637" i="1"/>
  <c r="M124" i="1"/>
  <c r="M153" i="1"/>
  <c r="M832" i="1"/>
  <c r="M881" i="1"/>
  <c r="M885" i="1"/>
  <c r="M841" i="1"/>
  <c r="M349" i="1"/>
  <c r="M916" i="1"/>
  <c r="M407" i="1"/>
  <c r="M94" i="1"/>
  <c r="M298" i="1"/>
  <c r="M908" i="1"/>
  <c r="M145" i="1"/>
  <c r="M502" i="1"/>
  <c r="M150" i="1"/>
  <c r="M849" i="1"/>
  <c r="M278" i="1"/>
  <c r="M285" i="1"/>
  <c r="M847" i="1"/>
  <c r="M839" i="1"/>
  <c r="M703" i="1"/>
  <c r="M906" i="1"/>
  <c r="M809" i="1"/>
  <c r="M138" i="1"/>
  <c r="M539" i="1"/>
  <c r="M294" i="1"/>
  <c r="M146" i="1"/>
  <c r="M318" i="1"/>
  <c r="M859" i="1"/>
  <c r="M720" i="1"/>
  <c r="M477" i="1"/>
  <c r="M141" i="1"/>
  <c r="M922" i="1"/>
  <c r="M935" i="1"/>
  <c r="M512" i="1"/>
  <c r="M288" i="1"/>
  <c r="M866" i="1"/>
  <c r="M666" i="1"/>
  <c r="M313" i="1"/>
  <c r="M312" i="1"/>
  <c r="M154" i="1"/>
  <c r="M545" i="1"/>
  <c r="M668" i="1"/>
  <c r="M526" i="1"/>
  <c r="M10" i="1"/>
  <c r="M218" i="1"/>
  <c r="M149" i="1"/>
  <c r="M874" i="1"/>
  <c r="M998" i="1"/>
  <c r="M12" i="1"/>
  <c r="M547" i="1"/>
  <c r="M924" i="1"/>
  <c r="M448" i="1"/>
  <c r="M648" i="1"/>
  <c r="M923" i="1"/>
  <c r="M794" i="1"/>
  <c r="M829" i="1"/>
  <c r="M677" i="1"/>
  <c r="M865" i="1"/>
  <c r="M406" i="1"/>
  <c r="M802" i="1"/>
  <c r="M385" i="1"/>
  <c r="M892" i="1"/>
  <c r="M971" i="1"/>
  <c r="M846" i="1"/>
  <c r="M966" i="1"/>
  <c r="M455" i="1"/>
  <c r="M293" i="1"/>
  <c r="M7" i="1"/>
  <c r="M328" i="1"/>
  <c r="M674" i="1"/>
  <c r="M494" i="1"/>
  <c r="M295" i="1"/>
  <c r="M264" i="1"/>
  <c r="M595" i="1"/>
  <c r="M500" i="1"/>
  <c r="M796" i="1"/>
  <c r="M38" i="1"/>
  <c r="M446" i="1"/>
  <c r="M182" i="1"/>
  <c r="M521" i="1"/>
  <c r="M178" i="1"/>
  <c r="M806" i="1"/>
  <c r="M667" i="1"/>
  <c r="M166" i="1"/>
  <c r="M377" i="1"/>
  <c r="M307" i="1"/>
  <c r="M901" i="1"/>
  <c r="M113" i="1"/>
  <c r="M679" i="1"/>
  <c r="M434" i="1"/>
  <c r="M701" i="1"/>
  <c r="M142" i="1"/>
  <c r="M672" i="1"/>
  <c r="M304" i="1"/>
  <c r="M107" i="1"/>
  <c r="M635" i="1"/>
  <c r="M824" i="1"/>
  <c r="M35" i="1"/>
  <c r="M18" i="1"/>
  <c r="M103" i="1"/>
  <c r="M121" i="1"/>
  <c r="M309" i="1"/>
  <c r="M187" i="1"/>
  <c r="M458" i="1"/>
  <c r="M184" i="1"/>
  <c r="M647" i="1"/>
  <c r="M108" i="1"/>
  <c r="M265" i="1"/>
  <c r="M914" i="1"/>
  <c r="M104" i="1"/>
  <c r="M67" i="1"/>
  <c r="M249" i="1"/>
  <c r="M454" i="1"/>
  <c r="M50" i="1"/>
  <c r="M276" i="1"/>
  <c r="M291" i="1"/>
  <c r="M330" i="1"/>
  <c r="M943" i="1"/>
  <c r="M97" i="1"/>
  <c r="M400" i="1"/>
  <c r="M306" i="1"/>
  <c r="M258" i="1"/>
  <c r="M292" i="1"/>
  <c r="M535" i="1"/>
  <c r="M899" i="1"/>
  <c r="M422" i="1"/>
  <c r="M957" i="1"/>
  <c r="M465" i="1"/>
  <c r="M464" i="1"/>
  <c r="M30" i="1"/>
  <c r="M619" i="1"/>
  <c r="M889" i="1"/>
  <c r="M931" i="1"/>
  <c r="M485" i="1"/>
  <c r="M662" i="1"/>
  <c r="M120" i="1"/>
  <c r="M152" i="1"/>
  <c r="M837" i="1"/>
  <c r="M523" i="1"/>
  <c r="M669" i="1"/>
  <c r="M656" i="1"/>
  <c r="M254" i="1"/>
  <c r="M117" i="1"/>
  <c r="M632" i="1"/>
  <c r="M447" i="1"/>
  <c r="M73" i="1"/>
  <c r="M191" i="1"/>
  <c r="M915" i="1"/>
  <c r="M498" i="1"/>
  <c r="M687" i="1"/>
  <c r="M941" i="1"/>
  <c r="M147" i="1"/>
  <c r="M256" i="1"/>
  <c r="M670" i="1"/>
  <c r="M102" i="1"/>
  <c r="M148" i="1"/>
  <c r="M929" i="1"/>
  <c r="M69" i="1"/>
  <c r="M658" i="1"/>
  <c r="M982" i="1"/>
  <c r="M543" i="1"/>
  <c r="M481" i="1"/>
  <c r="M72" i="1"/>
  <c r="M135" i="1"/>
  <c r="M260" i="1"/>
  <c r="M891" i="1"/>
  <c r="M314" i="1"/>
  <c r="M795" i="1"/>
  <c r="M904" i="1"/>
  <c r="M907" i="1"/>
  <c r="M489" i="1"/>
  <c r="M594" i="1"/>
  <c r="M678" i="1"/>
  <c r="M300" i="1"/>
  <c r="M297" i="1"/>
  <c r="M267" i="1"/>
  <c r="M165" i="1"/>
  <c r="M60" i="1"/>
  <c r="M875" i="1"/>
  <c r="M315" i="1"/>
  <c r="M80" i="1"/>
  <c r="M414" i="1"/>
  <c r="M549" i="1"/>
  <c r="M460" i="1"/>
  <c r="M110" i="1"/>
  <c r="M9" i="1"/>
  <c r="M266" i="1"/>
  <c r="M25" i="1"/>
  <c r="M111" i="1"/>
  <c r="M808" i="1"/>
  <c r="M660" i="1"/>
  <c r="M533" i="1"/>
  <c r="M719" i="1"/>
  <c r="M66" i="1"/>
  <c r="M463" i="1"/>
  <c r="M133" i="1"/>
  <c r="M492" i="1"/>
  <c r="M324" i="1"/>
  <c r="M289" i="1"/>
  <c r="M628"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<sst xmlns="http://schemas.openxmlformats.org/spreadsheetml/2006/main" count="17027" uniqueCount="53">
  <si>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</si>
  <si>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</si>
  <si>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</si>
  <si>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</si>
  <si>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</si>
  <si>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</si>
  <si>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</si>
  <si>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</si>
  <si>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</si>
  <si>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</si>
  <si>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</si>
  <si>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</si>
  <si>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</si>
  <si>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</si>
  <si>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</si>
  <si>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</si>
  <si>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</si>
  <si>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</si>
  <si>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</si>
  <si>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</si>
  <si>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</si>
  <si>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</si>
  <si>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</si>
  <si>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</si>
  <si>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</si>
  <si>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</si>
  <si>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</si>
  <si>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</si>
  <si>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</si>
  <si>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</si>
  <si>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</si>
  <si>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</si>
  <si>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Row Labels</t>
  </si>
  <si>
    <t>Grand Total</t>
  </si>
  <si>
    <t>Average of Income</t>
  </si>
  <si>
    <t>Married</t>
  </si>
  <si>
    <t>Single</t>
  </si>
  <si>
    <t>Female</t>
  </si>
  <si>
    <t>Male</t>
  </si>
  <si>
    <t>Age_group</t>
  </si>
  <si>
    <t>Column Labels</t>
  </si>
  <si>
    <t>Count of Purchased Bike</t>
  </si>
  <si>
    <t>10 Miles+</t>
  </si>
  <si>
    <t>Adolescent</t>
  </si>
  <si>
    <t>MIddleAge</t>
  </si>
  <si>
    <t>Old</t>
  </si>
  <si>
    <t>Femei fara casa si barbati cu casa</t>
  </si>
  <si>
    <t>&gt;= 50000</t>
  </si>
  <si>
    <t>&lt;=130000</t>
  </si>
  <si>
    <t xml:space="preserve">Sumeaza ca income sa fie mai mare decat 60k </t>
  </si>
  <si>
    <t>si sa fie pentru education highschool</t>
  </si>
  <si>
    <t>find the total number of highschool</t>
  </si>
  <si>
    <t>and income &gt;  30000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</si>
</sst>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_(* #,##0_);_(* \(#,##0\);_(* &quot;-&quot;??_);_(@_)"/>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18" fillId="0" borderId="0" xfId="0" applyFon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13" fillId="33" borderId="10" xfId="0" applyFont="1" applyFill="1" applyBorder="1"/>
    <xf numFmtId="0" fontId="13" fillId="33" borderId="11" xfId="0" applyFont="1" applyFill="1" applyBorder="1"/>
    <xf numFmtId="0" fontId="0" fillId="34" borderId="11" xfId="0" applyFill="1" applyBorder="1"/>
    <xf numFmtId="0" fontId="13" fillId="33" borderId="12" xfId="0" applyFont="1" applyFill="1" applyBorder="1"/>
    <xf numFmtId="164" fontId="13" fillId="33" borderId="11" xfId="0" applyNumberFormat="1" applyFont="1" applyFill="1" applyBorder="1"/>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numFmt numFmtId="1" formatCode="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65"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[Final_Project.xlsx]Pivot Tables!PivotTable3</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Tables'!$A$3:$A$5</c:f>
              <c:strCache>
                <c:ptCount val="2"/>
                <c:pt idx="0">
                  <c:v>Female</c:v>
                </c:pt>
                <c:pt idx="1">
                  <c:v>Male</c:v>
                </c:pt>
              </c:strCache>
            </c:strRef>
          </c:cat>
          <c:val>
            <c:numRef>
              <c:f>'Pivot Tables'!$B$3:$B$5</c:f>
              <c:numCache>
                <c:formatCode>_(* #,##0_);_(* \(#,##0\);_(* "-"??_);_(@_)</c:formatCode>
                <c:ptCount val="2"/>
                <c:pt idx="0">
                  <c:v>53440</c:v>
                </c:pt>
                <c:pt idx="1">
                  <c:v>56208.178438661707</c:v>
                </c:pt>
              </c:numCache>
            </c:numRef>
          </c:val>
          <c:extLst>
            <c:ext xmlns:c16="http://schemas.microsoft.com/office/drawing/2014/chart" uri="{C3380CC4-5D6E-409C-BE32-E72D297353CC}">
              <c16:uniqueId val="{00000000-23AD-4072-9692-9CDEE8872922}"/>
            </c:ext>
          </c:extLst>
        </c:ser>
        <c:ser>
          <c:idx val="1"/>
          <c:order val="1"/>
          <c:tx>
            <c:strRef>
              <c:f>'Pivot Tables'!$C$1:$C$2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Tables'!$A$3:$A$5</c:f>
              <c:strCache>
                <c:ptCount val="2"/>
                <c:pt idx="0">
                  <c:v>Female</c:v>
                </c:pt>
                <c:pt idx="1">
                  <c:v>Male</c:v>
                </c:pt>
              </c:strCache>
            </c:strRef>
          </c:cat>
          <c:val>
            <c:numRef>
              <c:f>'Pivot Tables'!$C$3:$C$5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23AD-4072-9692-9CDEE8872922}"/>
            </c:ext>
          </c:extLst>
        </c:ser>
        <c:dLbls>
          <c:dLblPos val="outEnd"/>
          <c:showLegendKey val="0"/>
          <c:showVal val="1"/>
          <c:showCatName val="0"/>
          <c:showSerName val="0"/>
          <c:showPercent val="0"/>
          <c:showBubbleSize val="0"/>
        </c:dLbls>
        <c:gapWidth val="150"/>
        <c:overlap val="-60"/>
        <c:axId val="2040339984"/>
        <c:axId val="2040343344"/>
      </c:barChart>
      <c:catAx>
        <c:axId val="2040339984"/>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43344"/>
        <c:crosses val="autoZero"/>
        <c:auto val="1"/>
        <c:lblAlgn val="ctr"/>
        <c:lblOffset val="100"/>
        <c:noMultiLvlLbl val="0"/>
      </c:catAx>
      <c:valAx>
        <c:axId val="2040343344"/>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399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[Final_Project.xlsx]Pivot 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Tables'!$E$18:$E$19</c:f>
              <c:strCache>
                <c:ptCount val="1"/>
                <c:pt idx="0">
                  <c:v>No</c:v>
                </c:pt>
              </c:strCache>
            </c:strRef>
          </c:tx>
          <c:spPr>
            <a:ln w="28575" cap="rnd">
              <a:solidFill>
                <a:schemeClr val="accent1"/>
              </a:solidFill>
              <a:round/>
            </a:ln>
            <a:effectLst/>
          </c:spPr>
          <c:marker>
            <c:symbol val="none"/>
          </c:marker>
          <c:cat>
            <c:strRef>
              <c:f>'Pivot Tables'!$D$20:$D$25</c:f>
              <c:strCache>
                <c:ptCount val="5"/>
                <c:pt idx="0">
                  <c:v>0-1 Miles</c:v>
                </c:pt>
                <c:pt idx="1">
                  <c:v>1-2 Miles</c:v>
                </c:pt>
                <c:pt idx="2">
                  <c:v>2-5 Miles</c:v>
                </c:pt>
                <c:pt idx="3">
                  <c:v>5-10 Miles</c:v>
                </c:pt>
                <c:pt idx="4">
                  <c:v>10 Miles+</c:v>
                </c:pt>
              </c:strCache>
            </c:strRef>
          </c:cat>
          <c:val>
            <c:numRef>
              <c:f>'Pivot Tables'!$E$20:$E$25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6BA9-4E5E-981B-D9C19C994C1E}"/>
            </c:ext>
          </c:extLst>
        </c:ser>
        <c:ser>
          <c:idx val="1"/>
          <c:order val="1"/>
          <c:tx>
            <c:strRef>
              <c:f>'Pivot Tables'!$F$18:$F$19</c:f>
              <c:strCache>
                <c:ptCount val="1"/>
                <c:pt idx="0">
                  <c:v>Yes</c:v>
                </c:pt>
              </c:strCache>
            </c:strRef>
          </c:tx>
          <c:spPr>
            <a:ln w="28575" cap="rnd">
              <a:solidFill>
                <a:schemeClr val="accent2"/>
              </a:solidFill>
              <a:round/>
            </a:ln>
            <a:effectLst/>
          </c:spPr>
          <c:marker>
            <c:symbol val="none"/>
          </c:marker>
          <c:cat>
            <c:strRef>
              <c:f>'Pivot Tables'!$D$20:$D$25</c:f>
              <c:strCache>
                <c:ptCount val="5"/>
                <c:pt idx="0">
                  <c:v>0-1 Miles</c:v>
                </c:pt>
                <c:pt idx="1">
                  <c:v>1-2 Miles</c:v>
                </c:pt>
                <c:pt idx="2">
                  <c:v>2-5 Miles</c:v>
                </c:pt>
                <c:pt idx="3">
                  <c:v>5-10 Miles</c:v>
                </c:pt>
                <c:pt idx="4">
                  <c:v>10 Miles+</c:v>
                </c:pt>
              </c:strCache>
            </c:strRef>
          </c:cat>
          <c:val>
            <c:numRef>
              <c:f>'Pivot Tables'!$F$20:$F$25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6BA9-4E5E-981B-D9C19C994C1E}"/>
            </c:ext>
          </c:extLst>
        </c:ser>
        <c:dLbls>
          <c:showLegendKey val="0"/>
          <c:showVal val="0"/>
          <c:showCatName val="0"/>
          <c:showSerName val="0"/>
          <c:showPercent val="0"/>
          <c:showBubbleSize val="0"/>
        </c:dLbls>
        <c:smooth val="0"/>
        <c:axId val="1880086608"/>
        <c:axId val="1880084208"/>
      </c:lineChart>
      <c:catAx>
        <c:axId val="18800866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084208"/>
        <c:crosses val="autoZero"/>
        <c:auto val="1"/>
        <c:lblAlgn val="ctr"/>
        <c:lblOffset val="100"/>
        <c:noMultiLvlLbl val="0"/>
      </c:catAx>
      <c:valAx>
        <c:axId val="1880084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086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[Final_Project.xlsx]Pivot Tables!PivotTable5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Nr of bought bikes by age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9.4444444444454628E-4"/>
              <c:y val="-5.78357392825896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2611111111111113E-2"/>
              <c:y val="8.1053149606299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2.6111111111110858E-3"/>
              <c:y val="3.4756853310002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2944444444444468E-2"/>
              <c:y val="-5.78357392825895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6-FD4C-40E8-8890-5FF26712B647}"/>
              </c:ext>
            </c:extLst>
          </c:dPt>
          <c:dPt>
            <c:idx val="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4-FD4C-40E8-8890-5FF26712B647}"/>
              </c:ext>
            </c:extLst>
          </c:dPt>
          <c:dLbls>
            <c:dLbl>
              <c:idx val="0"/>
              <c:layout>
                <c:manualLayout>
                  <c:x val="-5.2944444444444468E-2"/>
                  <c:y val="-5.783573928258959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D4C-40E8-8890-5FF26712B647}"/>
                </c:ext>
              </c:extLst>
            </c:dLbl>
            <c:dLbl>
              <c:idx val="1"/>
              <c:layout>
                <c:manualLayout>
                  <c:x val="-4.2611111111111113E-2"/>
                  <c:y val="8.10531496062992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D4C-40E8-8890-5FF26712B64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Tables'!$A$38:$A$41</c:f>
              <c:strCache>
                <c:ptCount val="3"/>
                <c:pt idx="0">
                  <c:v>Adolescent</c:v>
                </c:pt>
                <c:pt idx="1">
                  <c:v>MIddleAge</c:v>
                </c:pt>
                <c:pt idx="2">
                  <c:v>Old</c:v>
                </c:pt>
              </c:strCache>
            </c:strRef>
          </c:cat>
          <c:val>
            <c:numRef>
              <c:f>'Pivot Tables'!$B$38:$B$41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FD4C-40E8-8890-5FF26712B647}"/>
            </c:ext>
          </c:extLst>
        </c:ser>
        <c:ser>
          <c:idx val="1"/>
          <c:order val="1"/>
          <c:tx>
            <c:strRef>
              <c:f>'Pivot Tables'!$C$36:$C$37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Pt>
            <c:idx val="0"/>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5-FD4C-40E8-8890-5FF26712B647}"/>
              </c:ext>
            </c:extLst>
          </c:dPt>
          <c:dPt>
            <c:idx val="1"/>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3-FD4C-40E8-8890-5FF26712B647}"/>
              </c:ext>
            </c:extLst>
          </c:dPt>
          <c:dLbls>
            <c:dLbl>
              <c:idx val="0"/>
              <c:layout>
                <c:manualLayout>
                  <c:x val="2.6111111111110858E-3"/>
                  <c:y val="3.47568533100027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D4C-40E8-8890-5FF26712B647}"/>
                </c:ext>
              </c:extLst>
            </c:dLbl>
            <c:dLbl>
              <c:idx val="1"/>
              <c:layout>
                <c:manualLayout>
                  <c:x val="-9.4444444444454628E-4"/>
                  <c:y val="-5.78357392825896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D4C-40E8-8890-5FF26712B64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Tables'!$A$38:$A$41</c:f>
              <c:strCache>
                <c:ptCount val="3"/>
                <c:pt idx="0">
                  <c:v>Adolescent</c:v>
                </c:pt>
                <c:pt idx="1">
                  <c:v>MIddleAge</c:v>
                </c:pt>
                <c:pt idx="2">
                  <c:v>Old</c:v>
                </c:pt>
              </c:strCache>
            </c:strRef>
          </c:cat>
          <c:val>
            <c:numRef>
              <c:f>'Pivot Tables'!$C$38:$C$41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FD4C-40E8-8890-5FF26712B647}"/>
            </c:ext>
          </c:extLst>
        </c:ser>
        <c:dLbls>
          <c:dLblPos val="t"/>
          <c:showLegendKey val="0"/>
          <c:showVal val="1"/>
          <c:showCatName val="0"/>
          <c:showSerName val="0"/>
          <c:showPercent val="0"/>
          <c:showBubbleSize val="0"/>
        </c:dLbls>
        <c:marker val="1"/>
        <c:smooth val="0"/>
        <c:axId val="2099843776"/>
        <c:axId val="2099844256"/>
      </c:lineChart>
      <c:catAx>
        <c:axId val="2099843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9844256"/>
        <c:crosses val="autoZero"/>
        <c:auto val="1"/>
        <c:lblAlgn val="ctr"/>
        <c:lblOffset val="100"/>
        <c:noMultiLvlLbl val="0"/>
      </c:catAx>
      <c:valAx>
        <c:axId val="20998442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9843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[Final_Project.xlsx]Pivot Tables!PivotTable3</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a:solidFill>
                  <a:schemeClr val="tx1">
                    <a:lumMod val="85000"/>
                    <a:lumOff val="15000"/>
                  </a:schemeClr>
                </a:solidFill>
              </a:rPr>
              <a:t>Avg</a:t>
            </a:r>
            <a:r>
              <a:rPr lang="en-US" sz="1600" baseline="0">
                <a:solidFill>
                  <a:schemeClr val="tx1">
                    <a:lumMod val="85000"/>
                    <a:lumOff val="15000"/>
                  </a:schemeClr>
                </a:solidFill>
              </a:rPr>
              <a:t> Income per purchase</a:t>
            </a:r>
            <a:endParaRPr lang="en-US" sz="1600">
              <a:solidFill>
                <a:schemeClr val="tx1">
                  <a:lumMod val="85000"/>
                  <a:lumOff val="15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Tables'!$A$3:$A$5</c:f>
              <c:strCache>
                <c:ptCount val="2"/>
                <c:pt idx="0">
                  <c:v>Female</c:v>
                </c:pt>
                <c:pt idx="1">
                  <c:v>Male</c:v>
                </c:pt>
              </c:strCache>
            </c:strRef>
          </c:cat>
          <c:val>
            <c:numRef>
              <c:f>'Pivot Tables'!$B$3:$B$5</c:f>
              <c:numCache>
                <c:formatCode>_(* #,##0_);_(* \(#,##0\);_(* "-"??_);_(@_)</c:formatCode>
                <c:ptCount val="2"/>
                <c:pt idx="0">
                  <c:v>53440</c:v>
                </c:pt>
                <c:pt idx="1">
                  <c:v>56208.178438661707</c:v>
                </c:pt>
              </c:numCache>
            </c:numRef>
          </c:val>
          <c:extLst>
            <c:ext xmlns:c16="http://schemas.microsoft.com/office/drawing/2014/chart" uri="{C3380CC4-5D6E-409C-BE32-E72D297353CC}">
              <c16:uniqueId val="{00000000-2821-427B-9F40-C18D6C948146}"/>
            </c:ext>
          </c:extLst>
        </c:ser>
        <c:ser>
          <c:idx val="1"/>
          <c:order val="1"/>
          <c:tx>
            <c:strRef>
              <c:f>'Pivot Tables'!$C$1:$C$2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Tables'!$A$3:$A$5</c:f>
              <c:strCache>
                <c:ptCount val="2"/>
                <c:pt idx="0">
                  <c:v>Female</c:v>
                </c:pt>
                <c:pt idx="1">
                  <c:v>Male</c:v>
                </c:pt>
              </c:strCache>
            </c:strRef>
          </c:cat>
          <c:val>
            <c:numRef>
              <c:f>'Pivot Tables'!$C$3:$C$5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2821-427B-9F40-C18D6C948146}"/>
            </c:ext>
          </c:extLst>
        </c:ser>
        <c:dLbls>
          <c:dLblPos val="outEnd"/>
          <c:showLegendKey val="0"/>
          <c:showVal val="1"/>
          <c:showCatName val="0"/>
          <c:showSerName val="0"/>
          <c:showPercent val="0"/>
          <c:showBubbleSize val="0"/>
        </c:dLbls>
        <c:gapWidth val="150"/>
        <c:overlap val="-60"/>
        <c:axId val="2040339984"/>
        <c:axId val="2040343344"/>
      </c:barChart>
      <c:catAx>
        <c:axId val="2040339984"/>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r>
                  <a:rPr lang="en-US">
                    <a:solidFill>
                      <a:schemeClr val="tx1"/>
                    </a:solidFill>
                  </a:rPr>
                  <a:t>Gender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43344"/>
        <c:crosses val="autoZero"/>
        <c:auto val="1"/>
        <c:lblAlgn val="ctr"/>
        <c:lblOffset val="100"/>
        <c:noMultiLvlLbl val="0"/>
      </c:catAx>
      <c:valAx>
        <c:axId val="2040343344"/>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403399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75000"/>
          <a:lumOff val="2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[Final_Project.xlsx]Pivot Tables!PivotTable4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lumMod val="85000"/>
                    <a:lumOff val="15000"/>
                  </a:schemeClr>
                </a:solidFill>
              </a:rPr>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Tables'!$E$18:$E$19</c:f>
              <c:strCache>
                <c:ptCount val="1"/>
                <c:pt idx="0">
                  <c:v>No</c:v>
                </c:pt>
              </c:strCache>
            </c:strRef>
          </c:tx>
          <c:spPr>
            <a:ln w="28575" cap="rnd">
              <a:solidFill>
                <a:schemeClr val="accent1"/>
              </a:solidFill>
              <a:round/>
            </a:ln>
            <a:effectLst/>
          </c:spPr>
          <c:marker>
            <c:symbol val="none"/>
          </c:marker>
          <c:cat>
            <c:strRef>
              <c:f>'Pivot Tables'!$D$20:$D$25</c:f>
              <c:strCache>
                <c:ptCount val="5"/>
                <c:pt idx="0">
                  <c:v>0-1 Miles</c:v>
                </c:pt>
                <c:pt idx="1">
                  <c:v>1-2 Miles</c:v>
                </c:pt>
                <c:pt idx="2">
                  <c:v>2-5 Miles</c:v>
                </c:pt>
                <c:pt idx="3">
                  <c:v>5-10 Miles</c:v>
                </c:pt>
                <c:pt idx="4">
                  <c:v>10 Miles+</c:v>
                </c:pt>
              </c:strCache>
            </c:strRef>
          </c:cat>
          <c:val>
            <c:numRef>
              <c:f>'Pivot Tables'!$E$20:$E$25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819-4189-896E-328BF369D2AE}"/>
            </c:ext>
          </c:extLst>
        </c:ser>
        <c:ser>
          <c:idx val="1"/>
          <c:order val="1"/>
          <c:tx>
            <c:strRef>
              <c:f>'Pivot Tables'!$F$18:$F$19</c:f>
              <c:strCache>
                <c:ptCount val="1"/>
                <c:pt idx="0">
                  <c:v>Yes</c:v>
                </c:pt>
              </c:strCache>
            </c:strRef>
          </c:tx>
          <c:spPr>
            <a:ln w="28575" cap="rnd">
              <a:solidFill>
                <a:schemeClr val="accent2"/>
              </a:solidFill>
              <a:round/>
            </a:ln>
            <a:effectLst/>
          </c:spPr>
          <c:marker>
            <c:symbol val="none"/>
          </c:marker>
          <c:cat>
            <c:strRef>
              <c:f>'Pivot Tables'!$D$20:$D$25</c:f>
              <c:strCache>
                <c:ptCount val="5"/>
                <c:pt idx="0">
                  <c:v>0-1 Miles</c:v>
                </c:pt>
                <c:pt idx="1">
                  <c:v>1-2 Miles</c:v>
                </c:pt>
                <c:pt idx="2">
                  <c:v>2-5 Miles</c:v>
                </c:pt>
                <c:pt idx="3">
                  <c:v>5-10 Miles</c:v>
                </c:pt>
                <c:pt idx="4">
                  <c:v>10 Miles+</c:v>
                </c:pt>
              </c:strCache>
            </c:strRef>
          </c:cat>
          <c:val>
            <c:numRef>
              <c:f>'Pivot Tables'!$F$20:$F$25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819-4189-896E-328BF369D2AE}"/>
            </c:ext>
          </c:extLst>
        </c:ser>
        <c:dLbls>
          <c:showLegendKey val="0"/>
          <c:showVal val="0"/>
          <c:showCatName val="0"/>
          <c:showSerName val="0"/>
          <c:showPercent val="0"/>
          <c:showBubbleSize val="0"/>
        </c:dLbls>
        <c:smooth val="0"/>
        <c:axId val="1880086608"/>
        <c:axId val="1880084208"/>
      </c:lineChart>
      <c:catAx>
        <c:axId val="18800866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80084208"/>
        <c:crosses val="autoZero"/>
        <c:auto val="1"/>
        <c:lblAlgn val="ctr"/>
        <c:lblOffset val="100"/>
        <c:noMultiLvlLbl val="0"/>
      </c:catAx>
      <c:valAx>
        <c:axId val="1880084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80086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75000"/>
          <a:lumOff val="2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[Final_Project.xlsx]Pivot Tables!PivotTable5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lumMod val="85000"/>
                    <a:lumOff val="15000"/>
                  </a:schemeClr>
                </a:solidFill>
              </a:rPr>
              <a:t>Nr of bought bikes by age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9.4444444444454628E-4"/>
              <c:y val="-5.78357392825896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2611111111111113E-2"/>
              <c:y val="8.1053149606299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2.6111111111110858E-3"/>
              <c:y val="3.4756853310002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2944444444444468E-2"/>
              <c:y val="-5.78357392825895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2944444444444468E-2"/>
              <c:y val="-5.78357392825895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2611111111111113E-2"/>
              <c:y val="8.1053149606299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2.6111111111110858E-3"/>
              <c:y val="3.4756853310002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9.4444444444454628E-4"/>
              <c:y val="-5.78357392825896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2944444444444468E-2"/>
              <c:y val="-5.78357392825895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2611111111111113E-2"/>
              <c:y val="8.1053149606299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2.6111111111110858E-3"/>
              <c:y val="3.4756853310002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9.4444444444454628E-4"/>
              <c:y val="-5.78357392825896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0-8806-4418-A12E-A3959EE7A733}"/>
              </c:ext>
            </c:extLst>
          </c:dPt>
          <c:dPt>
            <c:idx val="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8806-4418-A12E-A3959EE7A733}"/>
              </c:ext>
            </c:extLst>
          </c:dPt>
          <c:dLbls>
            <c:dLbl>
              <c:idx val="0"/>
              <c:layout>
                <c:manualLayout>
                  <c:x val="-5.2944444444444468E-2"/>
                  <c:y val="-5.783573928258959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806-4418-A12E-A3959EE7A733}"/>
                </c:ext>
              </c:extLst>
            </c:dLbl>
            <c:dLbl>
              <c:idx val="1"/>
              <c:layout>
                <c:manualLayout>
                  <c:x val="-4.2611111111111113E-2"/>
                  <c:y val="8.10531496062992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806-4418-A12E-A3959EE7A73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Tables'!$A$38:$A$41</c:f>
              <c:strCache>
                <c:ptCount val="3"/>
                <c:pt idx="0">
                  <c:v>Adolescent</c:v>
                </c:pt>
                <c:pt idx="1">
                  <c:v>MIddleAge</c:v>
                </c:pt>
                <c:pt idx="2">
                  <c:v>Old</c:v>
                </c:pt>
              </c:strCache>
            </c:strRef>
          </c:cat>
          <c:val>
            <c:numRef>
              <c:f>'Pivot Tables'!$B$38:$B$41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2-8806-4418-A12E-A3959EE7A733}"/>
            </c:ext>
          </c:extLst>
        </c:ser>
        <c:ser>
          <c:idx val="1"/>
          <c:order val="1"/>
          <c:tx>
            <c:strRef>
              <c:f>'Pivot Tables'!$C$36:$C$37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Pt>
            <c:idx val="0"/>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3-8806-4418-A12E-A3959EE7A733}"/>
              </c:ext>
            </c:extLst>
          </c:dPt>
          <c:dPt>
            <c:idx val="1"/>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4-8806-4418-A12E-A3959EE7A733}"/>
              </c:ext>
            </c:extLst>
          </c:dPt>
          <c:dLbls>
            <c:dLbl>
              <c:idx val="0"/>
              <c:layout>
                <c:manualLayout>
                  <c:x val="2.6111111111110858E-3"/>
                  <c:y val="3.47568533100027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806-4418-A12E-A3959EE7A733}"/>
                </c:ext>
              </c:extLst>
            </c:dLbl>
            <c:dLbl>
              <c:idx val="1"/>
              <c:layout>
                <c:manualLayout>
                  <c:x val="-9.4444444444454628E-4"/>
                  <c:y val="-5.78357392825896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806-4418-A12E-A3959EE7A73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Tables'!$A$38:$A$41</c:f>
              <c:strCache>
                <c:ptCount val="3"/>
                <c:pt idx="0">
                  <c:v>Adolescent</c:v>
                </c:pt>
                <c:pt idx="1">
                  <c:v>MIddleAge</c:v>
                </c:pt>
                <c:pt idx="2">
                  <c:v>Old</c:v>
                </c:pt>
              </c:strCache>
            </c:strRef>
          </c:cat>
          <c:val>
            <c:numRef>
              <c:f>'Pivot Tables'!$C$38:$C$41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5-8806-4418-A12E-A3959EE7A733}"/>
            </c:ext>
          </c:extLst>
        </c:ser>
        <c:dLbls>
          <c:dLblPos val="t"/>
          <c:showLegendKey val="0"/>
          <c:showVal val="1"/>
          <c:showCatName val="0"/>
          <c:showSerName val="0"/>
          <c:showPercent val="0"/>
          <c:showBubbleSize val="0"/>
        </c:dLbls>
        <c:marker val="1"/>
        <c:smooth val="0"/>
        <c:axId val="2099843776"/>
        <c:axId val="2099844256"/>
      </c:lineChart>
      <c:catAx>
        <c:axId val="2099843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99844256"/>
        <c:crosses val="autoZero"/>
        <c:auto val="1"/>
        <c:lblAlgn val="ctr"/>
        <c:lblOffset val="100"/>
        <c:noMultiLvlLbl val="0"/>
      </c:catAx>
      <c:valAx>
        <c:axId val="20998442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99843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75000"/>
          <a:lumOff val="2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247650</xdr:colOff>
      <xdr:row>0</xdr:row>
      <xdr:rowOff>119062</xdr:rowOff>
    </xdr:from>
    <xdr:to>
      <xdr:col>11</xdr:col>
      <xdr:colOff>552450</xdr:colOff>
      <xdr:row>15</xdr:row>
      <xdr:rowOff>4762</xdr:rowOff>
    </xdr:to>
    <xdr:graphicFrame macro="">
      <xdr:nvGraphicFramePr>
        <xdr:cNvPr id="3" name="Chart 2">
          <a:extLst>
            <a:ext uri="{FF2B5EF4-FFF2-40B4-BE49-F238E27FC236}">
              <a16:creationId xmlns:a16="http://schemas.microsoft.com/office/drawing/2014/main" id="{232BA2A6-C75B-D29F-8493-F9BE0458E8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371475</xdr:colOff>
      <xdr:row>15</xdr:row>
      <xdr:rowOff>100012</xdr:rowOff>
    </xdr:from>
    <xdr:to>
      <xdr:col>15</xdr:col>
      <xdr:colOff>66675</xdr:colOff>
      <xdr:row>29</xdr:row>
      <xdr:rowOff>176212</xdr:rowOff>
    </xdr:to>
    <xdr:graphicFrame macro="">
      <xdr:nvGraphicFramePr>
        <xdr:cNvPr id="4" name="Chart 3">
          <a:extLst>
            <a:ext uri="{FF2B5EF4-FFF2-40B4-BE49-F238E27FC236}">
              <a16:creationId xmlns:a16="http://schemas.microsoft.com/office/drawing/2014/main" id="{F1986D88-DD80-F328-ED78-CE926C74CB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400050</xdr:colOff>
      <xdr:row>29</xdr:row>
      <xdr:rowOff>90487</xdr:rowOff>
    </xdr:from>
    <xdr:to>
      <xdr:col>11</xdr:col>
      <xdr:colOff>419100</xdr:colOff>
      <xdr:row>43</xdr:row>
      <xdr:rowOff>166687</xdr:rowOff>
    </xdr:to>
    <xdr:graphicFrame macro="">
      <xdr:nvGraphicFramePr>
        <xdr:cNvPr id="5" name="Chart 4">
          <a:extLst>
            <a:ext uri="{FF2B5EF4-FFF2-40B4-BE49-F238E27FC236}">
              <a16:creationId xmlns:a16="http://schemas.microsoft.com/office/drawing/2014/main" id="{2469FDA9-19F4-790C-346C-70EA07156A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152400</xdr:colOff>
      <xdr:row>0</xdr:row>
      <xdr:rowOff>95250</xdr:rowOff>
    </xdr:from>
    <xdr:to>
      <xdr:col>23</xdr:col>
      <xdr:colOff>466725</xdr:colOff>
      <xdr:row>36</xdr:row>
      <xdr:rowOff>19050</xdr:rowOff>
    </xdr:to>
    <xdr:sp macro="" textlink="">
      <xdr:nvSpPr>
        <xdr:cNvPr id="2" name="Rectangle: Rounded Corners 1">
          <a:extLst>
            <a:ext uri="{FF2B5EF4-FFF2-40B4-BE49-F238E27FC236}">
              <a16:creationId xmlns:a16="http://schemas.microsoft.com/office/drawing/2014/main" id="{7622CA0C-3859-B956-442F-57C9353CB6A4}"/>
            </a:ext>
          </a:extLst>
        </xdr:cNvPr>
        <xdr:cNvSpPr/>
      </xdr:nvSpPr>
      <xdr:spPr>
        <a:xfrm>
          <a:off x="152400" y="95250"/>
          <a:ext cx="14335125" cy="6781800"/>
        </a:xfrm>
        <a:prstGeom prst="roundRect">
          <a:avLst/>
        </a:prstGeom>
        <a:solidFill>
          <a:schemeClr val="bg1">
            <a:lumMod val="75000"/>
          </a:schemeClr>
        </a:solid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419099</xdr:colOff>
      <xdr:row>0</xdr:row>
      <xdr:rowOff>95250</xdr:rowOff>
    </xdr:from>
    <xdr:to>
      <xdr:col>17</xdr:col>
      <xdr:colOff>476250</xdr:colOff>
      <xdr:row>5</xdr:row>
      <xdr:rowOff>104775</xdr:rowOff>
    </xdr:to>
    <xdr:sp macro="" textlink="">
      <xdr:nvSpPr>
        <xdr:cNvPr id="3" name="TextBox 2">
          <a:extLst>
            <a:ext uri="{FF2B5EF4-FFF2-40B4-BE49-F238E27FC236}">
              <a16:creationId xmlns:a16="http://schemas.microsoft.com/office/drawing/2014/main" id="{3367C2F6-D493-27B8-3259-4B80DFD8244F}"/>
            </a:ext>
          </a:extLst>
        </xdr:cNvPr>
        <xdr:cNvSpPr txBox="1"/>
      </xdr:nvSpPr>
      <xdr:spPr>
        <a:xfrm>
          <a:off x="4076699" y="95250"/>
          <a:ext cx="6762751" cy="96202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400"/>
            <a:t>Bike</a:t>
          </a:r>
          <a:r>
            <a:rPr lang="en-US" sz="5400" baseline="0"/>
            <a:t> Sales Dashboard</a:t>
          </a:r>
          <a:endParaRPr lang="en-US" sz="5400"/>
        </a:p>
      </xdr:txBody>
    </xdr:sp>
    <xdr:clientData/>
  </xdr:twoCellAnchor>
  <xdr:twoCellAnchor>
    <xdr:from>
      <xdr:col>0</xdr:col>
      <xdr:colOff>190500</xdr:colOff>
      <xdr:row>7</xdr:row>
      <xdr:rowOff>42862</xdr:rowOff>
    </xdr:from>
    <xdr:to>
      <xdr:col>7</xdr:col>
      <xdr:colOff>603300</xdr:colOff>
      <xdr:row>21</xdr:row>
      <xdr:rowOff>183862</xdr:rowOff>
    </xdr:to>
    <xdr:graphicFrame macro="">
      <xdr:nvGraphicFramePr>
        <xdr:cNvPr id="4" name="Chart 3">
          <a:extLst>
            <a:ext uri="{FF2B5EF4-FFF2-40B4-BE49-F238E27FC236}">
              <a16:creationId xmlns:a16="http://schemas.microsoft.com/office/drawing/2014/main" id="{806289B8-1E98-4648-B329-DA7BAB0190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9525</xdr:colOff>
      <xdr:row>7</xdr:row>
      <xdr:rowOff>42862</xdr:rowOff>
    </xdr:from>
    <xdr:to>
      <xdr:col>23</xdr:col>
      <xdr:colOff>422325</xdr:colOff>
      <xdr:row>21</xdr:row>
      <xdr:rowOff>183862</xdr:rowOff>
    </xdr:to>
    <xdr:graphicFrame macro="">
      <xdr:nvGraphicFramePr>
        <xdr:cNvPr id="5" name="Chart 4">
          <a:extLst>
            <a:ext uri="{FF2B5EF4-FFF2-40B4-BE49-F238E27FC236}">
              <a16:creationId xmlns:a16="http://schemas.microsoft.com/office/drawing/2014/main" id="{AE1DDCAC-B367-4E52-B60B-DFBE3D355D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100012</xdr:colOff>
      <xdr:row>7</xdr:row>
      <xdr:rowOff>42862</xdr:rowOff>
    </xdr:from>
    <xdr:to>
      <xdr:col>15</xdr:col>
      <xdr:colOff>512812</xdr:colOff>
      <xdr:row>21</xdr:row>
      <xdr:rowOff>183862</xdr:rowOff>
    </xdr:to>
    <xdr:graphicFrame macro="">
      <xdr:nvGraphicFramePr>
        <xdr:cNvPr id="6" name="Chart 5">
          <a:extLst>
            <a:ext uri="{FF2B5EF4-FFF2-40B4-BE49-F238E27FC236}">
              <a16:creationId xmlns:a16="http://schemas.microsoft.com/office/drawing/2014/main" id="{7283773F-73D6-4CB5-A6FC-6C32461F32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390525</xdr:colOff>
      <xdr:row>22</xdr:row>
      <xdr:rowOff>76200</xdr:rowOff>
    </xdr:from>
    <xdr:to>
      <xdr:col>4</xdr:col>
      <xdr:colOff>390525</xdr:colOff>
      <xdr:row>35</xdr:row>
      <xdr:rowOff>123825</xdr:rowOff>
    </xdr:to>
    <mc:AlternateContent xmlns:mc="http://schemas.openxmlformats.org/markup-compatibility/2006" xmlns:a14="http://schemas.microsoft.com/office/drawing/2010/main">
      <mc:Choice Requires="a14">
        <xdr:graphicFrame macro="">
          <xdr:nvGraphicFramePr>
            <xdr:cNvPr id="8" name="Marital Status">
              <a:extLst>
                <a:ext uri="{FF2B5EF4-FFF2-40B4-BE49-F238E27FC236}">
                  <a16:creationId xmlns:a16="http://schemas.microsoft.com/office/drawing/2014/main" id="{032AD6BD-3E17-40BA-04ED-FEE6A13C6B77}"/>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000125" y="42672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ucica" refreshedDate="46226.746216550928" createdVersion="8" refreshedVersion="8" minRefreshableVersion="3" recordCount="1000" xr:uid="{C9DA4E40-D154-4EF0-8568-80A9DC44E973}">
  <cacheSource type="worksheet">
    <worksheetSource ref="A1:N1001" sheet="bike_buyer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s v="10+ Miles" u="1"/>
      </sharedItems>
    </cacheField>
    <cacheField name="Region" numFmtId="0">
      <sharedItems/>
    </cacheField>
    <cacheField name="Age" numFmtId="0">
      <sharedItems containsSemiMixedTypes="0" containsString="0" containsNumber="1" containsInteger="1" minValue="25" maxValue="89"/>
    </cacheField>
    <cacheField name="Age_group" numFmtId="0">
      <sharedItems count="3">
        <s v="MIddle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5892238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s v="Bachelors"/>
    <s v="Skilled Manual"/>
    <s v="Yes"/>
    <n v="0"/>
    <x v="0"/>
    <s v="Europe"/>
    <n v="42"/>
    <x v="0"/>
    <x v="0"/>
  </r>
  <r>
    <n v="24107"/>
    <x v="0"/>
    <x v="1"/>
    <n v="30000"/>
    <n v="3"/>
    <s v="Partial College"/>
    <s v="Clerical"/>
    <s v="Yes"/>
    <n v="1"/>
    <x v="0"/>
    <s v="Europe"/>
    <n v="43"/>
    <x v="0"/>
    <x v="0"/>
  </r>
  <r>
    <n v="14177"/>
    <x v="0"/>
    <x v="1"/>
    <n v="80000"/>
    <n v="5"/>
    <s v="Partial College"/>
    <s v="Professional"/>
    <s v="No"/>
    <n v="2"/>
    <x v="1"/>
    <s v="Europe"/>
    <n v="60"/>
    <x v="1"/>
    <x v="0"/>
  </r>
  <r>
    <n v="24381"/>
    <x v="1"/>
    <x v="1"/>
    <n v="70000"/>
    <n v="0"/>
    <s v="Bachelors"/>
    <s v="Professional"/>
    <s v="Yes"/>
    <n v="1"/>
    <x v="2"/>
    <s v="Pacific"/>
    <n v="41"/>
    <x v="0"/>
    <x v="1"/>
  </r>
  <r>
    <n v="25597"/>
    <x v="1"/>
    <x v="1"/>
    <n v="30000"/>
    <n v="0"/>
    <s v="Bachelors"/>
    <s v="Clerical"/>
    <s v="No"/>
    <n v="0"/>
    <x v="0"/>
    <s v="Europe"/>
    <n v="36"/>
    <x v="0"/>
    <x v="1"/>
  </r>
  <r>
    <n v="13507"/>
    <x v="0"/>
    <x v="0"/>
    <n v="10000"/>
    <n v="2"/>
    <s v="Partial College"/>
    <s v="Manual"/>
    <s v="Yes"/>
    <n v="0"/>
    <x v="3"/>
    <s v="Europe"/>
    <n v="50"/>
    <x v="0"/>
    <x v="0"/>
  </r>
  <r>
    <n v="27974"/>
    <x v="1"/>
    <x v="1"/>
    <n v="160000"/>
    <n v="2"/>
    <s v="High School"/>
    <s v="Management"/>
    <s v="Yes"/>
    <n v="4"/>
    <x v="0"/>
    <s v="Pacific"/>
    <n v="33"/>
    <x v="0"/>
    <x v="1"/>
  </r>
  <r>
    <n v="19364"/>
    <x v="0"/>
    <x v="1"/>
    <n v="40000"/>
    <n v="1"/>
    <s v="Bachelors"/>
    <s v="Skilled Manual"/>
    <s v="Yes"/>
    <n v="0"/>
    <x v="0"/>
    <s v="Europe"/>
    <n v="43"/>
    <x v="0"/>
    <x v="1"/>
  </r>
  <r>
    <n v="22155"/>
    <x v="0"/>
    <x v="1"/>
    <n v="20000"/>
    <n v="2"/>
    <s v="Partial High School"/>
    <s v="Clerical"/>
    <s v="Yes"/>
    <n v="2"/>
    <x v="2"/>
    <s v="Pacific"/>
    <n v="58"/>
    <x v="1"/>
    <x v="0"/>
  </r>
  <r>
    <n v="19280"/>
    <x v="0"/>
    <x v="1"/>
    <n v="120000"/>
    <n v="2"/>
    <s v="Partial College"/>
    <s v="Manual"/>
    <s v="Yes"/>
    <n v="1"/>
    <x v="0"/>
    <s v="Europe"/>
    <n v="40"/>
    <x v="0"/>
    <x v="1"/>
  </r>
  <r>
    <n v="22173"/>
    <x v="0"/>
    <x v="0"/>
    <n v="30000"/>
    <n v="3"/>
    <s v="High School"/>
    <s v="Skilled Manual"/>
    <s v="No"/>
    <n v="2"/>
    <x v="3"/>
    <s v="Pacific"/>
    <n v="54"/>
    <x v="0"/>
    <x v="1"/>
  </r>
  <r>
    <n v="12697"/>
    <x v="1"/>
    <x v="0"/>
    <n v="90000"/>
    <n v="0"/>
    <s v="Bachelors"/>
    <s v="Professional"/>
    <s v="No"/>
    <n v="4"/>
    <x v="4"/>
    <s v="Pacific"/>
    <n v="36"/>
    <x v="0"/>
    <x v="0"/>
  </r>
  <r>
    <n v="11434"/>
    <x v="0"/>
    <x v="1"/>
    <n v="170000"/>
    <n v="5"/>
    <s v="Partial College"/>
    <s v="Professional"/>
    <s v="Yes"/>
    <n v="0"/>
    <x v="0"/>
    <s v="Europe"/>
    <n v="55"/>
    <x v="1"/>
    <x v="0"/>
  </r>
  <r>
    <n v="25323"/>
    <x v="0"/>
    <x v="1"/>
    <n v="40000"/>
    <n v="2"/>
    <s v="Partial College"/>
    <s v="Clerical"/>
    <s v="Yes"/>
    <n v="1"/>
    <x v="3"/>
    <s v="Europe"/>
    <n v="35"/>
    <x v="0"/>
    <x v="1"/>
  </r>
  <r>
    <n v="23542"/>
    <x v="1"/>
    <x v="1"/>
    <n v="60000"/>
    <n v="1"/>
    <s v="Partial College"/>
    <s v="Skilled Manual"/>
    <s v="No"/>
    <n v="1"/>
    <x v="0"/>
    <s v="Pacific"/>
    <n v="45"/>
    <x v="0"/>
    <x v="1"/>
  </r>
  <r>
    <n v="20870"/>
    <x v="1"/>
    <x v="0"/>
    <n v="10000"/>
    <n v="2"/>
    <s v="High School"/>
    <s v="Manual"/>
    <s v="Yes"/>
    <n v="1"/>
    <x v="0"/>
    <s v="Europe"/>
    <n v="38"/>
    <x v="0"/>
    <x v="1"/>
  </r>
  <r>
    <n v="23316"/>
    <x v="1"/>
    <x v="1"/>
    <n v="30000"/>
    <n v="3"/>
    <s v="Partial College"/>
    <s v="Clerical"/>
    <s v="No"/>
    <n v="2"/>
    <x v="3"/>
    <s v="Pacific"/>
    <n v="59"/>
    <x v="1"/>
    <x v="1"/>
  </r>
  <r>
    <n v="12610"/>
    <x v="0"/>
    <x v="0"/>
    <n v="30000"/>
    <n v="1"/>
    <s v="Bachelors"/>
    <s v="Clerical"/>
    <s v="Yes"/>
    <n v="0"/>
    <x v="0"/>
    <s v="Europe"/>
    <n v="47"/>
    <x v="0"/>
    <x v="0"/>
  </r>
  <r>
    <n v="27183"/>
    <x v="1"/>
    <x v="1"/>
    <n v="40000"/>
    <n v="2"/>
    <s v="Partial College"/>
    <s v="Clerical"/>
    <s v="Yes"/>
    <n v="1"/>
    <x v="3"/>
    <s v="Europe"/>
    <n v="35"/>
    <x v="0"/>
    <x v="1"/>
  </r>
  <r>
    <n v="25940"/>
    <x v="1"/>
    <x v="1"/>
    <n v="20000"/>
    <n v="2"/>
    <s v="Partial High School"/>
    <s v="Clerical"/>
    <s v="Yes"/>
    <n v="2"/>
    <x v="2"/>
    <s v="Pacific"/>
    <n v="55"/>
    <x v="1"/>
    <x v="1"/>
  </r>
  <r>
    <n v="25598"/>
    <x v="0"/>
    <x v="0"/>
    <n v="40000"/>
    <n v="0"/>
    <s v="Graduate Degree"/>
    <s v="Clerical"/>
    <s v="Yes"/>
    <n v="0"/>
    <x v="0"/>
    <s v="Europe"/>
    <n v="36"/>
    <x v="0"/>
    <x v="1"/>
  </r>
  <r>
    <n v="21564"/>
    <x v="1"/>
    <x v="0"/>
    <n v="80000"/>
    <n v="0"/>
    <s v="Bachelors"/>
    <s v="Professional"/>
    <s v="Yes"/>
    <n v="4"/>
    <x v="4"/>
    <s v="Pacific"/>
    <n v="35"/>
    <x v="0"/>
    <x v="0"/>
  </r>
  <r>
    <n v="19193"/>
    <x v="1"/>
    <x v="1"/>
    <n v="40000"/>
    <n v="2"/>
    <s v="Partial College"/>
    <s v="Clerical"/>
    <s v="Yes"/>
    <n v="0"/>
    <x v="3"/>
    <s v="Europe"/>
    <n v="35"/>
    <x v="0"/>
    <x v="1"/>
  </r>
  <r>
    <n v="26412"/>
    <x v="0"/>
    <x v="0"/>
    <n v="80000"/>
    <n v="5"/>
    <s v="High School"/>
    <s v="Management"/>
    <s v="No"/>
    <n v="3"/>
    <x v="2"/>
    <s v="Europe"/>
    <n v="56"/>
    <x v="1"/>
    <x v="0"/>
  </r>
  <r>
    <n v="27184"/>
    <x v="1"/>
    <x v="1"/>
    <n v="40000"/>
    <n v="2"/>
    <s v="Partial College"/>
    <s v="Clerical"/>
    <s v="No"/>
    <n v="1"/>
    <x v="0"/>
    <s v="Europe"/>
    <n v="34"/>
    <x v="0"/>
    <x v="0"/>
  </r>
  <r>
    <n v="12590"/>
    <x v="1"/>
    <x v="1"/>
    <n v="30000"/>
    <n v="1"/>
    <s v="Bachelors"/>
    <s v="Clerical"/>
    <s v="Yes"/>
    <n v="0"/>
    <x v="0"/>
    <s v="Europe"/>
    <n v="63"/>
    <x v="1"/>
    <x v="0"/>
  </r>
  <r>
    <n v="17841"/>
    <x v="1"/>
    <x v="1"/>
    <n v="30000"/>
    <n v="0"/>
    <s v="Partial College"/>
    <s v="Clerical"/>
    <s v="No"/>
    <n v="1"/>
    <x v="0"/>
    <s v="Europe"/>
    <n v="29"/>
    <x v="2"/>
    <x v="1"/>
  </r>
  <r>
    <n v="18283"/>
    <x v="1"/>
    <x v="0"/>
    <n v="100000"/>
    <n v="0"/>
    <s v="Bachelors"/>
    <s v="Professional"/>
    <s v="No"/>
    <n v="1"/>
    <x v="2"/>
    <s v="Pacific"/>
    <n v="40"/>
    <x v="0"/>
    <x v="0"/>
  </r>
  <r>
    <n v="18299"/>
    <x v="0"/>
    <x v="1"/>
    <n v="70000"/>
    <n v="5"/>
    <s v="Partial College"/>
    <s v="Skilled Manual"/>
    <s v="Yes"/>
    <n v="2"/>
    <x v="2"/>
    <s v="Pacific"/>
    <n v="44"/>
    <x v="0"/>
    <x v="0"/>
  </r>
  <r>
    <n v="16466"/>
    <x v="1"/>
    <x v="0"/>
    <n v="20000"/>
    <n v="0"/>
    <s v="Partial High School"/>
    <s v="Manual"/>
    <s v="No"/>
    <n v="2"/>
    <x v="0"/>
    <s v="Europe"/>
    <n v="32"/>
    <x v="0"/>
    <x v="1"/>
  </r>
  <r>
    <n v="19273"/>
    <x v="0"/>
    <x v="0"/>
    <n v="20000"/>
    <n v="2"/>
    <s v="Partial College"/>
    <s v="Manual"/>
    <s v="Yes"/>
    <n v="0"/>
    <x v="0"/>
    <s v="Europe"/>
    <n v="63"/>
    <x v="1"/>
    <x v="0"/>
  </r>
  <r>
    <n v="22400"/>
    <x v="0"/>
    <x v="1"/>
    <n v="10000"/>
    <n v="0"/>
    <s v="Partial College"/>
    <s v="Manual"/>
    <s v="No"/>
    <n v="1"/>
    <x v="0"/>
    <s v="Pacific"/>
    <n v="26"/>
    <x v="2"/>
    <x v="1"/>
  </r>
  <r>
    <n v="20942"/>
    <x v="1"/>
    <x v="0"/>
    <n v="20000"/>
    <n v="0"/>
    <s v="High School"/>
    <s v="Manual"/>
    <s v="No"/>
    <n v="1"/>
    <x v="2"/>
    <s v="Europe"/>
    <n v="31"/>
    <x v="0"/>
    <x v="0"/>
  </r>
  <r>
    <n v="18484"/>
    <x v="1"/>
    <x v="1"/>
    <n v="80000"/>
    <n v="2"/>
    <s v="High School"/>
    <s v="Skilled Manual"/>
    <s v="No"/>
    <n v="2"/>
    <x v="3"/>
    <s v="Pacific"/>
    <n v="50"/>
    <x v="0"/>
    <x v="1"/>
  </r>
  <r>
    <n v="12291"/>
    <x v="1"/>
    <x v="1"/>
    <n v="90000"/>
    <n v="5"/>
    <s v="Partial College"/>
    <s v="Professional"/>
    <s v="No"/>
    <n v="2"/>
    <x v="1"/>
    <s v="Europe"/>
    <n v="62"/>
    <x v="1"/>
    <x v="1"/>
  </r>
  <r>
    <n v="28380"/>
    <x v="1"/>
    <x v="0"/>
    <n v="10000"/>
    <n v="5"/>
    <s v="Partial High School"/>
    <s v="Manual"/>
    <s v="No"/>
    <n v="2"/>
    <x v="0"/>
    <s v="Europe"/>
    <n v="41"/>
    <x v="0"/>
    <x v="0"/>
  </r>
  <r>
    <n v="17891"/>
    <x v="0"/>
    <x v="0"/>
    <n v="10000"/>
    <n v="2"/>
    <s v="Partial College"/>
    <s v="Manual"/>
    <s v="Yes"/>
    <n v="1"/>
    <x v="0"/>
    <s v="Europe"/>
    <n v="50"/>
    <x v="0"/>
    <x v="1"/>
  </r>
  <r>
    <n v="27832"/>
    <x v="1"/>
    <x v="0"/>
    <n v="30000"/>
    <n v="0"/>
    <s v="Partial College"/>
    <s v="Clerical"/>
    <s v="No"/>
    <n v="1"/>
    <x v="1"/>
    <s v="Europe"/>
    <n v="30"/>
    <x v="2"/>
    <x v="0"/>
  </r>
  <r>
    <n v="26863"/>
    <x v="1"/>
    <x v="1"/>
    <n v="20000"/>
    <n v="0"/>
    <s v="High School"/>
    <s v="Manual"/>
    <s v="No"/>
    <n v="1"/>
    <x v="1"/>
    <s v="Europe"/>
    <n v="28"/>
    <x v="2"/>
    <x v="0"/>
  </r>
  <r>
    <n v="16259"/>
    <x v="1"/>
    <x v="0"/>
    <n v="10000"/>
    <n v="4"/>
    <s v="Partial High School"/>
    <s v="Manual"/>
    <s v="Yes"/>
    <n v="2"/>
    <x v="0"/>
    <s v="Europe"/>
    <n v="40"/>
    <x v="0"/>
    <x v="1"/>
  </r>
  <r>
    <n v="27803"/>
    <x v="1"/>
    <x v="0"/>
    <n v="30000"/>
    <n v="2"/>
    <s v="Partial College"/>
    <s v="Clerical"/>
    <s v="No"/>
    <n v="0"/>
    <x v="0"/>
    <s v="Europe"/>
    <n v="43"/>
    <x v="0"/>
    <x v="0"/>
  </r>
  <r>
    <n v="14347"/>
    <x v="1"/>
    <x v="0"/>
    <n v="40000"/>
    <n v="2"/>
    <s v="Bachelors"/>
    <s v="Management"/>
    <s v="Yes"/>
    <n v="2"/>
    <x v="2"/>
    <s v="Pacific"/>
    <n v="65"/>
    <x v="1"/>
    <x v="1"/>
  </r>
  <r>
    <n v="17703"/>
    <x v="0"/>
    <x v="0"/>
    <n v="10000"/>
    <n v="1"/>
    <s v="Graduate Degree"/>
    <s v="Manual"/>
    <s v="Yes"/>
    <n v="0"/>
    <x v="0"/>
    <s v="Europe"/>
    <n v="40"/>
    <x v="0"/>
    <x v="0"/>
  </r>
  <r>
    <n v="17185"/>
    <x v="0"/>
    <x v="0"/>
    <n v="170000"/>
    <n v="4"/>
    <s v="Partial College"/>
    <s v="Professional"/>
    <s v="No"/>
    <n v="3"/>
    <x v="2"/>
    <s v="Europe"/>
    <n v="48"/>
    <x v="0"/>
    <x v="1"/>
  </r>
  <r>
    <n v="29380"/>
    <x v="0"/>
    <x v="0"/>
    <n v="20000"/>
    <n v="3"/>
    <s v="High School"/>
    <s v="Manual"/>
    <s v="Yes"/>
    <n v="0"/>
    <x v="0"/>
    <s v="Europe"/>
    <n v="41"/>
    <x v="0"/>
    <x v="1"/>
  </r>
  <r>
    <n v="23986"/>
    <x v="0"/>
    <x v="0"/>
    <n v="20000"/>
    <n v="1"/>
    <s v="Bachelors"/>
    <s v="Clerical"/>
    <s v="Yes"/>
    <n v="0"/>
    <x v="0"/>
    <s v="Europe"/>
    <n v="66"/>
    <x v="1"/>
    <x v="1"/>
  </r>
  <r>
    <n v="24466"/>
    <x v="0"/>
    <x v="0"/>
    <n v="60000"/>
    <n v="1"/>
    <s v="Partial College"/>
    <s v="Skilled Manual"/>
    <s v="Yes"/>
    <n v="1"/>
    <x v="2"/>
    <s v="Pacific"/>
    <n v="46"/>
    <x v="0"/>
    <x v="1"/>
  </r>
  <r>
    <n v="29097"/>
    <x v="1"/>
    <x v="0"/>
    <n v="40000"/>
    <n v="2"/>
    <s v="Partial College"/>
    <s v="Skilled Manual"/>
    <s v="Yes"/>
    <n v="2"/>
    <x v="2"/>
    <s v="Pacific"/>
    <n v="52"/>
    <x v="0"/>
    <x v="1"/>
  </r>
  <r>
    <n v="19487"/>
    <x v="0"/>
    <x v="1"/>
    <n v="30000"/>
    <n v="2"/>
    <s v="Partial College"/>
    <s v="Clerical"/>
    <s v="No"/>
    <n v="2"/>
    <x v="0"/>
    <s v="Europe"/>
    <n v="42"/>
    <x v="0"/>
    <x v="0"/>
  </r>
  <r>
    <n v="14939"/>
    <x v="1"/>
    <x v="1"/>
    <n v="40000"/>
    <n v="0"/>
    <s v="Bachelors"/>
    <s v="Clerical"/>
    <s v="Yes"/>
    <n v="0"/>
    <x v="0"/>
    <s v="Europe"/>
    <n v="39"/>
    <x v="0"/>
    <x v="1"/>
  </r>
  <r>
    <n v="13826"/>
    <x v="1"/>
    <x v="0"/>
    <n v="30000"/>
    <n v="0"/>
    <s v="Partial College"/>
    <s v="Clerical"/>
    <s v="No"/>
    <n v="1"/>
    <x v="0"/>
    <s v="Europe"/>
    <n v="28"/>
    <x v="2"/>
    <x v="0"/>
  </r>
  <r>
    <n v="20619"/>
    <x v="1"/>
    <x v="1"/>
    <n v="80000"/>
    <n v="0"/>
    <s v="Bachelors"/>
    <s v="Professional"/>
    <s v="No"/>
    <n v="4"/>
    <x v="4"/>
    <s v="Pacific"/>
    <n v="35"/>
    <x v="0"/>
    <x v="0"/>
  </r>
  <r>
    <n v="12558"/>
    <x v="0"/>
    <x v="0"/>
    <n v="20000"/>
    <n v="1"/>
    <s v="Bachelors"/>
    <s v="Clerical"/>
    <s v="Yes"/>
    <n v="0"/>
    <x v="0"/>
    <s v="Europe"/>
    <n v="65"/>
    <x v="1"/>
    <x v="0"/>
  </r>
  <r>
    <n v="24871"/>
    <x v="1"/>
    <x v="0"/>
    <n v="90000"/>
    <n v="4"/>
    <s v="High School"/>
    <s v="Management"/>
    <s v="No"/>
    <n v="3"/>
    <x v="2"/>
    <s v="Europe"/>
    <n v="56"/>
    <x v="1"/>
    <x v="0"/>
  </r>
  <r>
    <n v="17319"/>
    <x v="1"/>
    <x v="0"/>
    <n v="70000"/>
    <n v="0"/>
    <s v="Bachelors"/>
    <s v="Professional"/>
    <s v="No"/>
    <n v="1"/>
    <x v="2"/>
    <s v="Pacific"/>
    <n v="42"/>
    <x v="0"/>
    <x v="0"/>
  </r>
  <r>
    <n v="28906"/>
    <x v="0"/>
    <x v="1"/>
    <n v="80000"/>
    <n v="4"/>
    <s v="High School"/>
    <s v="Professional"/>
    <s v="Yes"/>
    <n v="2"/>
    <x v="4"/>
    <s v="Europe"/>
    <n v="54"/>
    <x v="0"/>
    <x v="0"/>
  </r>
  <r>
    <n v="12808"/>
    <x v="0"/>
    <x v="1"/>
    <n v="40000"/>
    <n v="0"/>
    <s v="Bachelors"/>
    <s v="Clerical"/>
    <s v="Yes"/>
    <n v="0"/>
    <x v="0"/>
    <s v="Europe"/>
    <n v="38"/>
    <x v="0"/>
    <x v="1"/>
  </r>
  <r>
    <n v="20567"/>
    <x v="0"/>
    <x v="1"/>
    <n v="130000"/>
    <n v="4"/>
    <s v="Partial College"/>
    <s v="Professional"/>
    <s v="No"/>
    <n v="4"/>
    <x v="2"/>
    <s v="Europe"/>
    <n v="61"/>
    <x v="1"/>
    <x v="1"/>
  </r>
  <r>
    <n v="25502"/>
    <x v="0"/>
    <x v="0"/>
    <n v="40000"/>
    <n v="1"/>
    <s v="Bachelors"/>
    <s v="Skilled Manual"/>
    <s v="Yes"/>
    <n v="0"/>
    <x v="0"/>
    <s v="Europe"/>
    <n v="43"/>
    <x v="0"/>
    <x v="1"/>
  </r>
  <r>
    <n v="15580"/>
    <x v="0"/>
    <x v="1"/>
    <n v="60000"/>
    <n v="2"/>
    <s v="Bachelors"/>
    <s v="Professional"/>
    <s v="Yes"/>
    <n v="1"/>
    <x v="1"/>
    <s v="Pacific"/>
    <n v="38"/>
    <x v="0"/>
    <x v="1"/>
  </r>
  <r>
    <n v="24185"/>
    <x v="1"/>
    <x v="0"/>
    <n v="10000"/>
    <n v="1"/>
    <s v="High School"/>
    <s v="Manual"/>
    <s v="No"/>
    <n v="1"/>
    <x v="3"/>
    <s v="Europe"/>
    <n v="45"/>
    <x v="0"/>
    <x v="0"/>
  </r>
  <r>
    <n v="19291"/>
    <x v="1"/>
    <x v="0"/>
    <n v="10000"/>
    <n v="2"/>
    <s v="High School"/>
    <s v="Manual"/>
    <s v="Yes"/>
    <n v="0"/>
    <x v="0"/>
    <s v="Europe"/>
    <n v="35"/>
    <x v="0"/>
    <x v="0"/>
  </r>
  <r>
    <n v="16713"/>
    <x v="0"/>
    <x v="1"/>
    <n v="40000"/>
    <n v="2"/>
    <s v="Bachelors"/>
    <s v="Management"/>
    <s v="Yes"/>
    <n v="1"/>
    <x v="0"/>
    <s v="Pacific"/>
    <n v="52"/>
    <x v="0"/>
    <x v="1"/>
  </r>
  <r>
    <n v="16185"/>
    <x v="1"/>
    <x v="1"/>
    <n v="60000"/>
    <n v="4"/>
    <s v="Bachelors"/>
    <s v="Professional"/>
    <s v="Yes"/>
    <n v="3"/>
    <x v="4"/>
    <s v="Pacific"/>
    <n v="41"/>
    <x v="0"/>
    <x v="0"/>
  </r>
  <r>
    <n v="14927"/>
    <x v="0"/>
    <x v="0"/>
    <n v="30000"/>
    <n v="1"/>
    <s v="Bachelors"/>
    <s v="Clerical"/>
    <s v="Yes"/>
    <n v="0"/>
    <x v="0"/>
    <s v="Europe"/>
    <n v="37"/>
    <x v="0"/>
    <x v="1"/>
  </r>
  <r>
    <n v="29337"/>
    <x v="1"/>
    <x v="1"/>
    <n v="30000"/>
    <n v="2"/>
    <s v="Partial College"/>
    <s v="Clerical"/>
    <s v="Yes"/>
    <n v="2"/>
    <x v="2"/>
    <s v="Pacific"/>
    <n v="68"/>
    <x v="1"/>
    <x v="0"/>
  </r>
  <r>
    <n v="29355"/>
    <x v="0"/>
    <x v="0"/>
    <n v="40000"/>
    <n v="0"/>
    <s v="Graduate Degree"/>
    <s v="Clerical"/>
    <s v="Yes"/>
    <n v="0"/>
    <x v="0"/>
    <s v="Europe"/>
    <n v="37"/>
    <x v="0"/>
    <x v="1"/>
  </r>
  <r>
    <n v="25303"/>
    <x v="1"/>
    <x v="1"/>
    <n v="30000"/>
    <n v="0"/>
    <s v="High School"/>
    <s v="Manual"/>
    <s v="Yes"/>
    <n v="1"/>
    <x v="1"/>
    <s v="Europe"/>
    <n v="33"/>
    <x v="0"/>
    <x v="1"/>
  </r>
  <r>
    <n v="14813"/>
    <x v="1"/>
    <x v="0"/>
    <n v="20000"/>
    <n v="4"/>
    <s v="High School"/>
    <s v="Manual"/>
    <s v="Yes"/>
    <n v="1"/>
    <x v="0"/>
    <s v="Europe"/>
    <n v="43"/>
    <x v="0"/>
    <x v="1"/>
  </r>
  <r>
    <n v="16438"/>
    <x v="0"/>
    <x v="0"/>
    <n v="10000"/>
    <n v="0"/>
    <s v="Partial High School"/>
    <s v="Manual"/>
    <s v="No"/>
    <n v="2"/>
    <x v="0"/>
    <s v="Europe"/>
    <n v="30"/>
    <x v="2"/>
    <x v="0"/>
  </r>
  <r>
    <n v="14238"/>
    <x v="0"/>
    <x v="1"/>
    <n v="120000"/>
    <n v="0"/>
    <s v="Partial High School"/>
    <s v="Professional"/>
    <s v="Yes"/>
    <n v="4"/>
    <x v="4"/>
    <s v="Pacific"/>
    <n v="36"/>
    <x v="0"/>
    <x v="1"/>
  </r>
  <r>
    <n v="16200"/>
    <x v="1"/>
    <x v="0"/>
    <n v="10000"/>
    <n v="0"/>
    <s v="Partial High School"/>
    <s v="Manual"/>
    <s v="No"/>
    <n v="2"/>
    <x v="0"/>
    <s v="Europe"/>
    <n v="35"/>
    <x v="0"/>
    <x v="0"/>
  </r>
  <r>
    <n v="24857"/>
    <x v="0"/>
    <x v="0"/>
    <n v="130000"/>
    <n v="3"/>
    <s v="High School"/>
    <s v="Professional"/>
    <s v="Yes"/>
    <n v="4"/>
    <x v="0"/>
    <s v="Europe"/>
    <n v="52"/>
    <x v="0"/>
    <x v="0"/>
  </r>
  <r>
    <n v="26956"/>
    <x v="1"/>
    <x v="0"/>
    <n v="20000"/>
    <n v="0"/>
    <s v="Partial College"/>
    <s v="Manual"/>
    <s v="No"/>
    <n v="1"/>
    <x v="1"/>
    <s v="Europe"/>
    <n v="36"/>
    <x v="0"/>
    <x v="1"/>
  </r>
  <r>
    <n v="14517"/>
    <x v="0"/>
    <x v="0"/>
    <n v="20000"/>
    <n v="3"/>
    <s v="High School"/>
    <s v="Skilled Manual"/>
    <s v="No"/>
    <n v="2"/>
    <x v="3"/>
    <s v="Pacific"/>
    <n v="62"/>
    <x v="1"/>
    <x v="0"/>
  </r>
  <r>
    <n v="12678"/>
    <x v="1"/>
    <x v="0"/>
    <n v="130000"/>
    <n v="4"/>
    <s v="High School"/>
    <s v="Management"/>
    <s v="Yes"/>
    <n v="4"/>
    <x v="0"/>
    <s v="Pacific"/>
    <n v="31"/>
    <x v="0"/>
    <x v="0"/>
  </r>
  <r>
    <n v="16188"/>
    <x v="1"/>
    <x v="0"/>
    <n v="20000"/>
    <n v="0"/>
    <s v="Partial High School"/>
    <s v="Manual"/>
    <s v="No"/>
    <n v="2"/>
    <x v="3"/>
    <s v="Europe"/>
    <n v="26"/>
    <x v="2"/>
    <x v="0"/>
  </r>
  <r>
    <n v="27969"/>
    <x v="0"/>
    <x v="1"/>
    <n v="80000"/>
    <n v="0"/>
    <s v="Bachelors"/>
    <s v="Professional"/>
    <s v="Yes"/>
    <n v="2"/>
    <x v="4"/>
    <s v="Pacific"/>
    <n v="29"/>
    <x v="2"/>
    <x v="1"/>
  </r>
  <r>
    <n v="15752"/>
    <x v="0"/>
    <x v="1"/>
    <n v="80000"/>
    <n v="2"/>
    <s v="High School"/>
    <s v="Skilled Manual"/>
    <s v="No"/>
    <n v="2"/>
    <x v="3"/>
    <s v="Pacific"/>
    <n v="50"/>
    <x v="0"/>
    <x v="1"/>
  </r>
  <r>
    <n v="27745"/>
    <x v="1"/>
    <x v="1"/>
    <n v="40000"/>
    <n v="2"/>
    <s v="Bachelors"/>
    <s v="Management"/>
    <s v="Yes"/>
    <n v="2"/>
    <x v="2"/>
    <s v="Pacific"/>
    <n v="63"/>
    <x v="1"/>
    <x v="1"/>
  </r>
  <r>
    <n v="20828"/>
    <x v="0"/>
    <x v="0"/>
    <n v="30000"/>
    <n v="4"/>
    <s v="Graduate Degree"/>
    <s v="Clerical"/>
    <s v="Yes"/>
    <n v="0"/>
    <x v="0"/>
    <s v="Europe"/>
    <n v="45"/>
    <x v="0"/>
    <x v="1"/>
  </r>
  <r>
    <n v="19461"/>
    <x v="1"/>
    <x v="0"/>
    <n v="10000"/>
    <n v="4"/>
    <s v="Partial High School"/>
    <s v="Manual"/>
    <s v="Yes"/>
    <n v="2"/>
    <x v="0"/>
    <s v="Europe"/>
    <n v="40"/>
    <x v="0"/>
    <x v="0"/>
  </r>
  <r>
    <n v="26941"/>
    <x v="0"/>
    <x v="1"/>
    <n v="30000"/>
    <n v="0"/>
    <s v="Bachelors"/>
    <s v="Clerical"/>
    <s v="Yes"/>
    <n v="0"/>
    <x v="0"/>
    <s v="Europe"/>
    <n v="47"/>
    <x v="0"/>
    <x v="1"/>
  </r>
  <r>
    <n v="28412"/>
    <x v="1"/>
    <x v="1"/>
    <n v="20000"/>
    <n v="0"/>
    <s v="High School"/>
    <s v="Manual"/>
    <s v="No"/>
    <n v="1"/>
    <x v="1"/>
    <s v="Europe"/>
    <n v="29"/>
    <x v="2"/>
    <x v="0"/>
  </r>
  <r>
    <n v="24485"/>
    <x v="1"/>
    <x v="1"/>
    <n v="40000"/>
    <n v="2"/>
    <s v="Bachelors"/>
    <s v="Management"/>
    <s v="No"/>
    <n v="1"/>
    <x v="2"/>
    <s v="Pacific"/>
    <n v="52"/>
    <x v="0"/>
    <x v="1"/>
  </r>
  <r>
    <n v="16514"/>
    <x v="1"/>
    <x v="1"/>
    <n v="10000"/>
    <n v="0"/>
    <s v="Partial College"/>
    <s v="Manual"/>
    <s v="Yes"/>
    <n v="1"/>
    <x v="3"/>
    <s v="Pacific"/>
    <n v="26"/>
    <x v="2"/>
    <x v="1"/>
  </r>
  <r>
    <n v="17191"/>
    <x v="1"/>
    <x v="1"/>
    <n v="130000"/>
    <n v="3"/>
    <s v="Partial College"/>
    <s v="Professional"/>
    <s v="No"/>
    <n v="3"/>
    <x v="0"/>
    <s v="Europe"/>
    <n v="51"/>
    <x v="0"/>
    <x v="1"/>
  </r>
  <r>
    <n v="19608"/>
    <x v="0"/>
    <x v="1"/>
    <n v="80000"/>
    <n v="5"/>
    <s v="Bachelors"/>
    <s v="Professional"/>
    <s v="Yes"/>
    <n v="4"/>
    <x v="3"/>
    <s v="Pacific"/>
    <n v="40"/>
    <x v="0"/>
    <x v="0"/>
  </r>
  <r>
    <n v="24119"/>
    <x v="1"/>
    <x v="1"/>
    <n v="30000"/>
    <n v="0"/>
    <s v="Partial College"/>
    <s v="Clerical"/>
    <s v="No"/>
    <n v="1"/>
    <x v="1"/>
    <s v="Europe"/>
    <n v="29"/>
    <x v="2"/>
    <x v="0"/>
  </r>
  <r>
    <n v="25458"/>
    <x v="0"/>
    <x v="1"/>
    <n v="20000"/>
    <n v="1"/>
    <s v="High School"/>
    <s v="Manual"/>
    <s v="No"/>
    <n v="1"/>
    <x v="3"/>
    <s v="Europe"/>
    <n v="40"/>
    <x v="0"/>
    <x v="1"/>
  </r>
  <r>
    <n v="26886"/>
    <x v="1"/>
    <x v="0"/>
    <n v="30000"/>
    <n v="0"/>
    <s v="Partial College"/>
    <s v="Clerical"/>
    <s v="No"/>
    <n v="1"/>
    <x v="0"/>
    <s v="Europe"/>
    <n v="29"/>
    <x v="2"/>
    <x v="1"/>
  </r>
  <r>
    <n v="28436"/>
    <x v="1"/>
    <x v="1"/>
    <n v="30000"/>
    <n v="0"/>
    <s v="Partial College"/>
    <s v="Clerical"/>
    <s v="No"/>
    <n v="1"/>
    <x v="0"/>
    <s v="Europe"/>
    <n v="30"/>
    <x v="2"/>
    <x v="1"/>
  </r>
  <r>
    <n v="19562"/>
    <x v="1"/>
    <x v="0"/>
    <n v="60000"/>
    <n v="2"/>
    <s v="Bachelors"/>
    <s v="Professional"/>
    <s v="Yes"/>
    <n v="1"/>
    <x v="1"/>
    <s v="Pacific"/>
    <n v="37"/>
    <x v="0"/>
    <x v="1"/>
  </r>
  <r>
    <n v="15608"/>
    <x v="1"/>
    <x v="0"/>
    <n v="30000"/>
    <n v="0"/>
    <s v="Partial College"/>
    <s v="Clerical"/>
    <s v="No"/>
    <n v="1"/>
    <x v="1"/>
    <s v="Europe"/>
    <n v="33"/>
    <x v="0"/>
    <x v="0"/>
  </r>
  <r>
    <n v="16487"/>
    <x v="1"/>
    <x v="0"/>
    <n v="30000"/>
    <n v="3"/>
    <s v="High School"/>
    <s v="Skilled Manual"/>
    <s v="Yes"/>
    <n v="2"/>
    <x v="2"/>
    <s v="Pacific"/>
    <n v="55"/>
    <x v="1"/>
    <x v="0"/>
  </r>
  <r>
    <n v="17197"/>
    <x v="1"/>
    <x v="0"/>
    <n v="90000"/>
    <n v="5"/>
    <s v="Partial College"/>
    <s v="Professional"/>
    <s v="Yes"/>
    <n v="2"/>
    <x v="4"/>
    <s v="Europe"/>
    <n v="62"/>
    <x v="1"/>
    <x v="0"/>
  </r>
  <r>
    <n v="12507"/>
    <x v="0"/>
    <x v="1"/>
    <n v="30000"/>
    <n v="1"/>
    <s v="Partial College"/>
    <s v="Clerical"/>
    <s v="Yes"/>
    <n v="1"/>
    <x v="0"/>
    <s v="Europe"/>
    <n v="43"/>
    <x v="0"/>
    <x v="0"/>
  </r>
  <r>
    <n v="23940"/>
    <x v="0"/>
    <x v="1"/>
    <n v="40000"/>
    <n v="1"/>
    <s v="Bachelors"/>
    <s v="Skilled Manual"/>
    <s v="Yes"/>
    <n v="1"/>
    <x v="0"/>
    <s v="Europe"/>
    <n v="44"/>
    <x v="0"/>
    <x v="1"/>
  </r>
  <r>
    <n v="19441"/>
    <x v="0"/>
    <x v="1"/>
    <n v="40000"/>
    <n v="0"/>
    <s v="Graduate Degree"/>
    <s v="Clerical"/>
    <s v="Yes"/>
    <n v="0"/>
    <x v="0"/>
    <s v="Europe"/>
    <n v="25"/>
    <x v="2"/>
    <x v="1"/>
  </r>
  <r>
    <n v="26852"/>
    <x v="0"/>
    <x v="0"/>
    <n v="20000"/>
    <n v="3"/>
    <s v="High School"/>
    <s v="Manual"/>
    <s v="Yes"/>
    <n v="2"/>
    <x v="0"/>
    <s v="Europe"/>
    <n v="43"/>
    <x v="0"/>
    <x v="0"/>
  </r>
  <r>
    <n v="12274"/>
    <x v="1"/>
    <x v="1"/>
    <n v="10000"/>
    <n v="2"/>
    <s v="High School"/>
    <s v="Manual"/>
    <s v="Yes"/>
    <n v="0"/>
    <x v="0"/>
    <s v="Europe"/>
    <n v="35"/>
    <x v="0"/>
    <x v="0"/>
  </r>
  <r>
    <n v="20236"/>
    <x v="1"/>
    <x v="1"/>
    <n v="60000"/>
    <n v="3"/>
    <s v="Bachelors"/>
    <s v="Professional"/>
    <s v="No"/>
    <n v="2"/>
    <x v="0"/>
    <s v="Pacific"/>
    <n v="43"/>
    <x v="0"/>
    <x v="1"/>
  </r>
  <r>
    <n v="24149"/>
    <x v="0"/>
    <x v="1"/>
    <n v="10000"/>
    <n v="2"/>
    <s v="Partial College"/>
    <s v="Manual"/>
    <s v="Yes"/>
    <n v="0"/>
    <x v="3"/>
    <s v="Europe"/>
    <n v="49"/>
    <x v="0"/>
    <x v="0"/>
  </r>
  <r>
    <n v="26139"/>
    <x v="1"/>
    <x v="1"/>
    <n v="60000"/>
    <n v="1"/>
    <s v="Partial College"/>
    <s v="Skilled Manual"/>
    <s v="Yes"/>
    <n v="1"/>
    <x v="2"/>
    <s v="Pacific"/>
    <n v="45"/>
    <x v="0"/>
    <x v="0"/>
  </r>
  <r>
    <n v="18491"/>
    <x v="1"/>
    <x v="0"/>
    <n v="70000"/>
    <n v="2"/>
    <s v="High School"/>
    <s v="Professional"/>
    <s v="Yes"/>
    <n v="2"/>
    <x v="2"/>
    <s v="Pacific"/>
    <n v="49"/>
    <x v="0"/>
    <x v="1"/>
  </r>
  <r>
    <n v="22707"/>
    <x v="1"/>
    <x v="0"/>
    <n v="30000"/>
    <n v="0"/>
    <s v="Partial College"/>
    <s v="Clerical"/>
    <s v="No"/>
    <n v="1"/>
    <x v="1"/>
    <s v="Europe"/>
    <n v="30"/>
    <x v="2"/>
    <x v="0"/>
  </r>
  <r>
    <n v="20430"/>
    <x v="0"/>
    <x v="1"/>
    <n v="70000"/>
    <n v="2"/>
    <s v="Partial College"/>
    <s v="Skilled Manual"/>
    <s v="Yes"/>
    <n v="2"/>
    <x v="2"/>
    <s v="Pacific"/>
    <n v="52"/>
    <x v="0"/>
    <x v="1"/>
  </r>
  <r>
    <n v="27494"/>
    <x v="1"/>
    <x v="0"/>
    <n v="40000"/>
    <n v="2"/>
    <s v="Partial College"/>
    <s v="Skilled Manual"/>
    <s v="No"/>
    <n v="2"/>
    <x v="3"/>
    <s v="Pacific"/>
    <n v="53"/>
    <x v="0"/>
    <x v="1"/>
  </r>
  <r>
    <n v="26829"/>
    <x v="0"/>
    <x v="0"/>
    <n v="40000"/>
    <n v="0"/>
    <s v="Bachelors"/>
    <s v="Clerical"/>
    <s v="Yes"/>
    <n v="0"/>
    <x v="0"/>
    <s v="Europe"/>
    <n v="38"/>
    <x v="0"/>
    <x v="1"/>
  </r>
  <r>
    <n v="28395"/>
    <x v="1"/>
    <x v="1"/>
    <n v="40000"/>
    <n v="0"/>
    <s v="Bachelors"/>
    <s v="Professional"/>
    <s v="No"/>
    <n v="0"/>
    <x v="0"/>
    <s v="Europe"/>
    <n v="39"/>
    <x v="0"/>
    <x v="1"/>
  </r>
  <r>
    <n v="21006"/>
    <x v="1"/>
    <x v="0"/>
    <n v="30000"/>
    <n v="1"/>
    <s v="Partial College"/>
    <s v="Manual"/>
    <s v="No"/>
    <n v="0"/>
    <x v="0"/>
    <s v="Europe"/>
    <n v="46"/>
    <x v="0"/>
    <x v="1"/>
  </r>
  <r>
    <n v="14682"/>
    <x v="1"/>
    <x v="0"/>
    <n v="70000"/>
    <n v="0"/>
    <s v="Bachelors"/>
    <s v="Professional"/>
    <s v="No"/>
    <n v="1"/>
    <x v="2"/>
    <s v="Pacific"/>
    <n v="38"/>
    <x v="0"/>
    <x v="0"/>
  </r>
  <r>
    <n v="17650"/>
    <x v="1"/>
    <x v="0"/>
    <n v="40000"/>
    <n v="2"/>
    <s v="Partial College"/>
    <s v="Clerical"/>
    <s v="Yes"/>
    <n v="2"/>
    <x v="3"/>
    <s v="Europe"/>
    <n v="35"/>
    <x v="0"/>
    <x v="0"/>
  </r>
  <r>
    <n v="29191"/>
    <x v="1"/>
    <x v="0"/>
    <n v="130000"/>
    <n v="1"/>
    <s v="Graduate Degree"/>
    <s v="Management"/>
    <s v="No"/>
    <n v="1"/>
    <x v="0"/>
    <s v="Pacific"/>
    <n v="36"/>
    <x v="0"/>
    <x v="1"/>
  </r>
  <r>
    <n v="15030"/>
    <x v="0"/>
    <x v="1"/>
    <n v="20000"/>
    <n v="0"/>
    <s v="Bachelors"/>
    <s v="Clerical"/>
    <s v="Yes"/>
    <n v="0"/>
    <x v="0"/>
    <s v="Pacific"/>
    <n v="26"/>
    <x v="2"/>
    <x v="1"/>
  </r>
  <r>
    <n v="24140"/>
    <x v="1"/>
    <x v="1"/>
    <n v="10000"/>
    <n v="0"/>
    <s v="Graduate Degree"/>
    <s v="Manual"/>
    <s v="No"/>
    <n v="0"/>
    <x v="0"/>
    <s v="Europe"/>
    <n v="30"/>
    <x v="2"/>
    <x v="1"/>
  </r>
  <r>
    <n v="22496"/>
    <x v="0"/>
    <x v="0"/>
    <n v="30000"/>
    <n v="1"/>
    <s v="Bachelors"/>
    <s v="Skilled Manual"/>
    <s v="Yes"/>
    <n v="2"/>
    <x v="0"/>
    <s v="Europe"/>
    <n v="42"/>
    <x v="0"/>
    <x v="0"/>
  </r>
  <r>
    <n v="24065"/>
    <x v="1"/>
    <x v="0"/>
    <n v="20000"/>
    <n v="0"/>
    <s v="High School"/>
    <s v="Manual"/>
    <s v="Yes"/>
    <n v="0"/>
    <x v="0"/>
    <s v="Europe"/>
    <n v="40"/>
    <x v="0"/>
    <x v="1"/>
  </r>
  <r>
    <n v="19914"/>
    <x v="0"/>
    <x v="1"/>
    <n v="80000"/>
    <n v="5"/>
    <s v="Bachelors"/>
    <s v="Management"/>
    <s v="Yes"/>
    <n v="2"/>
    <x v="1"/>
    <s v="Europe"/>
    <n v="62"/>
    <x v="1"/>
    <x v="0"/>
  </r>
  <r>
    <n v="12871"/>
    <x v="1"/>
    <x v="0"/>
    <n v="30000"/>
    <n v="0"/>
    <s v="Partial College"/>
    <s v="Clerical"/>
    <s v="No"/>
    <n v="1"/>
    <x v="1"/>
    <s v="Europe"/>
    <n v="29"/>
    <x v="2"/>
    <x v="0"/>
  </r>
  <r>
    <n v="22988"/>
    <x v="0"/>
    <x v="0"/>
    <n v="40000"/>
    <n v="2"/>
    <s v="Bachelors"/>
    <s v="Management"/>
    <s v="Yes"/>
    <n v="2"/>
    <x v="2"/>
    <s v="Pacific"/>
    <n v="66"/>
    <x v="1"/>
    <x v="1"/>
  </r>
  <r>
    <n v="15922"/>
    <x v="0"/>
    <x v="1"/>
    <n v="150000"/>
    <n v="2"/>
    <s v="High School"/>
    <s v="Professional"/>
    <s v="Yes"/>
    <n v="4"/>
    <x v="0"/>
    <s v="Europe"/>
    <n v="48"/>
    <x v="0"/>
    <x v="0"/>
  </r>
  <r>
    <n v="12344"/>
    <x v="1"/>
    <x v="0"/>
    <n v="80000"/>
    <n v="0"/>
    <s v="Bachelors"/>
    <s v="Professional"/>
    <s v="No"/>
    <n v="3"/>
    <x v="4"/>
    <s v="Pacific"/>
    <n v="31"/>
    <x v="0"/>
    <x v="0"/>
  </r>
  <r>
    <n v="23627"/>
    <x v="1"/>
    <x v="0"/>
    <n v="100000"/>
    <n v="3"/>
    <s v="Partial College"/>
    <s v="Management"/>
    <s v="No"/>
    <n v="4"/>
    <x v="2"/>
    <s v="Europe"/>
    <n v="56"/>
    <x v="1"/>
    <x v="0"/>
  </r>
  <r>
    <n v="27775"/>
    <x v="1"/>
    <x v="0"/>
    <n v="40000"/>
    <n v="0"/>
    <s v="Bachelors"/>
    <s v="Clerical"/>
    <s v="No"/>
    <n v="0"/>
    <x v="0"/>
    <s v="Europe"/>
    <n v="38"/>
    <x v="0"/>
    <x v="1"/>
  </r>
  <r>
    <n v="29301"/>
    <x v="0"/>
    <x v="1"/>
    <n v="80000"/>
    <n v="5"/>
    <s v="Bachelors"/>
    <s v="Professional"/>
    <s v="Yes"/>
    <n v="4"/>
    <x v="3"/>
    <s v="Pacific"/>
    <n v="40"/>
    <x v="0"/>
    <x v="0"/>
  </r>
  <r>
    <n v="12716"/>
    <x v="1"/>
    <x v="1"/>
    <n v="30000"/>
    <n v="0"/>
    <s v="Partial College"/>
    <s v="Clerical"/>
    <s v="Yes"/>
    <n v="1"/>
    <x v="1"/>
    <s v="Europe"/>
    <n v="32"/>
    <x v="0"/>
    <x v="0"/>
  </r>
  <r>
    <n v="12472"/>
    <x v="0"/>
    <x v="1"/>
    <n v="30000"/>
    <n v="1"/>
    <s v="Bachelors"/>
    <s v="Clerical"/>
    <s v="Yes"/>
    <n v="1"/>
    <x v="1"/>
    <s v="Europe"/>
    <n v="39"/>
    <x v="0"/>
    <x v="0"/>
  </r>
  <r>
    <n v="20970"/>
    <x v="1"/>
    <x v="1"/>
    <n v="10000"/>
    <n v="2"/>
    <s v="Partial College"/>
    <s v="Manual"/>
    <s v="Yes"/>
    <n v="1"/>
    <x v="0"/>
    <s v="Europe"/>
    <n v="52"/>
    <x v="0"/>
    <x v="1"/>
  </r>
  <r>
    <n v="26818"/>
    <x v="1"/>
    <x v="1"/>
    <n v="10000"/>
    <n v="3"/>
    <s v="High School"/>
    <s v="Manual"/>
    <s v="Yes"/>
    <n v="1"/>
    <x v="0"/>
    <s v="Europe"/>
    <n v="39"/>
    <x v="0"/>
    <x v="1"/>
  </r>
  <r>
    <n v="12993"/>
    <x v="0"/>
    <x v="1"/>
    <n v="60000"/>
    <n v="2"/>
    <s v="Bachelors"/>
    <s v="Professional"/>
    <s v="Yes"/>
    <n v="1"/>
    <x v="1"/>
    <s v="Pacific"/>
    <n v="37"/>
    <x v="0"/>
    <x v="0"/>
  </r>
  <r>
    <n v="14192"/>
    <x v="0"/>
    <x v="1"/>
    <n v="90000"/>
    <n v="4"/>
    <s v="High School"/>
    <s v="Management"/>
    <s v="Yes"/>
    <n v="3"/>
    <x v="2"/>
    <s v="Europe"/>
    <n v="56"/>
    <x v="1"/>
    <x v="1"/>
  </r>
  <r>
    <n v="19477"/>
    <x v="0"/>
    <x v="1"/>
    <n v="40000"/>
    <n v="0"/>
    <s v="Bachelors"/>
    <s v="Professional"/>
    <s v="Yes"/>
    <n v="0"/>
    <x v="0"/>
    <s v="Europe"/>
    <n v="40"/>
    <x v="0"/>
    <x v="1"/>
  </r>
  <r>
    <n v="26796"/>
    <x v="1"/>
    <x v="1"/>
    <n v="40000"/>
    <n v="2"/>
    <s v="Bachelors"/>
    <s v="Management"/>
    <s v="Yes"/>
    <n v="2"/>
    <x v="2"/>
    <s v="Pacific"/>
    <n v="65"/>
    <x v="1"/>
    <x v="1"/>
  </r>
  <r>
    <n v="21094"/>
    <x v="1"/>
    <x v="0"/>
    <n v="30000"/>
    <n v="2"/>
    <s v="Partial College"/>
    <s v="Clerical"/>
    <s v="Yes"/>
    <n v="2"/>
    <x v="0"/>
    <s v="Europe"/>
    <n v="42"/>
    <x v="0"/>
    <x v="0"/>
  </r>
  <r>
    <n v="12234"/>
    <x v="0"/>
    <x v="1"/>
    <n v="10000"/>
    <n v="2"/>
    <s v="Partial College"/>
    <s v="Manual"/>
    <s v="Yes"/>
    <n v="1"/>
    <x v="1"/>
    <s v="Europe"/>
    <n v="52"/>
    <x v="0"/>
    <x v="0"/>
  </r>
  <r>
    <n v="28683"/>
    <x v="1"/>
    <x v="0"/>
    <n v="10000"/>
    <n v="1"/>
    <s v="High School"/>
    <s v="Manual"/>
    <s v="No"/>
    <n v="1"/>
    <x v="2"/>
    <s v="Europe"/>
    <n v="35"/>
    <x v="0"/>
    <x v="1"/>
  </r>
  <r>
    <n v="17994"/>
    <x v="1"/>
    <x v="1"/>
    <n v="20000"/>
    <n v="2"/>
    <s v="High School"/>
    <s v="Manual"/>
    <s v="Yes"/>
    <n v="2"/>
    <x v="0"/>
    <s v="Europe"/>
    <n v="42"/>
    <x v="0"/>
    <x v="0"/>
  </r>
  <r>
    <n v="24273"/>
    <x v="0"/>
    <x v="0"/>
    <n v="20000"/>
    <n v="2"/>
    <s v="Partial High School"/>
    <s v="Clerical"/>
    <s v="Yes"/>
    <n v="2"/>
    <x v="2"/>
    <s v="Pacific"/>
    <n v="55"/>
    <x v="1"/>
    <x v="1"/>
  </r>
  <r>
    <n v="26547"/>
    <x v="1"/>
    <x v="0"/>
    <n v="30000"/>
    <n v="2"/>
    <s v="Partial College"/>
    <s v="Clerical"/>
    <s v="No"/>
    <n v="2"/>
    <x v="2"/>
    <s v="Pacific"/>
    <n v="60"/>
    <x v="1"/>
    <x v="1"/>
  </r>
  <r>
    <n v="22500"/>
    <x v="1"/>
    <x v="1"/>
    <n v="40000"/>
    <n v="0"/>
    <s v="Bachelors"/>
    <s v="Professional"/>
    <s v="No"/>
    <n v="0"/>
    <x v="0"/>
    <s v="Europe"/>
    <n v="40"/>
    <x v="0"/>
    <x v="1"/>
  </r>
  <r>
    <n v="23993"/>
    <x v="1"/>
    <x v="0"/>
    <n v="10000"/>
    <n v="0"/>
    <s v="Partial College"/>
    <s v="Manual"/>
    <s v="No"/>
    <n v="1"/>
    <x v="0"/>
    <s v="Pacific"/>
    <n v="26"/>
    <x v="2"/>
    <x v="1"/>
  </r>
  <r>
    <n v="14832"/>
    <x v="0"/>
    <x v="1"/>
    <n v="40000"/>
    <n v="1"/>
    <s v="Bachelors"/>
    <s v="Skilled Manual"/>
    <s v="Yes"/>
    <n v="0"/>
    <x v="0"/>
    <s v="Europe"/>
    <n v="42"/>
    <x v="0"/>
    <x v="1"/>
  </r>
  <r>
    <n v="16614"/>
    <x v="0"/>
    <x v="0"/>
    <n v="80000"/>
    <n v="0"/>
    <s v="Bachelors"/>
    <s v="Professional"/>
    <s v="Yes"/>
    <n v="3"/>
    <x v="4"/>
    <s v="Pacific"/>
    <n v="32"/>
    <x v="0"/>
    <x v="0"/>
  </r>
  <r>
    <n v="20877"/>
    <x v="1"/>
    <x v="1"/>
    <n v="30000"/>
    <n v="1"/>
    <s v="Bachelors"/>
    <s v="Clerical"/>
    <s v="Yes"/>
    <n v="0"/>
    <x v="3"/>
    <s v="Europe"/>
    <n v="37"/>
    <x v="0"/>
    <x v="1"/>
  </r>
  <r>
    <n v="20729"/>
    <x v="0"/>
    <x v="0"/>
    <n v="40000"/>
    <n v="2"/>
    <s v="Partial College"/>
    <s v="Clerical"/>
    <s v="No"/>
    <n v="1"/>
    <x v="0"/>
    <s v="Europe"/>
    <n v="34"/>
    <x v="0"/>
    <x v="0"/>
  </r>
  <r>
    <n v="22464"/>
    <x v="0"/>
    <x v="1"/>
    <n v="40000"/>
    <n v="0"/>
    <s v="Graduate Degree"/>
    <s v="Clerical"/>
    <s v="Yes"/>
    <n v="0"/>
    <x v="0"/>
    <s v="Europe"/>
    <n v="37"/>
    <x v="0"/>
    <x v="1"/>
  </r>
  <r>
    <n v="19475"/>
    <x v="0"/>
    <x v="0"/>
    <n v="40000"/>
    <n v="0"/>
    <s v="Bachelors"/>
    <s v="Professional"/>
    <s v="No"/>
    <n v="0"/>
    <x v="0"/>
    <s v="Europe"/>
    <n v="40"/>
    <x v="0"/>
    <x v="1"/>
  </r>
  <r>
    <n v="19675"/>
    <x v="0"/>
    <x v="1"/>
    <n v="20000"/>
    <n v="4"/>
    <s v="High School"/>
    <s v="Skilled Manual"/>
    <s v="Yes"/>
    <n v="2"/>
    <x v="2"/>
    <s v="Pacific"/>
    <n v="60"/>
    <x v="1"/>
    <x v="0"/>
  </r>
  <r>
    <n v="12728"/>
    <x v="1"/>
    <x v="1"/>
    <n v="30000"/>
    <n v="0"/>
    <s v="Partial College"/>
    <s v="Clerical"/>
    <s v="No"/>
    <n v="1"/>
    <x v="3"/>
    <s v="Europe"/>
    <n v="27"/>
    <x v="2"/>
    <x v="0"/>
  </r>
  <r>
    <n v="26154"/>
    <x v="0"/>
    <x v="1"/>
    <n v="60000"/>
    <n v="1"/>
    <s v="Partial College"/>
    <s v="Skilled Manual"/>
    <s v="Yes"/>
    <n v="1"/>
    <x v="2"/>
    <s v="Pacific"/>
    <n v="43"/>
    <x v="0"/>
    <x v="1"/>
  </r>
  <r>
    <n v="29117"/>
    <x v="1"/>
    <x v="1"/>
    <n v="100000"/>
    <n v="1"/>
    <s v="Bachelors"/>
    <s v="Management"/>
    <s v="No"/>
    <n v="3"/>
    <x v="0"/>
    <s v="Pacific"/>
    <n v="48"/>
    <x v="0"/>
    <x v="0"/>
  </r>
  <r>
    <n v="17845"/>
    <x v="1"/>
    <x v="0"/>
    <n v="20000"/>
    <n v="0"/>
    <s v="Partial High School"/>
    <s v="Manual"/>
    <s v="No"/>
    <n v="2"/>
    <x v="3"/>
    <s v="Europe"/>
    <n v="32"/>
    <x v="0"/>
    <x v="0"/>
  </r>
  <r>
    <n v="25058"/>
    <x v="0"/>
    <x v="1"/>
    <n v="100000"/>
    <n v="1"/>
    <s v="Bachelors"/>
    <s v="Management"/>
    <s v="Yes"/>
    <n v="3"/>
    <x v="1"/>
    <s v="Pacific"/>
    <n v="47"/>
    <x v="0"/>
    <x v="0"/>
  </r>
  <r>
    <n v="23426"/>
    <x v="1"/>
    <x v="1"/>
    <n v="80000"/>
    <n v="5"/>
    <s v="Graduate Degree"/>
    <s v="Management"/>
    <s v="Yes"/>
    <n v="3"/>
    <x v="0"/>
    <s v="Pacific"/>
    <n v="40"/>
    <x v="0"/>
    <x v="0"/>
  </r>
  <r>
    <n v="14798"/>
    <x v="1"/>
    <x v="0"/>
    <n v="10000"/>
    <n v="4"/>
    <s v="Partial High School"/>
    <s v="Manual"/>
    <s v="Yes"/>
    <n v="2"/>
    <x v="0"/>
    <s v="Europe"/>
    <n v="41"/>
    <x v="0"/>
    <x v="1"/>
  </r>
  <r>
    <n v="12664"/>
    <x v="0"/>
    <x v="0"/>
    <n v="130000"/>
    <n v="5"/>
    <s v="Partial College"/>
    <s v="Professional"/>
    <s v="Yes"/>
    <n v="4"/>
    <x v="0"/>
    <s v="Europe"/>
    <n v="59"/>
    <x v="1"/>
    <x v="0"/>
  </r>
  <r>
    <n v="23979"/>
    <x v="1"/>
    <x v="1"/>
    <n v="10000"/>
    <n v="2"/>
    <s v="Partial College"/>
    <s v="Manual"/>
    <s v="No"/>
    <n v="0"/>
    <x v="0"/>
    <s v="Europe"/>
    <n v="50"/>
    <x v="0"/>
    <x v="0"/>
  </r>
  <r>
    <n v="25605"/>
    <x v="1"/>
    <x v="0"/>
    <n v="20000"/>
    <n v="2"/>
    <s v="Partial College"/>
    <s v="Manual"/>
    <s v="No"/>
    <n v="1"/>
    <x v="0"/>
    <s v="Europe"/>
    <n v="54"/>
    <x v="0"/>
    <x v="1"/>
  </r>
  <r>
    <n v="20797"/>
    <x v="0"/>
    <x v="0"/>
    <n v="10000"/>
    <n v="1"/>
    <s v="Bachelors"/>
    <s v="Manual"/>
    <s v="Yes"/>
    <n v="0"/>
    <x v="0"/>
    <s v="Europe"/>
    <n v="48"/>
    <x v="0"/>
    <x v="0"/>
  </r>
  <r>
    <n v="21980"/>
    <x v="1"/>
    <x v="0"/>
    <n v="60000"/>
    <n v="1"/>
    <s v="Bachelors"/>
    <s v="Professional"/>
    <s v="Yes"/>
    <n v="1"/>
    <x v="2"/>
    <s v="Pacific"/>
    <n v="44"/>
    <x v="0"/>
    <x v="1"/>
  </r>
  <r>
    <n v="25460"/>
    <x v="0"/>
    <x v="0"/>
    <n v="20000"/>
    <n v="2"/>
    <s v="High School"/>
    <s v="Manual"/>
    <s v="Yes"/>
    <n v="0"/>
    <x v="0"/>
    <s v="Europe"/>
    <n v="40"/>
    <x v="0"/>
    <x v="1"/>
  </r>
  <r>
    <n v="29181"/>
    <x v="1"/>
    <x v="0"/>
    <n v="60000"/>
    <n v="2"/>
    <s v="Bachelors"/>
    <s v="Professional"/>
    <s v="No"/>
    <n v="1"/>
    <x v="0"/>
    <s v="Pacific"/>
    <n v="38"/>
    <x v="0"/>
    <x v="1"/>
  </r>
  <r>
    <n v="24279"/>
    <x v="1"/>
    <x v="1"/>
    <n v="40000"/>
    <n v="2"/>
    <s v="Partial College"/>
    <s v="Skilled Manual"/>
    <s v="No"/>
    <n v="2"/>
    <x v="3"/>
    <s v="Pacific"/>
    <n v="52"/>
    <x v="0"/>
    <x v="0"/>
  </r>
  <r>
    <n v="22402"/>
    <x v="0"/>
    <x v="1"/>
    <n v="10000"/>
    <n v="0"/>
    <s v="Partial College"/>
    <s v="Manual"/>
    <s v="Yes"/>
    <n v="1"/>
    <x v="1"/>
    <s v="Pacific"/>
    <n v="25"/>
    <x v="2"/>
    <x v="1"/>
  </r>
  <r>
    <n v="15465"/>
    <x v="0"/>
    <x v="0"/>
    <n v="10000"/>
    <n v="0"/>
    <s v="Partial College"/>
    <s v="Manual"/>
    <s v="No"/>
    <n v="1"/>
    <x v="0"/>
    <s v="Pacific"/>
    <n v="25"/>
    <x v="2"/>
    <x v="0"/>
  </r>
  <r>
    <n v="26757"/>
    <x v="1"/>
    <x v="1"/>
    <n v="90000"/>
    <n v="1"/>
    <s v="Bachelors"/>
    <s v="Professional"/>
    <s v="Yes"/>
    <n v="1"/>
    <x v="1"/>
    <s v="Pacific"/>
    <n v="47"/>
    <x v="0"/>
    <x v="1"/>
  </r>
  <r>
    <n v="14233"/>
    <x v="1"/>
    <x v="1"/>
    <n v="100000"/>
    <n v="0"/>
    <s v="High School"/>
    <s v="Management"/>
    <s v="Yes"/>
    <n v="3"/>
    <x v="4"/>
    <s v="Pacific"/>
    <n v="35"/>
    <x v="0"/>
    <x v="0"/>
  </r>
  <r>
    <n v="14058"/>
    <x v="1"/>
    <x v="1"/>
    <n v="70000"/>
    <n v="0"/>
    <s v="Bachelors"/>
    <s v="Professional"/>
    <s v="No"/>
    <n v="1"/>
    <x v="2"/>
    <s v="Pacific"/>
    <n v="41"/>
    <x v="0"/>
    <x v="1"/>
  </r>
  <r>
    <n v="12273"/>
    <x v="0"/>
    <x v="1"/>
    <n v="30000"/>
    <n v="1"/>
    <s v="Bachelors"/>
    <s v="Clerical"/>
    <s v="Yes"/>
    <n v="0"/>
    <x v="0"/>
    <s v="Europe"/>
    <n v="47"/>
    <x v="0"/>
    <x v="0"/>
  </r>
  <r>
    <n v="17203"/>
    <x v="0"/>
    <x v="0"/>
    <n v="130000"/>
    <n v="4"/>
    <s v="Partial College"/>
    <s v="Professional"/>
    <s v="Yes"/>
    <n v="4"/>
    <x v="2"/>
    <s v="Europe"/>
    <n v="61"/>
    <x v="1"/>
    <x v="1"/>
  </r>
  <r>
    <n v="18144"/>
    <x v="0"/>
    <x v="0"/>
    <n v="80000"/>
    <n v="5"/>
    <s v="Bachelors"/>
    <s v="Management"/>
    <s v="Yes"/>
    <n v="2"/>
    <x v="1"/>
    <s v="Europe"/>
    <n v="61"/>
    <x v="1"/>
    <x v="0"/>
  </r>
  <r>
    <n v="23963"/>
    <x v="0"/>
    <x v="1"/>
    <n v="10000"/>
    <n v="0"/>
    <s v="Partial High School"/>
    <s v="Manual"/>
    <s v="No"/>
    <n v="2"/>
    <x v="0"/>
    <s v="Europe"/>
    <n v="33"/>
    <x v="0"/>
    <x v="0"/>
  </r>
  <r>
    <n v="17907"/>
    <x v="0"/>
    <x v="0"/>
    <n v="10000"/>
    <n v="0"/>
    <s v="Partial College"/>
    <s v="Manual"/>
    <s v="Yes"/>
    <n v="1"/>
    <x v="1"/>
    <s v="Pacific"/>
    <n v="27"/>
    <x v="2"/>
    <x v="0"/>
  </r>
  <r>
    <n v="19442"/>
    <x v="1"/>
    <x v="1"/>
    <n v="50000"/>
    <n v="0"/>
    <s v="Graduate Degree"/>
    <s v="Skilled Manual"/>
    <s v="Yes"/>
    <n v="0"/>
    <x v="0"/>
    <s v="Europe"/>
    <n v="37"/>
    <x v="0"/>
    <x v="1"/>
  </r>
  <r>
    <n v="17504"/>
    <x v="1"/>
    <x v="0"/>
    <n v="80000"/>
    <n v="2"/>
    <s v="Partial College"/>
    <s v="Skilled Manual"/>
    <s v="Yes"/>
    <n v="2"/>
    <x v="2"/>
    <s v="Pacific"/>
    <n v="52"/>
    <x v="0"/>
    <x v="1"/>
  </r>
  <r>
    <n v="12253"/>
    <x v="1"/>
    <x v="0"/>
    <n v="20000"/>
    <n v="0"/>
    <s v="Partial College"/>
    <s v="Manual"/>
    <s v="Yes"/>
    <n v="0"/>
    <x v="0"/>
    <s v="Pacific"/>
    <n v="29"/>
    <x v="2"/>
    <x v="1"/>
  </r>
  <r>
    <n v="27304"/>
    <x v="1"/>
    <x v="0"/>
    <n v="110000"/>
    <n v="2"/>
    <s v="Partial College"/>
    <s v="Professional"/>
    <s v="No"/>
    <n v="3"/>
    <x v="2"/>
    <s v="Europe"/>
    <n v="48"/>
    <x v="0"/>
    <x v="0"/>
  </r>
  <r>
    <n v="14191"/>
    <x v="0"/>
    <x v="1"/>
    <n v="160000"/>
    <n v="4"/>
    <s v="Partial College"/>
    <s v="Professional"/>
    <s v="No"/>
    <n v="2"/>
    <x v="4"/>
    <s v="Europe"/>
    <n v="55"/>
    <x v="1"/>
    <x v="1"/>
  </r>
  <r>
    <n v="12212"/>
    <x v="0"/>
    <x v="0"/>
    <n v="10000"/>
    <n v="0"/>
    <s v="Graduate Degree"/>
    <s v="Manual"/>
    <s v="Yes"/>
    <n v="0"/>
    <x v="0"/>
    <s v="Europe"/>
    <n v="37"/>
    <x v="0"/>
    <x v="1"/>
  </r>
  <r>
    <n v="25529"/>
    <x v="1"/>
    <x v="1"/>
    <n v="10000"/>
    <n v="1"/>
    <s v="Graduate Degree"/>
    <s v="Manual"/>
    <s v="Yes"/>
    <n v="0"/>
    <x v="0"/>
    <s v="Europe"/>
    <n v="44"/>
    <x v="0"/>
    <x v="0"/>
  </r>
  <r>
    <n v="22170"/>
    <x v="0"/>
    <x v="0"/>
    <n v="30000"/>
    <n v="3"/>
    <s v="Partial College"/>
    <s v="Clerical"/>
    <s v="No"/>
    <n v="2"/>
    <x v="3"/>
    <s v="Pacific"/>
    <n v="55"/>
    <x v="1"/>
    <x v="1"/>
  </r>
  <r>
    <n v="19445"/>
    <x v="0"/>
    <x v="0"/>
    <n v="10000"/>
    <n v="2"/>
    <s v="High School"/>
    <s v="Manual"/>
    <s v="No"/>
    <n v="1"/>
    <x v="0"/>
    <s v="Europe"/>
    <n v="38"/>
    <x v="0"/>
    <x v="0"/>
  </r>
  <r>
    <n v="15265"/>
    <x v="1"/>
    <x v="1"/>
    <n v="40000"/>
    <n v="2"/>
    <s v="Bachelors"/>
    <s v="Management"/>
    <s v="Yes"/>
    <n v="2"/>
    <x v="2"/>
    <s v="Pacific"/>
    <n v="66"/>
    <x v="1"/>
    <x v="1"/>
  </r>
  <r>
    <n v="28918"/>
    <x v="0"/>
    <x v="0"/>
    <n v="130000"/>
    <n v="4"/>
    <s v="High School"/>
    <s v="Management"/>
    <s v="No"/>
    <n v="4"/>
    <x v="4"/>
    <s v="Europe"/>
    <n v="58"/>
    <x v="1"/>
    <x v="0"/>
  </r>
  <r>
    <n v="15799"/>
    <x v="0"/>
    <x v="0"/>
    <n v="90000"/>
    <n v="1"/>
    <s v="Bachelors"/>
    <s v="Professional"/>
    <s v="Yes"/>
    <n v="1"/>
    <x v="1"/>
    <s v="Pacific"/>
    <n v="47"/>
    <x v="0"/>
    <x v="1"/>
  </r>
  <r>
    <n v="11047"/>
    <x v="0"/>
    <x v="0"/>
    <n v="30000"/>
    <n v="3"/>
    <s v="High School"/>
    <s v="Skilled Manual"/>
    <s v="No"/>
    <n v="2"/>
    <x v="3"/>
    <s v="Pacific"/>
    <n v="56"/>
    <x v="1"/>
    <x v="1"/>
  </r>
  <r>
    <n v="18151"/>
    <x v="1"/>
    <x v="1"/>
    <n v="80000"/>
    <n v="5"/>
    <s v="Partial College"/>
    <s v="Professional"/>
    <s v="No"/>
    <n v="2"/>
    <x v="4"/>
    <s v="Europe"/>
    <n v="59"/>
    <x v="1"/>
    <x v="0"/>
  </r>
  <r>
    <n v="20606"/>
    <x v="0"/>
    <x v="0"/>
    <n v="70000"/>
    <n v="0"/>
    <s v="Bachelors"/>
    <s v="Professional"/>
    <s v="Yes"/>
    <n v="4"/>
    <x v="4"/>
    <s v="Pacific"/>
    <n v="32"/>
    <x v="0"/>
    <x v="1"/>
  </r>
  <r>
    <n v="19482"/>
    <x v="0"/>
    <x v="1"/>
    <n v="30000"/>
    <n v="1"/>
    <s v="Partial College"/>
    <s v="Clerical"/>
    <s v="Yes"/>
    <n v="1"/>
    <x v="0"/>
    <s v="Europe"/>
    <n v="44"/>
    <x v="0"/>
    <x v="1"/>
  </r>
  <r>
    <n v="16489"/>
    <x v="0"/>
    <x v="1"/>
    <n v="30000"/>
    <n v="3"/>
    <s v="High School"/>
    <s v="Skilled Manual"/>
    <s v="Yes"/>
    <n v="2"/>
    <x v="2"/>
    <s v="Pacific"/>
    <n v="55"/>
    <x v="1"/>
    <x v="0"/>
  </r>
  <r>
    <n v="26944"/>
    <x v="1"/>
    <x v="1"/>
    <n v="90000"/>
    <n v="2"/>
    <s v="High School"/>
    <s v="Manual"/>
    <s v="Yes"/>
    <n v="0"/>
    <x v="0"/>
    <s v="Europe"/>
    <n v="36"/>
    <x v="0"/>
    <x v="1"/>
  </r>
  <r>
    <n v="15682"/>
    <x v="1"/>
    <x v="0"/>
    <n v="80000"/>
    <n v="5"/>
    <s v="Bachelors"/>
    <s v="Management"/>
    <s v="Yes"/>
    <n v="2"/>
    <x v="4"/>
    <s v="Europe"/>
    <n v="62"/>
    <x v="1"/>
    <x v="0"/>
  </r>
  <r>
    <n v="26032"/>
    <x v="0"/>
    <x v="0"/>
    <n v="70000"/>
    <n v="5"/>
    <s v="Bachelors"/>
    <s v="Professional"/>
    <s v="Yes"/>
    <n v="4"/>
    <x v="4"/>
    <s v="Pacific"/>
    <n v="41"/>
    <x v="0"/>
    <x v="0"/>
  </r>
  <r>
    <n v="17843"/>
    <x v="1"/>
    <x v="0"/>
    <n v="10000"/>
    <n v="0"/>
    <s v="Partial High School"/>
    <s v="Manual"/>
    <s v="No"/>
    <n v="2"/>
    <x v="0"/>
    <s v="Europe"/>
    <n v="32"/>
    <x v="0"/>
    <x v="0"/>
  </r>
  <r>
    <n v="25559"/>
    <x v="1"/>
    <x v="1"/>
    <n v="20000"/>
    <n v="0"/>
    <s v="Bachelors"/>
    <s v="Clerical"/>
    <s v="Yes"/>
    <n v="0"/>
    <x v="0"/>
    <s v="Pacific"/>
    <n v="25"/>
    <x v="2"/>
    <x v="1"/>
  </r>
  <r>
    <n v="16209"/>
    <x v="1"/>
    <x v="0"/>
    <n v="50000"/>
    <n v="0"/>
    <s v="Graduate Degree"/>
    <s v="Skilled Manual"/>
    <s v="Yes"/>
    <n v="0"/>
    <x v="3"/>
    <s v="Europe"/>
    <n v="36"/>
    <x v="0"/>
    <x v="0"/>
  </r>
  <r>
    <n v="11147"/>
    <x v="0"/>
    <x v="1"/>
    <n v="60000"/>
    <n v="2"/>
    <s v="Graduate Degree"/>
    <s v="Management"/>
    <s v="Yes"/>
    <n v="1"/>
    <x v="0"/>
    <s v="Pacific"/>
    <n v="67"/>
    <x v="1"/>
    <x v="1"/>
  </r>
  <r>
    <n v="15214"/>
    <x v="1"/>
    <x v="0"/>
    <n v="100000"/>
    <n v="0"/>
    <s v="Graduate Degree"/>
    <s v="Management"/>
    <s v="No"/>
    <n v="1"/>
    <x v="3"/>
    <s v="Pacific"/>
    <n v="39"/>
    <x v="0"/>
    <x v="1"/>
  </r>
  <r>
    <n v="11453"/>
    <x v="1"/>
    <x v="1"/>
    <n v="80000"/>
    <n v="0"/>
    <s v="Bachelors"/>
    <s v="Professional"/>
    <s v="No"/>
    <n v="3"/>
    <x v="4"/>
    <s v="Pacific"/>
    <n v="33"/>
    <x v="0"/>
    <x v="1"/>
  </r>
  <r>
    <n v="24584"/>
    <x v="1"/>
    <x v="1"/>
    <n v="60000"/>
    <n v="0"/>
    <s v="Bachelors"/>
    <s v="Professional"/>
    <s v="No"/>
    <n v="3"/>
    <x v="1"/>
    <s v="Pacific"/>
    <n v="31"/>
    <x v="0"/>
    <x v="0"/>
  </r>
  <r>
    <n v="12585"/>
    <x v="0"/>
    <x v="1"/>
    <n v="10000"/>
    <n v="1"/>
    <s v="High School"/>
    <s v="Manual"/>
    <s v="Yes"/>
    <n v="0"/>
    <x v="1"/>
    <s v="Pacific"/>
    <n v="27"/>
    <x v="2"/>
    <x v="1"/>
  </r>
  <r>
    <n v="18626"/>
    <x v="1"/>
    <x v="1"/>
    <n v="40000"/>
    <n v="2"/>
    <s v="Partial College"/>
    <s v="Clerical"/>
    <s v="Yes"/>
    <n v="0"/>
    <x v="3"/>
    <s v="Europe"/>
    <n v="33"/>
    <x v="0"/>
    <x v="1"/>
  </r>
  <r>
    <n v="29298"/>
    <x v="1"/>
    <x v="0"/>
    <n v="60000"/>
    <n v="1"/>
    <s v="Partial College"/>
    <s v="Skilled Manual"/>
    <s v="Yes"/>
    <n v="1"/>
    <x v="2"/>
    <s v="Pacific"/>
    <n v="46"/>
    <x v="0"/>
    <x v="1"/>
  </r>
  <r>
    <n v="24842"/>
    <x v="1"/>
    <x v="0"/>
    <n v="90000"/>
    <n v="3"/>
    <s v="High School"/>
    <s v="Professional"/>
    <s v="No"/>
    <n v="1"/>
    <x v="1"/>
    <s v="Europe"/>
    <n v="51"/>
    <x v="0"/>
    <x v="0"/>
  </r>
  <r>
    <n v="15657"/>
    <x v="0"/>
    <x v="1"/>
    <n v="30000"/>
    <n v="3"/>
    <s v="Graduate Degree"/>
    <s v="Clerical"/>
    <s v="Yes"/>
    <n v="0"/>
    <x v="0"/>
    <s v="Europe"/>
    <n v="46"/>
    <x v="0"/>
    <x v="1"/>
  </r>
  <r>
    <n v="11415"/>
    <x v="1"/>
    <x v="1"/>
    <n v="90000"/>
    <n v="5"/>
    <s v="Partial College"/>
    <s v="Professional"/>
    <s v="No"/>
    <n v="2"/>
    <x v="4"/>
    <s v="Europe"/>
    <n v="62"/>
    <x v="1"/>
    <x v="0"/>
  </r>
  <r>
    <n v="28729"/>
    <x v="1"/>
    <x v="0"/>
    <n v="20000"/>
    <n v="0"/>
    <s v="Partial High School"/>
    <s v="Manual"/>
    <s v="Yes"/>
    <n v="2"/>
    <x v="3"/>
    <s v="Europe"/>
    <n v="26"/>
    <x v="2"/>
    <x v="1"/>
  </r>
  <r>
    <n v="22633"/>
    <x v="1"/>
    <x v="0"/>
    <n v="40000"/>
    <n v="0"/>
    <s v="Graduate Degree"/>
    <s v="Clerical"/>
    <s v="Yes"/>
    <n v="0"/>
    <x v="0"/>
    <s v="Europe"/>
    <n v="37"/>
    <x v="0"/>
    <x v="1"/>
  </r>
  <r>
    <n v="25649"/>
    <x v="1"/>
    <x v="0"/>
    <n v="30000"/>
    <n v="3"/>
    <s v="Partial College"/>
    <s v="Clerical"/>
    <s v="Yes"/>
    <n v="0"/>
    <x v="0"/>
    <s v="Europe"/>
    <n v="42"/>
    <x v="0"/>
    <x v="1"/>
  </r>
  <r>
    <n v="14669"/>
    <x v="0"/>
    <x v="0"/>
    <n v="80000"/>
    <n v="4"/>
    <s v="Graduate Degree"/>
    <s v="Management"/>
    <s v="Yes"/>
    <n v="1"/>
    <x v="0"/>
    <s v="Pacific"/>
    <n v="36"/>
    <x v="0"/>
    <x v="0"/>
  </r>
  <r>
    <n v="19299"/>
    <x v="0"/>
    <x v="0"/>
    <n v="50000"/>
    <n v="0"/>
    <s v="Graduate Degree"/>
    <s v="Skilled Manual"/>
    <s v="Yes"/>
    <n v="0"/>
    <x v="0"/>
    <s v="Europe"/>
    <n v="36"/>
    <x v="0"/>
    <x v="1"/>
  </r>
  <r>
    <n v="20946"/>
    <x v="1"/>
    <x v="0"/>
    <n v="30000"/>
    <n v="0"/>
    <s v="Partial College"/>
    <s v="Clerical"/>
    <s v="No"/>
    <n v="1"/>
    <x v="1"/>
    <s v="Europe"/>
    <n v="30"/>
    <x v="2"/>
    <x v="0"/>
  </r>
  <r>
    <n v="11451"/>
    <x v="1"/>
    <x v="1"/>
    <n v="70000"/>
    <n v="0"/>
    <s v="Bachelors"/>
    <s v="Professional"/>
    <s v="No"/>
    <n v="4"/>
    <x v="4"/>
    <s v="Pacific"/>
    <n v="31"/>
    <x v="0"/>
    <x v="1"/>
  </r>
  <r>
    <n v="25553"/>
    <x v="0"/>
    <x v="1"/>
    <n v="30000"/>
    <n v="1"/>
    <s v="Bachelors"/>
    <s v="Clerical"/>
    <s v="Yes"/>
    <n v="0"/>
    <x v="0"/>
    <s v="Europe"/>
    <n v="65"/>
    <x v="1"/>
    <x v="1"/>
  </r>
  <r>
    <n v="27951"/>
    <x v="1"/>
    <x v="1"/>
    <n v="80000"/>
    <n v="4"/>
    <s v="Partial College"/>
    <s v="Professional"/>
    <s v="No"/>
    <n v="2"/>
    <x v="1"/>
    <s v="Europe"/>
    <n v="54"/>
    <x v="0"/>
    <x v="1"/>
  </r>
  <r>
    <n v="25026"/>
    <x v="0"/>
    <x v="1"/>
    <n v="20000"/>
    <n v="2"/>
    <s v="Partial High School"/>
    <s v="Clerical"/>
    <s v="Yes"/>
    <n v="3"/>
    <x v="2"/>
    <s v="Pacific"/>
    <n v="54"/>
    <x v="0"/>
    <x v="0"/>
  </r>
  <r>
    <n v="13673"/>
    <x v="1"/>
    <x v="0"/>
    <n v="20000"/>
    <n v="0"/>
    <s v="Partial High School"/>
    <s v="Manual"/>
    <s v="No"/>
    <n v="2"/>
    <x v="0"/>
    <s v="Europe"/>
    <n v="25"/>
    <x v="2"/>
    <x v="0"/>
  </r>
  <r>
    <n v="16043"/>
    <x v="1"/>
    <x v="1"/>
    <n v="10000"/>
    <n v="1"/>
    <s v="Bachelors"/>
    <s v="Manual"/>
    <s v="Yes"/>
    <n v="0"/>
    <x v="0"/>
    <s v="Europe"/>
    <n v="48"/>
    <x v="0"/>
    <x v="0"/>
  </r>
  <r>
    <n v="22399"/>
    <x v="1"/>
    <x v="1"/>
    <n v="10000"/>
    <n v="0"/>
    <s v="Partial College"/>
    <s v="Manual"/>
    <s v="Yes"/>
    <n v="1"/>
    <x v="3"/>
    <s v="Pacific"/>
    <n v="26"/>
    <x v="2"/>
    <x v="1"/>
  </r>
  <r>
    <n v="27696"/>
    <x v="0"/>
    <x v="1"/>
    <n v="60000"/>
    <n v="1"/>
    <s v="Bachelors"/>
    <s v="Professional"/>
    <s v="Yes"/>
    <n v="1"/>
    <x v="2"/>
    <s v="Pacific"/>
    <n v="43"/>
    <x v="0"/>
    <x v="1"/>
  </r>
  <r>
    <n v="25313"/>
    <x v="1"/>
    <x v="1"/>
    <n v="10000"/>
    <n v="0"/>
    <s v="Partial High School"/>
    <s v="Manual"/>
    <s v="No"/>
    <n v="2"/>
    <x v="3"/>
    <s v="Europe"/>
    <n v="35"/>
    <x v="0"/>
    <x v="0"/>
  </r>
  <r>
    <n v="13813"/>
    <x v="0"/>
    <x v="0"/>
    <n v="30000"/>
    <n v="3"/>
    <s v="Partial College"/>
    <s v="Clerical"/>
    <s v="No"/>
    <n v="0"/>
    <x v="0"/>
    <s v="Europe"/>
    <n v="42"/>
    <x v="0"/>
    <x v="0"/>
  </r>
  <r>
    <n v="18711"/>
    <x v="1"/>
    <x v="0"/>
    <n v="70000"/>
    <n v="5"/>
    <s v="Bachelors"/>
    <s v="Professional"/>
    <s v="Yes"/>
    <n v="4"/>
    <x v="4"/>
    <s v="Pacific"/>
    <n v="39"/>
    <x v="0"/>
    <x v="0"/>
  </r>
  <r>
    <n v="19650"/>
    <x v="0"/>
    <x v="0"/>
    <n v="30000"/>
    <n v="2"/>
    <s v="Partial College"/>
    <s v="Clerical"/>
    <s v="No"/>
    <n v="2"/>
    <x v="0"/>
    <s v="Pacific"/>
    <n v="67"/>
    <x v="1"/>
    <x v="0"/>
  </r>
  <r>
    <n v="14135"/>
    <x v="0"/>
    <x v="1"/>
    <n v="20000"/>
    <n v="1"/>
    <s v="Partial College"/>
    <s v="Manual"/>
    <s v="Yes"/>
    <n v="0"/>
    <x v="3"/>
    <s v="Europe"/>
    <n v="35"/>
    <x v="0"/>
    <x v="0"/>
  </r>
  <r>
    <n v="12833"/>
    <x v="1"/>
    <x v="0"/>
    <n v="20000"/>
    <n v="3"/>
    <s v="High School"/>
    <s v="Manual"/>
    <s v="Yes"/>
    <n v="1"/>
    <x v="0"/>
    <s v="Europe"/>
    <n v="42"/>
    <x v="0"/>
    <x v="1"/>
  </r>
  <r>
    <n v="26849"/>
    <x v="0"/>
    <x v="1"/>
    <n v="10000"/>
    <n v="3"/>
    <s v="Partial High School"/>
    <s v="Manual"/>
    <s v="Yes"/>
    <n v="2"/>
    <x v="0"/>
    <s v="Europe"/>
    <n v="43"/>
    <x v="0"/>
    <x v="0"/>
  </r>
  <r>
    <n v="20962"/>
    <x v="0"/>
    <x v="0"/>
    <n v="20000"/>
    <n v="1"/>
    <s v="Graduate Degree"/>
    <s v="Clerical"/>
    <s v="Yes"/>
    <n v="0"/>
    <x v="0"/>
    <s v="Europe"/>
    <n v="45"/>
    <x v="0"/>
    <x v="0"/>
  </r>
  <r>
    <n v="28915"/>
    <x v="1"/>
    <x v="1"/>
    <n v="80000"/>
    <n v="5"/>
    <s v="High School"/>
    <s v="Management"/>
    <s v="Yes"/>
    <n v="3"/>
    <x v="4"/>
    <s v="Europe"/>
    <n v="57"/>
    <x v="1"/>
    <x v="0"/>
  </r>
  <r>
    <n v="22830"/>
    <x v="0"/>
    <x v="1"/>
    <n v="120000"/>
    <n v="4"/>
    <s v="Partial College"/>
    <s v="Management"/>
    <s v="Yes"/>
    <n v="3"/>
    <x v="4"/>
    <s v="Europe"/>
    <n v="56"/>
    <x v="1"/>
    <x v="0"/>
  </r>
  <r>
    <n v="14777"/>
    <x v="0"/>
    <x v="0"/>
    <n v="40000"/>
    <n v="0"/>
    <s v="Bachelors"/>
    <s v="Clerical"/>
    <s v="Yes"/>
    <n v="0"/>
    <x v="0"/>
    <s v="Europe"/>
    <n v="38"/>
    <x v="0"/>
    <x v="1"/>
  </r>
  <r>
    <n v="12591"/>
    <x v="0"/>
    <x v="0"/>
    <n v="30000"/>
    <n v="4"/>
    <s v="Graduate Degree"/>
    <s v="Clerical"/>
    <s v="Yes"/>
    <n v="0"/>
    <x v="0"/>
    <s v="Europe"/>
    <n v="45"/>
    <x v="0"/>
    <x v="0"/>
  </r>
  <r>
    <n v="24174"/>
    <x v="0"/>
    <x v="1"/>
    <n v="20000"/>
    <n v="0"/>
    <s v="Bachelors"/>
    <s v="Clerical"/>
    <s v="Yes"/>
    <n v="0"/>
    <x v="0"/>
    <s v="Pacific"/>
    <n v="27"/>
    <x v="2"/>
    <x v="1"/>
  </r>
  <r>
    <n v="24611"/>
    <x v="1"/>
    <x v="1"/>
    <n v="90000"/>
    <n v="0"/>
    <s v="Bachelors"/>
    <s v="Professional"/>
    <s v="No"/>
    <n v="4"/>
    <x v="4"/>
    <s v="Pacific"/>
    <n v="35"/>
    <x v="0"/>
    <x v="1"/>
  </r>
  <r>
    <n v="11340"/>
    <x v="0"/>
    <x v="0"/>
    <n v="10000"/>
    <n v="1"/>
    <s v="Graduate Degree"/>
    <s v="Clerical"/>
    <s v="Yes"/>
    <n v="0"/>
    <x v="0"/>
    <s v="Europe"/>
    <n v="70"/>
    <x v="1"/>
    <x v="1"/>
  </r>
  <r>
    <n v="25693"/>
    <x v="1"/>
    <x v="0"/>
    <n v="30000"/>
    <n v="5"/>
    <s v="Graduate Degree"/>
    <s v="Clerical"/>
    <s v="Yes"/>
    <n v="0"/>
    <x v="0"/>
    <s v="Europe"/>
    <n v="44"/>
    <x v="0"/>
    <x v="1"/>
  </r>
  <r>
    <n v="25555"/>
    <x v="0"/>
    <x v="0"/>
    <n v="10000"/>
    <n v="0"/>
    <s v="Partial College"/>
    <s v="Manual"/>
    <s v="No"/>
    <n v="1"/>
    <x v="0"/>
    <s v="Pacific"/>
    <n v="26"/>
    <x v="2"/>
    <x v="1"/>
  </r>
  <r>
    <n v="22006"/>
    <x v="0"/>
    <x v="1"/>
    <n v="70000"/>
    <n v="5"/>
    <s v="Partial College"/>
    <s v="Skilled Manual"/>
    <s v="Yes"/>
    <n v="3"/>
    <x v="2"/>
    <s v="Pacific"/>
    <n v="46"/>
    <x v="0"/>
    <x v="0"/>
  </r>
  <r>
    <n v="20060"/>
    <x v="1"/>
    <x v="0"/>
    <n v="30000"/>
    <n v="0"/>
    <s v="High School"/>
    <s v="Manual"/>
    <s v="No"/>
    <n v="1"/>
    <x v="1"/>
    <s v="Europe"/>
    <n v="34"/>
    <x v="0"/>
    <x v="1"/>
  </r>
  <r>
    <n v="17702"/>
    <x v="0"/>
    <x v="1"/>
    <n v="10000"/>
    <n v="1"/>
    <s v="Graduate Degree"/>
    <s v="Manual"/>
    <s v="Yes"/>
    <n v="0"/>
    <x v="0"/>
    <s v="Europe"/>
    <n v="37"/>
    <x v="0"/>
    <x v="0"/>
  </r>
  <r>
    <n v="12503"/>
    <x v="1"/>
    <x v="0"/>
    <n v="30000"/>
    <n v="3"/>
    <s v="Partial College"/>
    <s v="Clerical"/>
    <s v="Yes"/>
    <n v="2"/>
    <x v="0"/>
    <s v="Europe"/>
    <n v="27"/>
    <x v="2"/>
    <x v="0"/>
  </r>
  <r>
    <n v="23908"/>
    <x v="1"/>
    <x v="1"/>
    <n v="30000"/>
    <n v="1"/>
    <s v="Bachelors"/>
    <s v="Clerical"/>
    <s v="No"/>
    <n v="1"/>
    <x v="0"/>
    <s v="Europe"/>
    <n v="39"/>
    <x v="0"/>
    <x v="1"/>
  </r>
  <r>
    <n v="22527"/>
    <x v="1"/>
    <x v="0"/>
    <n v="20000"/>
    <n v="0"/>
    <s v="High School"/>
    <s v="Manual"/>
    <s v="No"/>
    <n v="1"/>
    <x v="1"/>
    <s v="Europe"/>
    <n v="29"/>
    <x v="2"/>
    <x v="0"/>
  </r>
  <r>
    <n v="19057"/>
    <x v="0"/>
    <x v="0"/>
    <n v="120000"/>
    <n v="3"/>
    <s v="Bachelors"/>
    <s v="Management"/>
    <s v="No"/>
    <n v="2"/>
    <x v="4"/>
    <s v="Europe"/>
    <n v="52"/>
    <x v="0"/>
    <x v="1"/>
  </r>
  <r>
    <n v="18494"/>
    <x v="0"/>
    <x v="1"/>
    <n v="110000"/>
    <n v="5"/>
    <s v="Bachelors"/>
    <s v="Management"/>
    <s v="Yes"/>
    <n v="4"/>
    <x v="1"/>
    <s v="Pacific"/>
    <n v="48"/>
    <x v="0"/>
    <x v="1"/>
  </r>
  <r>
    <n v="11249"/>
    <x v="0"/>
    <x v="0"/>
    <n v="130000"/>
    <n v="3"/>
    <s v="Partial College"/>
    <s v="Professional"/>
    <s v="Yes"/>
    <n v="3"/>
    <x v="0"/>
    <s v="Europe"/>
    <n v="51"/>
    <x v="0"/>
    <x v="1"/>
  </r>
  <r>
    <n v="21568"/>
    <x v="0"/>
    <x v="0"/>
    <n v="100000"/>
    <n v="0"/>
    <s v="High School"/>
    <s v="Management"/>
    <s v="Yes"/>
    <n v="4"/>
    <x v="4"/>
    <s v="Pacific"/>
    <n v="34"/>
    <x v="0"/>
    <x v="1"/>
  </r>
  <r>
    <n v="13981"/>
    <x v="0"/>
    <x v="0"/>
    <n v="10000"/>
    <n v="5"/>
    <s v="High School"/>
    <s v="Skilled Manual"/>
    <s v="No"/>
    <n v="3"/>
    <x v="3"/>
    <s v="Pacific"/>
    <n v="62"/>
    <x v="1"/>
    <x v="0"/>
  </r>
  <r>
    <n v="23432"/>
    <x v="1"/>
    <x v="1"/>
    <n v="70000"/>
    <n v="0"/>
    <s v="Bachelors"/>
    <s v="Professional"/>
    <s v="Yes"/>
    <n v="1"/>
    <x v="2"/>
    <s v="Pacific"/>
    <n v="37"/>
    <x v="0"/>
    <x v="1"/>
  </r>
  <r>
    <n v="22931"/>
    <x v="0"/>
    <x v="1"/>
    <n v="100000"/>
    <n v="5"/>
    <s v="Graduate Degree"/>
    <s v="Management"/>
    <s v="No"/>
    <n v="1"/>
    <x v="3"/>
    <s v="Pacific"/>
    <n v="78"/>
    <x v="1"/>
    <x v="1"/>
  </r>
  <r>
    <n v="18172"/>
    <x v="0"/>
    <x v="1"/>
    <n v="130000"/>
    <n v="4"/>
    <s v="High School"/>
    <s v="Professional"/>
    <s v="Yes"/>
    <n v="3"/>
    <x v="0"/>
    <s v="Europe"/>
    <n v="55"/>
    <x v="1"/>
    <x v="0"/>
  </r>
  <r>
    <n v="12666"/>
    <x v="1"/>
    <x v="1"/>
    <n v="60000"/>
    <n v="0"/>
    <s v="Bachelors"/>
    <s v="Professional"/>
    <s v="No"/>
    <n v="4"/>
    <x v="1"/>
    <s v="Pacific"/>
    <n v="31"/>
    <x v="0"/>
    <x v="0"/>
  </r>
  <r>
    <n v="20598"/>
    <x v="0"/>
    <x v="1"/>
    <n v="100000"/>
    <n v="3"/>
    <s v="Partial High School"/>
    <s v="Professional"/>
    <s v="Yes"/>
    <n v="0"/>
    <x v="4"/>
    <s v="Europe"/>
    <n v="59"/>
    <x v="1"/>
    <x v="1"/>
  </r>
  <r>
    <n v="21375"/>
    <x v="1"/>
    <x v="1"/>
    <n v="20000"/>
    <n v="2"/>
    <s v="Partial High School"/>
    <s v="Clerical"/>
    <s v="Yes"/>
    <n v="2"/>
    <x v="2"/>
    <s v="Pacific"/>
    <n v="57"/>
    <x v="1"/>
    <x v="0"/>
  </r>
  <r>
    <n v="20839"/>
    <x v="1"/>
    <x v="0"/>
    <n v="30000"/>
    <n v="3"/>
    <s v="Graduate Degree"/>
    <s v="Clerical"/>
    <s v="Yes"/>
    <n v="0"/>
    <x v="0"/>
    <s v="Europe"/>
    <n v="47"/>
    <x v="0"/>
    <x v="1"/>
  </r>
  <r>
    <n v="21738"/>
    <x v="0"/>
    <x v="1"/>
    <n v="20000"/>
    <n v="1"/>
    <s v="Graduate Degree"/>
    <s v="Clerical"/>
    <s v="Yes"/>
    <n v="0"/>
    <x v="0"/>
    <s v="Europe"/>
    <n v="43"/>
    <x v="0"/>
    <x v="0"/>
  </r>
  <r>
    <n v="14164"/>
    <x v="1"/>
    <x v="0"/>
    <n v="50000"/>
    <n v="0"/>
    <s v="Graduate Degree"/>
    <s v="Skilled Manual"/>
    <s v="Yes"/>
    <n v="0"/>
    <x v="0"/>
    <s v="Europe"/>
    <n v="36"/>
    <x v="0"/>
    <x v="1"/>
  </r>
  <r>
    <n v="14193"/>
    <x v="1"/>
    <x v="0"/>
    <n v="100000"/>
    <n v="3"/>
    <s v="Partial College"/>
    <s v="Management"/>
    <s v="Yes"/>
    <n v="4"/>
    <x v="4"/>
    <s v="Europe"/>
    <n v="56"/>
    <x v="1"/>
    <x v="0"/>
  </r>
  <r>
    <n v="12705"/>
    <x v="0"/>
    <x v="1"/>
    <n v="150000"/>
    <n v="0"/>
    <s v="Bachelors"/>
    <s v="Management"/>
    <s v="Yes"/>
    <n v="4"/>
    <x v="0"/>
    <s v="Pacific"/>
    <n v="37"/>
    <x v="0"/>
    <x v="1"/>
  </r>
  <r>
    <n v="22672"/>
    <x v="1"/>
    <x v="0"/>
    <n v="30000"/>
    <n v="2"/>
    <s v="Partial College"/>
    <s v="Clerical"/>
    <s v="Yes"/>
    <n v="0"/>
    <x v="0"/>
    <s v="Europe"/>
    <n v="43"/>
    <x v="0"/>
    <x v="0"/>
  </r>
  <r>
    <n v="26219"/>
    <x v="0"/>
    <x v="0"/>
    <n v="40000"/>
    <n v="1"/>
    <s v="Bachelors"/>
    <s v="Skilled Manual"/>
    <s v="Yes"/>
    <n v="1"/>
    <x v="3"/>
    <s v="Europe"/>
    <n v="33"/>
    <x v="0"/>
    <x v="1"/>
  </r>
  <r>
    <n v="28468"/>
    <x v="0"/>
    <x v="0"/>
    <n v="10000"/>
    <n v="2"/>
    <s v="Partial College"/>
    <s v="Manual"/>
    <s v="Yes"/>
    <n v="0"/>
    <x v="3"/>
    <s v="Europe"/>
    <n v="51"/>
    <x v="0"/>
    <x v="0"/>
  </r>
  <r>
    <n v="23419"/>
    <x v="1"/>
    <x v="0"/>
    <n v="70000"/>
    <n v="5"/>
    <s v="Bachelors"/>
    <s v="Professional"/>
    <s v="Yes"/>
    <n v="3"/>
    <x v="4"/>
    <s v="Pacific"/>
    <n v="39"/>
    <x v="0"/>
    <x v="0"/>
  </r>
  <r>
    <n v="17964"/>
    <x v="0"/>
    <x v="1"/>
    <n v="40000"/>
    <n v="0"/>
    <s v="Graduate Degree"/>
    <s v="Clerical"/>
    <s v="Yes"/>
    <n v="0"/>
    <x v="0"/>
    <s v="Europe"/>
    <n v="37"/>
    <x v="0"/>
    <x v="1"/>
  </r>
  <r>
    <n v="20919"/>
    <x v="1"/>
    <x v="0"/>
    <n v="30000"/>
    <n v="2"/>
    <s v="Partial College"/>
    <s v="Clerical"/>
    <s v="Yes"/>
    <n v="2"/>
    <x v="0"/>
    <s v="Europe"/>
    <n v="42"/>
    <x v="0"/>
    <x v="0"/>
  </r>
  <r>
    <n v="20927"/>
    <x v="1"/>
    <x v="0"/>
    <n v="20000"/>
    <n v="5"/>
    <s v="High School"/>
    <s v="Manual"/>
    <s v="Yes"/>
    <n v="2"/>
    <x v="0"/>
    <s v="Europe"/>
    <n v="27"/>
    <x v="2"/>
    <x v="0"/>
  </r>
  <r>
    <n v="13133"/>
    <x v="1"/>
    <x v="1"/>
    <n v="100000"/>
    <n v="5"/>
    <s v="Bachelors"/>
    <s v="Professional"/>
    <s v="Yes"/>
    <n v="1"/>
    <x v="2"/>
    <s v="Pacific"/>
    <n v="47"/>
    <x v="0"/>
    <x v="1"/>
  </r>
  <r>
    <n v="19626"/>
    <x v="0"/>
    <x v="1"/>
    <n v="70000"/>
    <n v="5"/>
    <s v="Partial College"/>
    <s v="Skilled Manual"/>
    <s v="Yes"/>
    <n v="3"/>
    <x v="2"/>
    <s v="Pacific"/>
    <n v="45"/>
    <x v="0"/>
    <x v="0"/>
  </r>
  <r>
    <n v="21039"/>
    <x v="1"/>
    <x v="0"/>
    <n v="50000"/>
    <n v="0"/>
    <s v="Graduate Degree"/>
    <s v="Skilled Manual"/>
    <s v="No"/>
    <n v="0"/>
    <x v="0"/>
    <s v="Europe"/>
    <n v="37"/>
    <x v="0"/>
    <x v="1"/>
  </r>
  <r>
    <n v="12231"/>
    <x v="1"/>
    <x v="0"/>
    <n v="10000"/>
    <n v="2"/>
    <s v="Partial College"/>
    <s v="Manual"/>
    <s v="Yes"/>
    <n v="0"/>
    <x v="0"/>
    <s v="Europe"/>
    <n v="51"/>
    <x v="0"/>
    <x v="1"/>
  </r>
  <r>
    <n v="25665"/>
    <x v="1"/>
    <x v="0"/>
    <n v="20000"/>
    <n v="0"/>
    <s v="High School"/>
    <s v="Manual"/>
    <s v="No"/>
    <n v="1"/>
    <x v="3"/>
    <s v="Europe"/>
    <n v="28"/>
    <x v="2"/>
    <x v="0"/>
  </r>
  <r>
    <n v="24061"/>
    <x v="0"/>
    <x v="1"/>
    <n v="10000"/>
    <n v="4"/>
    <s v="Partial High School"/>
    <s v="Manual"/>
    <s v="Yes"/>
    <n v="1"/>
    <x v="0"/>
    <s v="Europe"/>
    <n v="40"/>
    <x v="0"/>
    <x v="1"/>
  </r>
  <r>
    <n v="26879"/>
    <x v="1"/>
    <x v="0"/>
    <n v="20000"/>
    <n v="0"/>
    <s v="High School"/>
    <s v="Manual"/>
    <s v="No"/>
    <n v="1"/>
    <x v="1"/>
    <s v="Europe"/>
    <n v="30"/>
    <x v="2"/>
    <x v="0"/>
  </r>
  <r>
    <n v="12284"/>
    <x v="0"/>
    <x v="0"/>
    <n v="30000"/>
    <n v="0"/>
    <s v="Bachelors"/>
    <s v="Clerical"/>
    <s v="No"/>
    <n v="0"/>
    <x v="0"/>
    <s v="Europe"/>
    <n v="36"/>
    <x v="0"/>
    <x v="1"/>
  </r>
  <r>
    <n v="26654"/>
    <x v="0"/>
    <x v="0"/>
    <n v="90000"/>
    <n v="1"/>
    <s v="Graduate Degree"/>
    <s v="Management"/>
    <s v="Yes"/>
    <n v="0"/>
    <x v="0"/>
    <s v="Pacific"/>
    <n v="37"/>
    <x v="0"/>
    <x v="1"/>
  </r>
  <r>
    <n v="14545"/>
    <x v="0"/>
    <x v="0"/>
    <n v="10000"/>
    <n v="2"/>
    <s v="Partial College"/>
    <s v="Manual"/>
    <s v="Yes"/>
    <n v="0"/>
    <x v="3"/>
    <s v="Europe"/>
    <n v="49"/>
    <x v="0"/>
    <x v="0"/>
  </r>
  <r>
    <n v="24201"/>
    <x v="0"/>
    <x v="0"/>
    <n v="10000"/>
    <n v="2"/>
    <s v="High School"/>
    <s v="Manual"/>
    <s v="Yes"/>
    <n v="0"/>
    <x v="0"/>
    <s v="Europe"/>
    <n v="37"/>
    <x v="0"/>
    <x v="1"/>
  </r>
  <r>
    <n v="20625"/>
    <x v="0"/>
    <x v="1"/>
    <n v="100000"/>
    <n v="0"/>
    <s v="High School"/>
    <s v="Management"/>
    <s v="Yes"/>
    <n v="3"/>
    <x v="4"/>
    <s v="Pacific"/>
    <n v="35"/>
    <x v="0"/>
    <x v="1"/>
  </r>
  <r>
    <n v="16390"/>
    <x v="1"/>
    <x v="1"/>
    <n v="30000"/>
    <n v="1"/>
    <s v="Bachelors"/>
    <s v="Clerical"/>
    <s v="No"/>
    <n v="0"/>
    <x v="0"/>
    <s v="Europe"/>
    <n v="38"/>
    <x v="0"/>
    <x v="1"/>
  </r>
  <r>
    <n v="14804"/>
    <x v="1"/>
    <x v="0"/>
    <n v="10000"/>
    <n v="3"/>
    <s v="Partial High School"/>
    <s v="Manual"/>
    <s v="Yes"/>
    <n v="2"/>
    <x v="0"/>
    <s v="Europe"/>
    <n v="43"/>
    <x v="0"/>
    <x v="0"/>
  </r>
  <r>
    <n v="12629"/>
    <x v="1"/>
    <x v="1"/>
    <n v="20000"/>
    <n v="1"/>
    <s v="Partial College"/>
    <s v="Manual"/>
    <s v="No"/>
    <n v="0"/>
    <x v="0"/>
    <s v="Europe"/>
    <n v="37"/>
    <x v="0"/>
    <x v="0"/>
  </r>
  <r>
    <n v="14696"/>
    <x v="1"/>
    <x v="1"/>
    <n v="10000"/>
    <n v="0"/>
    <s v="Partial High School"/>
    <s v="Manual"/>
    <s v="No"/>
    <n v="2"/>
    <x v="0"/>
    <s v="Europe"/>
    <n v="34"/>
    <x v="0"/>
    <x v="0"/>
  </r>
  <r>
    <n v="22005"/>
    <x v="0"/>
    <x v="0"/>
    <n v="70000"/>
    <n v="5"/>
    <s v="Partial College"/>
    <s v="Skilled Manual"/>
    <s v="No"/>
    <n v="3"/>
    <x v="2"/>
    <s v="Pacific"/>
    <n v="46"/>
    <x v="0"/>
    <x v="0"/>
  </r>
  <r>
    <n v="14544"/>
    <x v="1"/>
    <x v="1"/>
    <n v="10000"/>
    <n v="1"/>
    <s v="Partial College"/>
    <s v="Manual"/>
    <s v="Yes"/>
    <n v="0"/>
    <x v="0"/>
    <s v="Europe"/>
    <n v="49"/>
    <x v="0"/>
    <x v="0"/>
  </r>
  <r>
    <n v="14312"/>
    <x v="0"/>
    <x v="0"/>
    <n v="60000"/>
    <n v="1"/>
    <s v="Partial College"/>
    <s v="Skilled Manual"/>
    <s v="Yes"/>
    <n v="1"/>
    <x v="2"/>
    <s v="Pacific"/>
    <n v="45"/>
    <x v="0"/>
    <x v="0"/>
  </r>
  <r>
    <n v="29120"/>
    <x v="1"/>
    <x v="0"/>
    <n v="100000"/>
    <n v="1"/>
    <s v="Bachelors"/>
    <s v="Management"/>
    <s v="Yes"/>
    <n v="4"/>
    <x v="1"/>
    <s v="Pacific"/>
    <n v="48"/>
    <x v="0"/>
    <x v="0"/>
  </r>
  <r>
    <n v="24187"/>
    <x v="1"/>
    <x v="0"/>
    <n v="30000"/>
    <n v="3"/>
    <s v="Graduate Degree"/>
    <s v="Clerical"/>
    <s v="No"/>
    <n v="0"/>
    <x v="0"/>
    <s v="Europe"/>
    <n v="46"/>
    <x v="0"/>
    <x v="1"/>
  </r>
  <r>
    <n v="15758"/>
    <x v="0"/>
    <x v="1"/>
    <n v="130000"/>
    <n v="0"/>
    <s v="Graduate Degree"/>
    <s v="Management"/>
    <s v="Yes"/>
    <n v="0"/>
    <x v="2"/>
    <s v="Pacific"/>
    <n v="48"/>
    <x v="0"/>
    <x v="0"/>
  </r>
  <r>
    <n v="29094"/>
    <x v="0"/>
    <x v="1"/>
    <n v="30000"/>
    <n v="3"/>
    <s v="High School"/>
    <s v="Skilled Manual"/>
    <s v="Yes"/>
    <n v="2"/>
    <x v="2"/>
    <s v="Pacific"/>
    <n v="54"/>
    <x v="0"/>
    <x v="1"/>
  </r>
  <r>
    <n v="28319"/>
    <x v="1"/>
    <x v="0"/>
    <n v="60000"/>
    <n v="1"/>
    <s v="Partial College"/>
    <s v="Skilled Manual"/>
    <s v="No"/>
    <n v="1"/>
    <x v="0"/>
    <s v="Pacific"/>
    <n v="46"/>
    <x v="0"/>
    <x v="1"/>
  </r>
  <r>
    <n v="16406"/>
    <x v="0"/>
    <x v="1"/>
    <n v="40000"/>
    <n v="0"/>
    <s v="Bachelors"/>
    <s v="Clerical"/>
    <s v="No"/>
    <n v="0"/>
    <x v="0"/>
    <s v="Europe"/>
    <n v="38"/>
    <x v="0"/>
    <x v="1"/>
  </r>
  <r>
    <n v="20923"/>
    <x v="0"/>
    <x v="0"/>
    <n v="40000"/>
    <n v="1"/>
    <s v="Bachelors"/>
    <s v="Skilled Manual"/>
    <s v="Yes"/>
    <n v="0"/>
    <x v="0"/>
    <s v="Europe"/>
    <n v="42"/>
    <x v="0"/>
    <x v="1"/>
  </r>
  <r>
    <n v="11378"/>
    <x v="1"/>
    <x v="0"/>
    <n v="10000"/>
    <n v="1"/>
    <s v="High School"/>
    <s v="Manual"/>
    <s v="No"/>
    <n v="1"/>
    <x v="1"/>
    <s v="Europe"/>
    <n v="46"/>
    <x v="0"/>
    <x v="1"/>
  </r>
  <r>
    <n v="20851"/>
    <x v="1"/>
    <x v="1"/>
    <n v="20000"/>
    <n v="0"/>
    <s v="Partial College"/>
    <s v="Manual"/>
    <s v="No"/>
    <n v="1"/>
    <x v="1"/>
    <s v="Europe"/>
    <n v="36"/>
    <x v="0"/>
    <x v="1"/>
  </r>
  <r>
    <n v="21557"/>
    <x v="1"/>
    <x v="0"/>
    <n v="110000"/>
    <n v="0"/>
    <s v="Partial College"/>
    <s v="Management"/>
    <s v="Yes"/>
    <n v="3"/>
    <x v="4"/>
    <s v="Pacific"/>
    <n v="32"/>
    <x v="0"/>
    <x v="1"/>
  </r>
  <r>
    <n v="26663"/>
    <x v="1"/>
    <x v="0"/>
    <n v="60000"/>
    <n v="2"/>
    <s v="Bachelors"/>
    <s v="Professional"/>
    <s v="No"/>
    <n v="1"/>
    <x v="0"/>
    <s v="Pacific"/>
    <n v="39"/>
    <x v="0"/>
    <x v="1"/>
  </r>
  <r>
    <n v="11896"/>
    <x v="0"/>
    <x v="1"/>
    <n v="100000"/>
    <n v="1"/>
    <s v="Graduate Degree"/>
    <s v="Management"/>
    <s v="Yes"/>
    <n v="0"/>
    <x v="1"/>
    <s v="Pacific"/>
    <n v="36"/>
    <x v="0"/>
    <x v="1"/>
  </r>
  <r>
    <n v="14189"/>
    <x v="0"/>
    <x v="0"/>
    <n v="90000"/>
    <n v="4"/>
    <s v="High School"/>
    <s v="Professional"/>
    <s v="No"/>
    <n v="2"/>
    <x v="1"/>
    <s v="Europe"/>
    <n v="54"/>
    <x v="0"/>
    <x v="1"/>
  </r>
  <r>
    <n v="13136"/>
    <x v="0"/>
    <x v="0"/>
    <n v="30000"/>
    <n v="2"/>
    <s v="Partial College"/>
    <s v="Clerical"/>
    <s v="No"/>
    <n v="2"/>
    <x v="2"/>
    <s v="Pacific"/>
    <n v="69"/>
    <x v="1"/>
    <x v="0"/>
  </r>
  <r>
    <n v="25906"/>
    <x v="1"/>
    <x v="0"/>
    <n v="10000"/>
    <n v="5"/>
    <s v="High School"/>
    <s v="Skilled Manual"/>
    <s v="No"/>
    <n v="2"/>
    <x v="3"/>
    <s v="Pacific"/>
    <n v="62"/>
    <x v="1"/>
    <x v="0"/>
  </r>
  <r>
    <n v="17926"/>
    <x v="1"/>
    <x v="0"/>
    <n v="40000"/>
    <n v="0"/>
    <s v="Bachelors"/>
    <s v="Clerical"/>
    <s v="No"/>
    <n v="0"/>
    <x v="0"/>
    <s v="Pacific"/>
    <n v="28"/>
    <x v="2"/>
    <x v="1"/>
  </r>
  <r>
    <n v="26928"/>
    <x v="1"/>
    <x v="1"/>
    <n v="30000"/>
    <n v="1"/>
    <s v="Bachelors"/>
    <s v="Clerical"/>
    <s v="Yes"/>
    <n v="0"/>
    <x v="0"/>
    <s v="Europe"/>
    <n v="62"/>
    <x v="1"/>
    <x v="1"/>
  </r>
  <r>
    <n v="20897"/>
    <x v="0"/>
    <x v="0"/>
    <n v="30000"/>
    <n v="1"/>
    <s v="Bachelors"/>
    <s v="Skilled Manual"/>
    <s v="Yes"/>
    <n v="2"/>
    <x v="0"/>
    <s v="Europe"/>
    <n v="40"/>
    <x v="0"/>
    <x v="0"/>
  </r>
  <r>
    <n v="28207"/>
    <x v="0"/>
    <x v="1"/>
    <n v="80000"/>
    <n v="4"/>
    <s v="Graduate Degree"/>
    <s v="Management"/>
    <s v="Yes"/>
    <n v="1"/>
    <x v="0"/>
    <s v="Pacific"/>
    <n v="36"/>
    <x v="0"/>
    <x v="1"/>
  </r>
  <r>
    <n v="25923"/>
    <x v="1"/>
    <x v="1"/>
    <n v="10000"/>
    <n v="2"/>
    <s v="Partial High School"/>
    <s v="Clerical"/>
    <s v="Yes"/>
    <n v="2"/>
    <x v="2"/>
    <s v="Pacific"/>
    <n v="58"/>
    <x v="1"/>
    <x v="0"/>
  </r>
  <r>
    <n v="11000"/>
    <x v="0"/>
    <x v="1"/>
    <n v="90000"/>
    <n v="2"/>
    <s v="Bachelors"/>
    <s v="Professional"/>
    <s v="Yes"/>
    <n v="0"/>
    <x v="3"/>
    <s v="Pacific"/>
    <n v="40"/>
    <x v="0"/>
    <x v="1"/>
  </r>
  <r>
    <n v="20974"/>
    <x v="0"/>
    <x v="1"/>
    <n v="10000"/>
    <n v="2"/>
    <s v="Bachelors"/>
    <s v="Clerical"/>
    <s v="Yes"/>
    <n v="1"/>
    <x v="0"/>
    <s v="Europe"/>
    <n v="66"/>
    <x v="1"/>
    <x v="0"/>
  </r>
  <r>
    <n v="28758"/>
    <x v="0"/>
    <x v="1"/>
    <n v="40000"/>
    <n v="2"/>
    <s v="Partial College"/>
    <s v="Clerical"/>
    <s v="Yes"/>
    <n v="1"/>
    <x v="3"/>
    <s v="Europe"/>
    <n v="35"/>
    <x v="0"/>
    <x v="1"/>
  </r>
  <r>
    <n v="11381"/>
    <x v="0"/>
    <x v="0"/>
    <n v="20000"/>
    <n v="2"/>
    <s v="Partial College"/>
    <s v="Manual"/>
    <s v="Yes"/>
    <n v="1"/>
    <x v="1"/>
    <s v="Europe"/>
    <n v="47"/>
    <x v="0"/>
    <x v="1"/>
  </r>
  <r>
    <n v="17522"/>
    <x v="0"/>
    <x v="1"/>
    <n v="120000"/>
    <n v="4"/>
    <s v="Bachelors"/>
    <s v="Management"/>
    <s v="Yes"/>
    <n v="1"/>
    <x v="1"/>
    <s v="Pacific"/>
    <n v="47"/>
    <x v="0"/>
    <x v="0"/>
  </r>
  <r>
    <n v="21207"/>
    <x v="0"/>
    <x v="1"/>
    <n v="60000"/>
    <n v="1"/>
    <s v="Partial College"/>
    <s v="Skilled Manual"/>
    <s v="Yes"/>
    <n v="1"/>
    <x v="2"/>
    <s v="Pacific"/>
    <n v="46"/>
    <x v="0"/>
    <x v="0"/>
  </r>
  <r>
    <n v="28102"/>
    <x v="0"/>
    <x v="1"/>
    <n v="20000"/>
    <n v="4"/>
    <s v="High School"/>
    <s v="Skilled Manual"/>
    <s v="Yes"/>
    <n v="2"/>
    <x v="2"/>
    <s v="Pacific"/>
    <n v="58"/>
    <x v="1"/>
    <x v="1"/>
  </r>
  <r>
    <n v="23105"/>
    <x v="1"/>
    <x v="1"/>
    <n v="40000"/>
    <n v="3"/>
    <s v="Partial High School"/>
    <s v="Clerical"/>
    <s v="No"/>
    <n v="2"/>
    <x v="2"/>
    <s v="Pacific"/>
    <n v="52"/>
    <x v="0"/>
    <x v="1"/>
  </r>
  <r>
    <n v="18740"/>
    <x v="0"/>
    <x v="1"/>
    <n v="80000"/>
    <n v="5"/>
    <s v="Bachelors"/>
    <s v="Professional"/>
    <s v="No"/>
    <n v="1"/>
    <x v="0"/>
    <s v="Pacific"/>
    <n v="47"/>
    <x v="0"/>
    <x v="1"/>
  </r>
  <r>
    <n v="21213"/>
    <x v="1"/>
    <x v="1"/>
    <n v="70000"/>
    <n v="0"/>
    <s v="Bachelors"/>
    <s v="Professional"/>
    <s v="No"/>
    <n v="1"/>
    <x v="2"/>
    <s v="Pacific"/>
    <n v="41"/>
    <x v="0"/>
    <x v="0"/>
  </r>
  <r>
    <n v="17352"/>
    <x v="0"/>
    <x v="1"/>
    <n v="50000"/>
    <n v="2"/>
    <s v="Graduate Degree"/>
    <s v="Management"/>
    <s v="Yes"/>
    <n v="1"/>
    <x v="2"/>
    <s v="Pacific"/>
    <n v="64"/>
    <x v="1"/>
    <x v="1"/>
  </r>
  <r>
    <n v="14154"/>
    <x v="0"/>
    <x v="1"/>
    <n v="30000"/>
    <n v="0"/>
    <s v="Bachelors"/>
    <s v="Clerical"/>
    <s v="Yes"/>
    <n v="0"/>
    <x v="0"/>
    <s v="Europe"/>
    <n v="35"/>
    <x v="0"/>
    <x v="1"/>
  </r>
  <r>
    <n v="19066"/>
    <x v="0"/>
    <x v="1"/>
    <n v="130000"/>
    <n v="4"/>
    <s v="Partial College"/>
    <s v="Professional"/>
    <s v="No"/>
    <n v="3"/>
    <x v="4"/>
    <s v="Europe"/>
    <n v="54"/>
    <x v="0"/>
    <x v="0"/>
  </r>
  <r>
    <n v="11386"/>
    <x v="0"/>
    <x v="0"/>
    <n v="30000"/>
    <n v="3"/>
    <s v="Bachelors"/>
    <s v="Clerical"/>
    <s v="Yes"/>
    <n v="0"/>
    <x v="0"/>
    <s v="Europe"/>
    <n v="45"/>
    <x v="0"/>
    <x v="0"/>
  </r>
  <r>
    <n v="20228"/>
    <x v="0"/>
    <x v="1"/>
    <n v="100000"/>
    <n v="0"/>
    <s v="Graduate Degree"/>
    <s v="Management"/>
    <s v="Yes"/>
    <n v="0"/>
    <x v="1"/>
    <s v="Pacific"/>
    <n v="40"/>
    <x v="0"/>
    <x v="1"/>
  </r>
  <r>
    <n v="16675"/>
    <x v="1"/>
    <x v="0"/>
    <n v="160000"/>
    <n v="0"/>
    <s v="Graduate Degree"/>
    <s v="Management"/>
    <s v="No"/>
    <n v="3"/>
    <x v="0"/>
    <s v="Pacific"/>
    <n v="47"/>
    <x v="0"/>
    <x v="1"/>
  </r>
  <r>
    <n v="16410"/>
    <x v="1"/>
    <x v="0"/>
    <n v="10000"/>
    <n v="4"/>
    <s v="Partial High School"/>
    <s v="Manual"/>
    <s v="Yes"/>
    <n v="2"/>
    <x v="0"/>
    <s v="Europe"/>
    <n v="41"/>
    <x v="0"/>
    <x v="1"/>
  </r>
  <r>
    <n v="27760"/>
    <x v="1"/>
    <x v="0"/>
    <n v="40000"/>
    <n v="0"/>
    <s v="Graduate Degree"/>
    <s v="Clerical"/>
    <s v="No"/>
    <n v="0"/>
    <x v="0"/>
    <s v="Europe"/>
    <n v="37"/>
    <x v="0"/>
    <x v="1"/>
  </r>
  <r>
    <n v="22930"/>
    <x v="0"/>
    <x v="1"/>
    <n v="90000"/>
    <n v="4"/>
    <s v="Bachelors"/>
    <s v="Professional"/>
    <s v="Yes"/>
    <n v="0"/>
    <x v="3"/>
    <s v="Pacific"/>
    <n v="38"/>
    <x v="0"/>
    <x v="1"/>
  </r>
  <r>
    <n v="23780"/>
    <x v="1"/>
    <x v="1"/>
    <n v="40000"/>
    <n v="2"/>
    <s v="Partial College"/>
    <s v="Clerical"/>
    <s v="No"/>
    <n v="2"/>
    <x v="0"/>
    <s v="Europe"/>
    <n v="36"/>
    <x v="0"/>
    <x v="1"/>
  </r>
  <r>
    <n v="20994"/>
    <x v="0"/>
    <x v="0"/>
    <n v="20000"/>
    <n v="0"/>
    <s v="Bachelors"/>
    <s v="Clerical"/>
    <s v="No"/>
    <n v="0"/>
    <x v="0"/>
    <s v="Pacific"/>
    <n v="26"/>
    <x v="2"/>
    <x v="1"/>
  </r>
  <r>
    <n v="28379"/>
    <x v="0"/>
    <x v="1"/>
    <n v="30000"/>
    <n v="1"/>
    <s v="Bachelors"/>
    <s v="Skilled Manual"/>
    <s v="Yes"/>
    <n v="2"/>
    <x v="0"/>
    <s v="Europe"/>
    <n v="40"/>
    <x v="0"/>
    <x v="0"/>
  </r>
  <r>
    <n v="14865"/>
    <x v="1"/>
    <x v="1"/>
    <n v="40000"/>
    <n v="2"/>
    <s v="Partial College"/>
    <s v="Clerical"/>
    <s v="Yes"/>
    <n v="2"/>
    <x v="3"/>
    <s v="Europe"/>
    <n v="36"/>
    <x v="0"/>
    <x v="0"/>
  </r>
  <r>
    <n v="12663"/>
    <x v="0"/>
    <x v="0"/>
    <n v="90000"/>
    <n v="5"/>
    <s v="Partial High School"/>
    <s v="Skilled Manual"/>
    <s v="Yes"/>
    <n v="2"/>
    <x v="4"/>
    <s v="Europe"/>
    <n v="59"/>
    <x v="1"/>
    <x v="0"/>
  </r>
  <r>
    <n v="24898"/>
    <x v="1"/>
    <x v="0"/>
    <n v="80000"/>
    <n v="0"/>
    <s v="Bachelors"/>
    <s v="Professional"/>
    <s v="Yes"/>
    <n v="3"/>
    <x v="4"/>
    <s v="Pacific"/>
    <n v="32"/>
    <x v="0"/>
    <x v="0"/>
  </r>
  <r>
    <n v="19508"/>
    <x v="0"/>
    <x v="1"/>
    <n v="10000"/>
    <n v="0"/>
    <s v="Partial High School"/>
    <s v="Manual"/>
    <s v="No"/>
    <n v="2"/>
    <x v="0"/>
    <s v="Europe"/>
    <n v="30"/>
    <x v="2"/>
    <x v="0"/>
  </r>
  <r>
    <n v="11489"/>
    <x v="1"/>
    <x v="0"/>
    <n v="20000"/>
    <n v="0"/>
    <s v="Partial High School"/>
    <s v="Manual"/>
    <s v="No"/>
    <n v="2"/>
    <x v="3"/>
    <s v="Europe"/>
    <n v="35"/>
    <x v="0"/>
    <x v="1"/>
  </r>
  <r>
    <n v="18160"/>
    <x v="0"/>
    <x v="1"/>
    <n v="130000"/>
    <n v="3"/>
    <s v="High School"/>
    <s v="Professional"/>
    <s v="Yes"/>
    <n v="4"/>
    <x v="2"/>
    <s v="Europe"/>
    <n v="51"/>
    <x v="0"/>
    <x v="1"/>
  </r>
  <r>
    <n v="25241"/>
    <x v="0"/>
    <x v="1"/>
    <n v="90000"/>
    <n v="2"/>
    <s v="Bachelors"/>
    <s v="Professional"/>
    <s v="Yes"/>
    <n v="1"/>
    <x v="2"/>
    <s v="Pacific"/>
    <n v="47"/>
    <x v="0"/>
    <x v="0"/>
  </r>
  <r>
    <n v="24369"/>
    <x v="0"/>
    <x v="1"/>
    <n v="80000"/>
    <n v="5"/>
    <s v="Graduate Degree"/>
    <s v="Management"/>
    <s v="No"/>
    <n v="2"/>
    <x v="0"/>
    <s v="Pacific"/>
    <n v="39"/>
    <x v="0"/>
    <x v="0"/>
  </r>
  <r>
    <n v="27165"/>
    <x v="1"/>
    <x v="1"/>
    <n v="20000"/>
    <n v="0"/>
    <s v="Partial High School"/>
    <s v="Manual"/>
    <s v="No"/>
    <n v="2"/>
    <x v="0"/>
    <s v="Europe"/>
    <n v="34"/>
    <x v="0"/>
    <x v="0"/>
  </r>
  <r>
    <n v="29424"/>
    <x v="0"/>
    <x v="1"/>
    <n v="10000"/>
    <n v="0"/>
    <s v="Partial High School"/>
    <s v="Manual"/>
    <s v="Yes"/>
    <n v="2"/>
    <x v="0"/>
    <s v="Europe"/>
    <n v="32"/>
    <x v="0"/>
    <x v="0"/>
  </r>
  <r>
    <n v="15926"/>
    <x v="1"/>
    <x v="0"/>
    <n v="120000"/>
    <n v="3"/>
    <s v="High School"/>
    <s v="Professional"/>
    <s v="Yes"/>
    <n v="4"/>
    <x v="2"/>
    <s v="Europe"/>
    <n v="50"/>
    <x v="0"/>
    <x v="1"/>
  </r>
  <r>
    <n v="14554"/>
    <x v="0"/>
    <x v="1"/>
    <n v="20000"/>
    <n v="1"/>
    <s v="Bachelors"/>
    <s v="Clerical"/>
    <s v="Yes"/>
    <n v="0"/>
    <x v="0"/>
    <s v="Europe"/>
    <n v="66"/>
    <x v="1"/>
    <x v="0"/>
  </r>
  <r>
    <n v="16468"/>
    <x v="1"/>
    <x v="1"/>
    <n v="30000"/>
    <n v="0"/>
    <s v="Partial College"/>
    <s v="Clerical"/>
    <s v="Yes"/>
    <n v="1"/>
    <x v="1"/>
    <s v="Europe"/>
    <n v="30"/>
    <x v="2"/>
    <x v="0"/>
  </r>
  <r>
    <n v="19174"/>
    <x v="1"/>
    <x v="0"/>
    <n v="30000"/>
    <n v="0"/>
    <s v="High School"/>
    <s v="Manual"/>
    <s v="No"/>
    <n v="1"/>
    <x v="1"/>
    <s v="Europe"/>
    <n v="32"/>
    <x v="0"/>
    <x v="1"/>
  </r>
  <r>
    <n v="19183"/>
    <x v="1"/>
    <x v="1"/>
    <n v="10000"/>
    <n v="0"/>
    <s v="Partial High School"/>
    <s v="Manual"/>
    <s v="Yes"/>
    <n v="2"/>
    <x v="3"/>
    <s v="Europe"/>
    <n v="35"/>
    <x v="0"/>
    <x v="0"/>
  </r>
  <r>
    <n v="13683"/>
    <x v="1"/>
    <x v="0"/>
    <n v="30000"/>
    <n v="0"/>
    <s v="High School"/>
    <s v="Manual"/>
    <s v="No"/>
    <n v="1"/>
    <x v="1"/>
    <s v="Europe"/>
    <n v="32"/>
    <x v="0"/>
    <x v="0"/>
  </r>
  <r>
    <n v="17848"/>
    <x v="1"/>
    <x v="1"/>
    <n v="30000"/>
    <n v="0"/>
    <s v="Partial College"/>
    <s v="Clerical"/>
    <s v="No"/>
    <n v="1"/>
    <x v="1"/>
    <s v="Europe"/>
    <n v="31"/>
    <x v="0"/>
    <x v="1"/>
  </r>
  <r>
    <n v="17894"/>
    <x v="0"/>
    <x v="0"/>
    <n v="20000"/>
    <n v="1"/>
    <s v="Bachelors"/>
    <s v="Clerical"/>
    <s v="Yes"/>
    <n v="0"/>
    <x v="0"/>
    <s v="Europe"/>
    <n v="50"/>
    <x v="0"/>
    <x v="1"/>
  </r>
  <r>
    <n v="25651"/>
    <x v="0"/>
    <x v="1"/>
    <n v="40000"/>
    <n v="1"/>
    <s v="Bachelors"/>
    <s v="Skilled Manual"/>
    <s v="No"/>
    <n v="0"/>
    <x v="0"/>
    <s v="Europe"/>
    <n v="43"/>
    <x v="0"/>
    <x v="1"/>
  </r>
  <r>
    <n v="22936"/>
    <x v="1"/>
    <x v="0"/>
    <n v="60000"/>
    <n v="1"/>
    <s v="Partial College"/>
    <s v="Skilled Manual"/>
    <s v="No"/>
    <n v="1"/>
    <x v="0"/>
    <s v="Pacific"/>
    <n v="45"/>
    <x v="0"/>
    <x v="1"/>
  </r>
  <r>
    <n v="23915"/>
    <x v="0"/>
    <x v="1"/>
    <n v="20000"/>
    <n v="2"/>
    <s v="High School"/>
    <s v="Manual"/>
    <s v="Yes"/>
    <n v="2"/>
    <x v="0"/>
    <s v="Europe"/>
    <n v="42"/>
    <x v="0"/>
    <x v="0"/>
  </r>
  <r>
    <n v="24121"/>
    <x v="1"/>
    <x v="0"/>
    <n v="30000"/>
    <n v="0"/>
    <s v="Partial College"/>
    <s v="Clerical"/>
    <s v="No"/>
    <n v="1"/>
    <x v="0"/>
    <s v="Europe"/>
    <n v="29"/>
    <x v="2"/>
    <x v="1"/>
  </r>
  <r>
    <n v="27878"/>
    <x v="1"/>
    <x v="1"/>
    <n v="20000"/>
    <n v="0"/>
    <s v="Partial College"/>
    <s v="Manual"/>
    <s v="No"/>
    <n v="0"/>
    <x v="0"/>
    <s v="Pacific"/>
    <n v="28"/>
    <x v="2"/>
    <x v="1"/>
  </r>
  <r>
    <n v="13572"/>
    <x v="1"/>
    <x v="1"/>
    <n v="10000"/>
    <n v="3"/>
    <s v="High School"/>
    <s v="Manual"/>
    <s v="Yes"/>
    <n v="0"/>
    <x v="0"/>
    <s v="Europe"/>
    <n v="37"/>
    <x v="0"/>
    <x v="1"/>
  </r>
  <r>
    <n v="27941"/>
    <x v="0"/>
    <x v="0"/>
    <n v="80000"/>
    <n v="4"/>
    <s v="Partial College"/>
    <s v="Professional"/>
    <s v="Yes"/>
    <n v="2"/>
    <x v="1"/>
    <s v="Europe"/>
    <n v="53"/>
    <x v="0"/>
    <x v="0"/>
  </r>
  <r>
    <n v="26354"/>
    <x v="1"/>
    <x v="1"/>
    <n v="40000"/>
    <n v="0"/>
    <s v="Graduate Degree"/>
    <s v="Clerical"/>
    <s v="No"/>
    <n v="0"/>
    <x v="0"/>
    <s v="Europe"/>
    <n v="38"/>
    <x v="0"/>
    <x v="1"/>
  </r>
  <r>
    <n v="14785"/>
    <x v="1"/>
    <x v="1"/>
    <n v="30000"/>
    <n v="1"/>
    <s v="Bachelors"/>
    <s v="Clerical"/>
    <s v="No"/>
    <n v="1"/>
    <x v="3"/>
    <s v="Europe"/>
    <n v="39"/>
    <x v="0"/>
    <x v="0"/>
  </r>
  <r>
    <n v="17238"/>
    <x v="1"/>
    <x v="1"/>
    <n v="80000"/>
    <n v="0"/>
    <s v="Bachelors"/>
    <s v="Professional"/>
    <s v="Yes"/>
    <n v="3"/>
    <x v="4"/>
    <s v="Pacific"/>
    <n v="32"/>
    <x v="0"/>
    <x v="0"/>
  </r>
  <r>
    <n v="23608"/>
    <x v="0"/>
    <x v="0"/>
    <n v="150000"/>
    <n v="3"/>
    <s v="High School"/>
    <s v="Professional"/>
    <s v="Yes"/>
    <n v="3"/>
    <x v="0"/>
    <s v="Europe"/>
    <n v="51"/>
    <x v="0"/>
    <x v="1"/>
  </r>
  <r>
    <n v="22538"/>
    <x v="1"/>
    <x v="0"/>
    <n v="10000"/>
    <n v="0"/>
    <s v="Partial High School"/>
    <s v="Manual"/>
    <s v="Yes"/>
    <n v="2"/>
    <x v="3"/>
    <s v="Europe"/>
    <n v="33"/>
    <x v="0"/>
    <x v="0"/>
  </r>
  <r>
    <n v="12332"/>
    <x v="0"/>
    <x v="1"/>
    <n v="90000"/>
    <n v="4"/>
    <s v="High School"/>
    <s v="Management"/>
    <s v="Yes"/>
    <n v="3"/>
    <x v="2"/>
    <s v="Europe"/>
    <n v="58"/>
    <x v="1"/>
    <x v="1"/>
  </r>
  <r>
    <n v="17230"/>
    <x v="0"/>
    <x v="1"/>
    <n v="80000"/>
    <n v="0"/>
    <s v="Bachelors"/>
    <s v="Professional"/>
    <s v="Yes"/>
    <n v="3"/>
    <x v="4"/>
    <s v="Pacific"/>
    <n v="30"/>
    <x v="2"/>
    <x v="0"/>
  </r>
  <r>
    <n v="13082"/>
    <x v="1"/>
    <x v="1"/>
    <n v="130000"/>
    <n v="0"/>
    <s v="Graduate Degree"/>
    <s v="Management"/>
    <s v="Yes"/>
    <n v="0"/>
    <x v="1"/>
    <s v="Pacific"/>
    <n v="48"/>
    <x v="0"/>
    <x v="1"/>
  </r>
  <r>
    <n v="22518"/>
    <x v="1"/>
    <x v="0"/>
    <n v="30000"/>
    <n v="3"/>
    <s v="Partial College"/>
    <s v="Clerical"/>
    <s v="No"/>
    <n v="2"/>
    <x v="0"/>
    <s v="Europe"/>
    <n v="27"/>
    <x v="2"/>
    <x v="1"/>
  </r>
  <r>
    <n v="13687"/>
    <x v="0"/>
    <x v="1"/>
    <n v="40000"/>
    <n v="1"/>
    <s v="Bachelors"/>
    <s v="Skilled Manual"/>
    <s v="Yes"/>
    <n v="1"/>
    <x v="0"/>
    <s v="Europe"/>
    <n v="33"/>
    <x v="0"/>
    <x v="1"/>
  </r>
  <r>
    <n v="23571"/>
    <x v="0"/>
    <x v="0"/>
    <n v="40000"/>
    <n v="2"/>
    <s v="Bachelors"/>
    <s v="Management"/>
    <s v="Yes"/>
    <n v="2"/>
    <x v="0"/>
    <s v="Pacific"/>
    <n v="66"/>
    <x v="1"/>
    <x v="1"/>
  </r>
  <r>
    <n v="19305"/>
    <x v="1"/>
    <x v="0"/>
    <n v="10000"/>
    <n v="2"/>
    <s v="High School"/>
    <s v="Manual"/>
    <s v="Yes"/>
    <n v="1"/>
    <x v="0"/>
    <s v="Europe"/>
    <n v="38"/>
    <x v="0"/>
    <x v="1"/>
  </r>
  <r>
    <n v="22636"/>
    <x v="1"/>
    <x v="0"/>
    <n v="40000"/>
    <n v="0"/>
    <s v="Bachelors"/>
    <s v="Clerical"/>
    <s v="No"/>
    <n v="0"/>
    <x v="0"/>
    <s v="Europe"/>
    <n v="38"/>
    <x v="0"/>
    <x v="1"/>
  </r>
  <r>
    <n v="17310"/>
    <x v="0"/>
    <x v="1"/>
    <n v="60000"/>
    <n v="1"/>
    <s v="Partial College"/>
    <s v="Skilled Manual"/>
    <s v="Yes"/>
    <n v="1"/>
    <x v="0"/>
    <s v="Pacific"/>
    <n v="45"/>
    <x v="0"/>
    <x v="1"/>
  </r>
  <r>
    <n v="12133"/>
    <x v="0"/>
    <x v="0"/>
    <n v="130000"/>
    <n v="3"/>
    <s v="Partial College"/>
    <s v="Professional"/>
    <s v="Yes"/>
    <n v="3"/>
    <x v="2"/>
    <s v="Europe"/>
    <n v="50"/>
    <x v="0"/>
    <x v="1"/>
  </r>
  <r>
    <n v="25918"/>
    <x v="1"/>
    <x v="0"/>
    <n v="30000"/>
    <n v="2"/>
    <s v="Partial College"/>
    <s v="Clerical"/>
    <s v="No"/>
    <n v="2"/>
    <x v="2"/>
    <s v="Pacific"/>
    <n v="60"/>
    <x v="1"/>
    <x v="1"/>
  </r>
  <r>
    <n v="25752"/>
    <x v="1"/>
    <x v="0"/>
    <n v="20000"/>
    <n v="2"/>
    <s v="Partial College"/>
    <s v="Manual"/>
    <s v="No"/>
    <n v="1"/>
    <x v="0"/>
    <s v="Europe"/>
    <n v="53"/>
    <x v="0"/>
    <x v="1"/>
  </r>
  <r>
    <n v="17324"/>
    <x v="0"/>
    <x v="0"/>
    <n v="100000"/>
    <n v="4"/>
    <s v="Bachelors"/>
    <s v="Professional"/>
    <s v="Yes"/>
    <n v="1"/>
    <x v="4"/>
    <s v="Pacific"/>
    <n v="46"/>
    <x v="0"/>
    <x v="0"/>
  </r>
  <r>
    <n v="22918"/>
    <x v="1"/>
    <x v="1"/>
    <n v="80000"/>
    <n v="5"/>
    <s v="Graduate Degree"/>
    <s v="Management"/>
    <s v="Yes"/>
    <n v="3"/>
    <x v="0"/>
    <s v="Pacific"/>
    <n v="50"/>
    <x v="0"/>
    <x v="0"/>
  </r>
  <r>
    <n v="12510"/>
    <x v="0"/>
    <x v="1"/>
    <n v="40000"/>
    <n v="1"/>
    <s v="Bachelors"/>
    <s v="Skilled Manual"/>
    <s v="Yes"/>
    <n v="1"/>
    <x v="0"/>
    <s v="Europe"/>
    <n v="43"/>
    <x v="0"/>
    <x v="1"/>
  </r>
  <r>
    <n v="25512"/>
    <x v="1"/>
    <x v="1"/>
    <n v="20000"/>
    <n v="0"/>
    <s v="High School"/>
    <s v="Manual"/>
    <s v="No"/>
    <n v="1"/>
    <x v="1"/>
    <s v="Europe"/>
    <n v="30"/>
    <x v="2"/>
    <x v="0"/>
  </r>
  <r>
    <n v="16179"/>
    <x v="1"/>
    <x v="0"/>
    <n v="80000"/>
    <n v="5"/>
    <s v="Bachelors"/>
    <s v="Professional"/>
    <s v="Yes"/>
    <n v="4"/>
    <x v="3"/>
    <s v="Pacific"/>
    <n v="38"/>
    <x v="0"/>
    <x v="0"/>
  </r>
  <r>
    <n v="15628"/>
    <x v="0"/>
    <x v="0"/>
    <n v="40000"/>
    <n v="1"/>
    <s v="Bachelors"/>
    <s v="Skilled Manual"/>
    <s v="Yes"/>
    <n v="1"/>
    <x v="0"/>
    <s v="Europe"/>
    <n v="89"/>
    <x v="1"/>
    <x v="0"/>
  </r>
  <r>
    <n v="20977"/>
    <x v="0"/>
    <x v="1"/>
    <n v="20000"/>
    <n v="1"/>
    <s v="Bachelors"/>
    <s v="Clerical"/>
    <s v="Yes"/>
    <n v="0"/>
    <x v="0"/>
    <s v="Europe"/>
    <n v="64"/>
    <x v="1"/>
    <x v="1"/>
  </r>
  <r>
    <n v="18140"/>
    <x v="0"/>
    <x v="1"/>
    <n v="130000"/>
    <n v="3"/>
    <s v="Partial College"/>
    <s v="Professional"/>
    <s v="No"/>
    <n v="3"/>
    <x v="2"/>
    <s v="Europe"/>
    <n v="51"/>
    <x v="0"/>
    <x v="1"/>
  </r>
  <r>
    <n v="20417"/>
    <x v="0"/>
    <x v="1"/>
    <n v="30000"/>
    <n v="3"/>
    <s v="Partial College"/>
    <s v="Clerical"/>
    <s v="No"/>
    <n v="2"/>
    <x v="2"/>
    <s v="Pacific"/>
    <n v="56"/>
    <x v="1"/>
    <x v="0"/>
  </r>
  <r>
    <n v="18267"/>
    <x v="0"/>
    <x v="1"/>
    <n v="60000"/>
    <n v="3"/>
    <s v="Bachelors"/>
    <s v="Professional"/>
    <s v="Yes"/>
    <n v="2"/>
    <x v="2"/>
    <s v="Pacific"/>
    <n v="43"/>
    <x v="0"/>
    <x v="0"/>
  </r>
  <r>
    <n v="13620"/>
    <x v="1"/>
    <x v="1"/>
    <n v="70000"/>
    <n v="0"/>
    <s v="Bachelors"/>
    <s v="Professional"/>
    <s v="No"/>
    <n v="3"/>
    <x v="4"/>
    <s v="Pacific"/>
    <n v="30"/>
    <x v="2"/>
    <x v="1"/>
  </r>
  <r>
    <n v="22974"/>
    <x v="0"/>
    <x v="0"/>
    <n v="30000"/>
    <n v="2"/>
    <s v="Partial College"/>
    <s v="Clerical"/>
    <s v="Yes"/>
    <n v="2"/>
    <x v="2"/>
    <s v="Pacific"/>
    <n v="69"/>
    <x v="1"/>
    <x v="0"/>
  </r>
  <r>
    <n v="13586"/>
    <x v="0"/>
    <x v="1"/>
    <n v="80000"/>
    <n v="4"/>
    <s v="Partial College"/>
    <s v="Professional"/>
    <s v="Yes"/>
    <n v="2"/>
    <x v="4"/>
    <s v="Europe"/>
    <n v="53"/>
    <x v="0"/>
    <x v="0"/>
  </r>
  <r>
    <n v="17978"/>
    <x v="0"/>
    <x v="1"/>
    <n v="40000"/>
    <n v="0"/>
    <s v="Graduate Degree"/>
    <s v="Clerical"/>
    <s v="Yes"/>
    <n v="0"/>
    <x v="0"/>
    <s v="Europe"/>
    <n v="37"/>
    <x v="0"/>
    <x v="1"/>
  </r>
  <r>
    <n v="12581"/>
    <x v="1"/>
    <x v="0"/>
    <n v="10000"/>
    <n v="0"/>
    <s v="Partial College"/>
    <s v="Manual"/>
    <s v="No"/>
    <n v="1"/>
    <x v="0"/>
    <s v="Pacific"/>
    <n v="28"/>
    <x v="2"/>
    <x v="1"/>
  </r>
  <r>
    <n v="18018"/>
    <x v="1"/>
    <x v="1"/>
    <n v="30000"/>
    <n v="3"/>
    <s v="Partial College"/>
    <s v="Clerical"/>
    <s v="Yes"/>
    <n v="0"/>
    <x v="0"/>
    <s v="Europe"/>
    <n v="43"/>
    <x v="0"/>
    <x v="0"/>
  </r>
  <r>
    <n v="28957"/>
    <x v="1"/>
    <x v="0"/>
    <n v="120000"/>
    <n v="0"/>
    <s v="Partial High School"/>
    <s v="Professional"/>
    <s v="Yes"/>
    <n v="4"/>
    <x v="4"/>
    <s v="Pacific"/>
    <n v="34"/>
    <x v="0"/>
    <x v="1"/>
  </r>
  <r>
    <n v="13690"/>
    <x v="1"/>
    <x v="0"/>
    <n v="20000"/>
    <n v="0"/>
    <s v="Partial High School"/>
    <s v="Manual"/>
    <s v="No"/>
    <n v="2"/>
    <x v="3"/>
    <s v="Europe"/>
    <n v="34"/>
    <x v="0"/>
    <x v="1"/>
  </r>
  <r>
    <n v="12568"/>
    <x v="0"/>
    <x v="0"/>
    <n v="30000"/>
    <n v="1"/>
    <s v="Bachelors"/>
    <s v="Clerical"/>
    <s v="Yes"/>
    <n v="0"/>
    <x v="0"/>
    <s v="Europe"/>
    <n v="64"/>
    <x v="1"/>
    <x v="0"/>
  </r>
  <r>
    <n v="13122"/>
    <x v="0"/>
    <x v="0"/>
    <n v="80000"/>
    <n v="0"/>
    <s v="Bachelors"/>
    <s v="Professional"/>
    <s v="Yes"/>
    <n v="1"/>
    <x v="3"/>
    <s v="Pacific"/>
    <n v="41"/>
    <x v="0"/>
    <x v="1"/>
  </r>
  <r>
    <n v="21184"/>
    <x v="1"/>
    <x v="1"/>
    <n v="70000"/>
    <n v="0"/>
    <s v="Bachelors"/>
    <s v="Professional"/>
    <s v="No"/>
    <n v="1"/>
    <x v="2"/>
    <s v="Pacific"/>
    <n v="38"/>
    <x v="0"/>
    <x v="0"/>
  </r>
  <r>
    <n v="26150"/>
    <x v="1"/>
    <x v="0"/>
    <n v="70000"/>
    <n v="0"/>
    <s v="Bachelors"/>
    <s v="Professional"/>
    <s v="No"/>
    <n v="1"/>
    <x v="0"/>
    <s v="Pacific"/>
    <n v="41"/>
    <x v="0"/>
    <x v="1"/>
  </r>
  <r>
    <n v="24151"/>
    <x v="1"/>
    <x v="1"/>
    <n v="20000"/>
    <n v="1"/>
    <s v="Bachelors"/>
    <s v="Clerical"/>
    <s v="No"/>
    <n v="0"/>
    <x v="0"/>
    <s v="Europe"/>
    <n v="51"/>
    <x v="0"/>
    <x v="0"/>
  </r>
  <r>
    <n v="23962"/>
    <x v="0"/>
    <x v="0"/>
    <n v="10000"/>
    <n v="0"/>
    <s v="Partial High School"/>
    <s v="Manual"/>
    <s v="Yes"/>
    <n v="2"/>
    <x v="3"/>
    <s v="Europe"/>
    <n v="32"/>
    <x v="0"/>
    <x v="0"/>
  </r>
  <r>
    <n v="17793"/>
    <x v="0"/>
    <x v="0"/>
    <n v="40000"/>
    <n v="0"/>
    <s v="Bachelors"/>
    <s v="Clerical"/>
    <s v="Yes"/>
    <n v="0"/>
    <x v="0"/>
    <s v="Europe"/>
    <n v="38"/>
    <x v="0"/>
    <x v="1"/>
  </r>
  <r>
    <n v="14926"/>
    <x v="0"/>
    <x v="1"/>
    <n v="30000"/>
    <n v="1"/>
    <s v="Bachelors"/>
    <s v="Clerical"/>
    <s v="Yes"/>
    <n v="0"/>
    <x v="0"/>
    <s v="Europe"/>
    <n v="38"/>
    <x v="0"/>
    <x v="1"/>
  </r>
  <r>
    <n v="16163"/>
    <x v="1"/>
    <x v="1"/>
    <n v="60000"/>
    <n v="2"/>
    <s v="Bachelors"/>
    <s v="Professional"/>
    <s v="Yes"/>
    <n v="1"/>
    <x v="1"/>
    <s v="Pacific"/>
    <n v="38"/>
    <x v="0"/>
    <x v="1"/>
  </r>
  <r>
    <n v="21365"/>
    <x v="0"/>
    <x v="0"/>
    <n v="10000"/>
    <n v="2"/>
    <s v="Partial High School"/>
    <s v="Clerical"/>
    <s v="Yes"/>
    <n v="2"/>
    <x v="2"/>
    <s v="Pacific"/>
    <n v="58"/>
    <x v="1"/>
    <x v="0"/>
  </r>
  <r>
    <n v="27771"/>
    <x v="1"/>
    <x v="1"/>
    <n v="30000"/>
    <n v="1"/>
    <s v="Bachelors"/>
    <s v="Clerical"/>
    <s v="Yes"/>
    <n v="1"/>
    <x v="3"/>
    <s v="Europe"/>
    <n v="39"/>
    <x v="0"/>
    <x v="1"/>
  </r>
  <r>
    <n v="26167"/>
    <x v="1"/>
    <x v="0"/>
    <n v="40000"/>
    <n v="2"/>
    <s v="Bachelors"/>
    <s v="Management"/>
    <s v="No"/>
    <n v="1"/>
    <x v="2"/>
    <s v="Pacific"/>
    <n v="53"/>
    <x v="0"/>
    <x v="1"/>
  </r>
  <r>
    <n v="25792"/>
    <x v="1"/>
    <x v="0"/>
    <n v="110000"/>
    <n v="3"/>
    <s v="Bachelors"/>
    <s v="Management"/>
    <s v="Yes"/>
    <n v="4"/>
    <x v="4"/>
    <s v="Europe"/>
    <n v="53"/>
    <x v="0"/>
    <x v="0"/>
  </r>
  <r>
    <n v="11555"/>
    <x v="0"/>
    <x v="0"/>
    <n v="40000"/>
    <n v="1"/>
    <s v="Bachelors"/>
    <s v="Clerical"/>
    <s v="Yes"/>
    <n v="0"/>
    <x v="0"/>
    <s v="Europe"/>
    <n v="80"/>
    <x v="1"/>
    <x v="0"/>
  </r>
  <r>
    <n v="22381"/>
    <x v="0"/>
    <x v="1"/>
    <n v="10000"/>
    <n v="1"/>
    <s v="Graduate Degree"/>
    <s v="Manual"/>
    <s v="Yes"/>
    <n v="0"/>
    <x v="0"/>
    <s v="Europe"/>
    <n v="44"/>
    <x v="0"/>
    <x v="0"/>
  </r>
  <r>
    <n v="17882"/>
    <x v="0"/>
    <x v="1"/>
    <n v="20000"/>
    <n v="1"/>
    <s v="Graduate Degree"/>
    <s v="Clerical"/>
    <s v="Yes"/>
    <n v="0"/>
    <x v="0"/>
    <s v="Europe"/>
    <n v="44"/>
    <x v="0"/>
    <x v="0"/>
  </r>
  <r>
    <n v="22174"/>
    <x v="0"/>
    <x v="1"/>
    <n v="30000"/>
    <n v="3"/>
    <s v="High School"/>
    <s v="Skilled Manual"/>
    <s v="Yes"/>
    <n v="2"/>
    <x v="2"/>
    <s v="Pacific"/>
    <n v="54"/>
    <x v="0"/>
    <x v="1"/>
  </r>
  <r>
    <n v="22439"/>
    <x v="0"/>
    <x v="0"/>
    <n v="30000"/>
    <n v="0"/>
    <s v="Bachelors"/>
    <s v="Clerical"/>
    <s v="Yes"/>
    <n v="0"/>
    <x v="0"/>
    <s v="Europe"/>
    <n v="37"/>
    <x v="0"/>
    <x v="1"/>
  </r>
  <r>
    <n v="18012"/>
    <x v="0"/>
    <x v="0"/>
    <n v="40000"/>
    <n v="1"/>
    <s v="Bachelors"/>
    <s v="Skilled Manual"/>
    <s v="Yes"/>
    <n v="0"/>
    <x v="0"/>
    <s v="Europe"/>
    <n v="41"/>
    <x v="0"/>
    <x v="0"/>
  </r>
  <r>
    <n v="27582"/>
    <x v="1"/>
    <x v="0"/>
    <n v="90000"/>
    <n v="2"/>
    <s v="Bachelors"/>
    <s v="Professional"/>
    <s v="No"/>
    <n v="0"/>
    <x v="0"/>
    <s v="Pacific"/>
    <n v="36"/>
    <x v="0"/>
    <x v="1"/>
  </r>
  <r>
    <n v="12744"/>
    <x v="1"/>
    <x v="0"/>
    <n v="40000"/>
    <n v="2"/>
    <s v="Partial College"/>
    <s v="Clerical"/>
    <s v="Yes"/>
    <n v="0"/>
    <x v="0"/>
    <s v="Europe"/>
    <n v="33"/>
    <x v="0"/>
    <x v="0"/>
  </r>
  <r>
    <n v="22821"/>
    <x v="0"/>
    <x v="0"/>
    <n v="130000"/>
    <n v="3"/>
    <s v="Partial College"/>
    <s v="Professional"/>
    <s v="Yes"/>
    <n v="4"/>
    <x v="0"/>
    <s v="Europe"/>
    <n v="52"/>
    <x v="0"/>
    <x v="0"/>
  </r>
  <r>
    <n v="20171"/>
    <x v="0"/>
    <x v="0"/>
    <n v="20000"/>
    <n v="2"/>
    <s v="Partial College"/>
    <s v="Manual"/>
    <s v="Yes"/>
    <n v="1"/>
    <x v="0"/>
    <s v="Europe"/>
    <n v="46"/>
    <x v="0"/>
    <x v="1"/>
  </r>
  <r>
    <n v="11116"/>
    <x v="0"/>
    <x v="1"/>
    <n v="70000"/>
    <n v="5"/>
    <s v="Partial College"/>
    <s v="Skilled Manual"/>
    <s v="Yes"/>
    <n v="2"/>
    <x v="2"/>
    <s v="Pacific"/>
    <n v="43"/>
    <x v="0"/>
    <x v="0"/>
  </r>
  <r>
    <n v="20053"/>
    <x v="1"/>
    <x v="1"/>
    <n v="40000"/>
    <n v="2"/>
    <s v="Partial College"/>
    <s v="Clerical"/>
    <s v="Yes"/>
    <n v="0"/>
    <x v="0"/>
    <s v="Europe"/>
    <n v="34"/>
    <x v="0"/>
    <x v="0"/>
  </r>
  <r>
    <n v="25266"/>
    <x v="1"/>
    <x v="0"/>
    <n v="30000"/>
    <n v="2"/>
    <s v="Partial College"/>
    <s v="Clerical"/>
    <s v="No"/>
    <n v="2"/>
    <x v="2"/>
    <s v="Pacific"/>
    <n v="67"/>
    <x v="1"/>
    <x v="0"/>
  </r>
  <r>
    <n v="17960"/>
    <x v="0"/>
    <x v="0"/>
    <n v="40000"/>
    <n v="0"/>
    <s v="Graduate Degree"/>
    <s v="Clerical"/>
    <s v="Yes"/>
    <n v="0"/>
    <x v="0"/>
    <s v="Europe"/>
    <n v="35"/>
    <x v="0"/>
    <x v="1"/>
  </r>
  <r>
    <n v="13961"/>
    <x v="0"/>
    <x v="0"/>
    <n v="80000"/>
    <n v="5"/>
    <s v="Graduate Degree"/>
    <s v="Management"/>
    <s v="Yes"/>
    <n v="3"/>
    <x v="0"/>
    <s v="Pacific"/>
    <n v="40"/>
    <x v="0"/>
    <x v="0"/>
  </r>
  <r>
    <n v="11897"/>
    <x v="1"/>
    <x v="1"/>
    <n v="60000"/>
    <n v="2"/>
    <s v="Bachelors"/>
    <s v="Professional"/>
    <s v="No"/>
    <n v="1"/>
    <x v="0"/>
    <s v="Pacific"/>
    <n v="37"/>
    <x v="0"/>
    <x v="1"/>
  </r>
  <r>
    <n v="11139"/>
    <x v="1"/>
    <x v="0"/>
    <n v="30000"/>
    <n v="2"/>
    <s v="Partial College"/>
    <s v="Clerical"/>
    <s v="No"/>
    <n v="2"/>
    <x v="2"/>
    <s v="Pacific"/>
    <n v="67"/>
    <x v="1"/>
    <x v="0"/>
  </r>
  <r>
    <n v="11576"/>
    <x v="0"/>
    <x v="1"/>
    <n v="30000"/>
    <n v="1"/>
    <s v="Bachelors"/>
    <s v="Skilled Manual"/>
    <s v="Yes"/>
    <n v="2"/>
    <x v="0"/>
    <s v="Europe"/>
    <n v="41"/>
    <x v="0"/>
    <x v="1"/>
  </r>
  <r>
    <n v="19255"/>
    <x v="1"/>
    <x v="1"/>
    <n v="10000"/>
    <n v="2"/>
    <s v="Partial College"/>
    <s v="Manual"/>
    <s v="Yes"/>
    <n v="1"/>
    <x v="0"/>
    <s v="Europe"/>
    <n v="51"/>
    <x v="0"/>
    <x v="1"/>
  </r>
  <r>
    <n v="18153"/>
    <x v="0"/>
    <x v="0"/>
    <n v="100000"/>
    <n v="2"/>
    <s v="Bachelors"/>
    <s v="Management"/>
    <s v="Yes"/>
    <n v="4"/>
    <x v="4"/>
    <s v="Europe"/>
    <n v="59"/>
    <x v="1"/>
    <x v="0"/>
  </r>
  <r>
    <n v="14547"/>
    <x v="0"/>
    <x v="1"/>
    <n v="10000"/>
    <n v="2"/>
    <s v="Partial College"/>
    <s v="Manual"/>
    <s v="Yes"/>
    <n v="0"/>
    <x v="3"/>
    <s v="Europe"/>
    <n v="51"/>
    <x v="0"/>
    <x v="0"/>
  </r>
  <r>
    <n v="24901"/>
    <x v="1"/>
    <x v="1"/>
    <n v="110000"/>
    <n v="0"/>
    <s v="Partial College"/>
    <s v="Management"/>
    <s v="No"/>
    <n v="3"/>
    <x v="4"/>
    <s v="Pacific"/>
    <n v="32"/>
    <x v="0"/>
    <x v="1"/>
  </r>
  <r>
    <n v="27169"/>
    <x v="1"/>
    <x v="1"/>
    <n v="30000"/>
    <n v="0"/>
    <s v="High School"/>
    <s v="Manual"/>
    <s v="Yes"/>
    <n v="1"/>
    <x v="1"/>
    <s v="Europe"/>
    <n v="34"/>
    <x v="0"/>
    <x v="1"/>
  </r>
  <r>
    <n v="14805"/>
    <x v="1"/>
    <x v="0"/>
    <n v="10000"/>
    <n v="3"/>
    <s v="Partial High School"/>
    <s v="Manual"/>
    <s v="Yes"/>
    <n v="2"/>
    <x v="0"/>
    <s v="Europe"/>
    <n v="43"/>
    <x v="0"/>
    <x v="0"/>
  </r>
  <r>
    <n v="15822"/>
    <x v="0"/>
    <x v="1"/>
    <n v="40000"/>
    <n v="2"/>
    <s v="Bachelors"/>
    <s v="Management"/>
    <s v="Yes"/>
    <n v="2"/>
    <x v="0"/>
    <s v="Pacific"/>
    <n v="67"/>
    <x v="1"/>
    <x v="0"/>
  </r>
  <r>
    <n v="19389"/>
    <x v="1"/>
    <x v="1"/>
    <n v="30000"/>
    <n v="0"/>
    <s v="Partial College"/>
    <s v="Clerical"/>
    <s v="No"/>
    <n v="1"/>
    <x v="1"/>
    <s v="Europe"/>
    <n v="28"/>
    <x v="2"/>
    <x v="0"/>
  </r>
  <r>
    <n v="17048"/>
    <x v="1"/>
    <x v="0"/>
    <n v="90000"/>
    <n v="1"/>
    <s v="Graduate Degree"/>
    <s v="Management"/>
    <s v="Yes"/>
    <n v="0"/>
    <x v="0"/>
    <s v="Pacific"/>
    <n v="36"/>
    <x v="0"/>
    <x v="1"/>
  </r>
  <r>
    <n v="22204"/>
    <x v="0"/>
    <x v="1"/>
    <n v="110000"/>
    <n v="4"/>
    <s v="Bachelors"/>
    <s v="Management"/>
    <s v="Yes"/>
    <n v="3"/>
    <x v="1"/>
    <s v="Pacific"/>
    <n v="48"/>
    <x v="0"/>
    <x v="0"/>
  </r>
  <r>
    <n v="12718"/>
    <x v="1"/>
    <x v="0"/>
    <n v="30000"/>
    <n v="0"/>
    <s v="Partial College"/>
    <s v="Clerical"/>
    <s v="Yes"/>
    <n v="1"/>
    <x v="1"/>
    <s v="Europe"/>
    <n v="31"/>
    <x v="0"/>
    <x v="0"/>
  </r>
  <r>
    <n v="15019"/>
    <x v="1"/>
    <x v="0"/>
    <n v="30000"/>
    <n v="3"/>
    <s v="High School"/>
    <s v="Skilled Manual"/>
    <s v="Yes"/>
    <n v="2"/>
    <x v="2"/>
    <s v="Pacific"/>
    <n v="55"/>
    <x v="1"/>
    <x v="0"/>
  </r>
  <r>
    <n v="28488"/>
    <x v="1"/>
    <x v="1"/>
    <n v="20000"/>
    <n v="0"/>
    <s v="Partial College"/>
    <s v="Manual"/>
    <s v="Yes"/>
    <n v="0"/>
    <x v="0"/>
    <s v="Pacific"/>
    <n v="28"/>
    <x v="2"/>
    <x v="1"/>
  </r>
  <r>
    <n v="21891"/>
    <x v="0"/>
    <x v="0"/>
    <n v="110000"/>
    <n v="0"/>
    <s v="High School"/>
    <s v="Management"/>
    <s v="Yes"/>
    <n v="3"/>
    <x v="4"/>
    <s v="Pacific"/>
    <n v="34"/>
    <x v="0"/>
    <x v="1"/>
  </r>
  <r>
    <n v="27814"/>
    <x v="1"/>
    <x v="0"/>
    <n v="30000"/>
    <n v="3"/>
    <s v="Partial College"/>
    <s v="Clerical"/>
    <s v="No"/>
    <n v="1"/>
    <x v="0"/>
    <s v="Europe"/>
    <n v="26"/>
    <x v="2"/>
    <x v="0"/>
  </r>
  <r>
    <n v="22175"/>
    <x v="0"/>
    <x v="0"/>
    <n v="30000"/>
    <n v="3"/>
    <s v="High School"/>
    <s v="Skilled Manual"/>
    <s v="Yes"/>
    <n v="2"/>
    <x v="2"/>
    <s v="Pacific"/>
    <n v="53"/>
    <x v="0"/>
    <x v="1"/>
  </r>
  <r>
    <n v="29447"/>
    <x v="1"/>
    <x v="0"/>
    <n v="10000"/>
    <n v="2"/>
    <s v="Bachelors"/>
    <s v="Clerical"/>
    <s v="No"/>
    <n v="1"/>
    <x v="1"/>
    <s v="Europe"/>
    <n v="68"/>
    <x v="1"/>
    <x v="0"/>
  </r>
  <r>
    <n v="19784"/>
    <x v="0"/>
    <x v="0"/>
    <n v="80000"/>
    <n v="2"/>
    <s v="High School"/>
    <s v="Skilled Manual"/>
    <s v="Yes"/>
    <n v="2"/>
    <x v="2"/>
    <s v="Pacific"/>
    <n v="50"/>
    <x v="0"/>
    <x v="1"/>
  </r>
  <r>
    <n v="27824"/>
    <x v="1"/>
    <x v="0"/>
    <n v="30000"/>
    <n v="3"/>
    <s v="Partial College"/>
    <s v="Clerical"/>
    <s v="Yes"/>
    <n v="2"/>
    <x v="0"/>
    <s v="Europe"/>
    <n v="28"/>
    <x v="2"/>
    <x v="1"/>
  </r>
  <r>
    <n v="24093"/>
    <x v="1"/>
    <x v="0"/>
    <n v="80000"/>
    <n v="0"/>
    <s v="Graduate Degree"/>
    <s v="Skilled Manual"/>
    <s v="No"/>
    <n v="0"/>
    <x v="0"/>
    <s v="Europe"/>
    <n v="40"/>
    <x v="0"/>
    <x v="1"/>
  </r>
  <r>
    <n v="19618"/>
    <x v="0"/>
    <x v="1"/>
    <n v="70000"/>
    <n v="5"/>
    <s v="Partial College"/>
    <s v="Skilled Manual"/>
    <s v="Yes"/>
    <n v="2"/>
    <x v="0"/>
    <s v="Pacific"/>
    <n v="44"/>
    <x v="0"/>
    <x v="0"/>
  </r>
  <r>
    <n v="21561"/>
    <x v="1"/>
    <x v="1"/>
    <n v="90000"/>
    <n v="0"/>
    <s v="Bachelors"/>
    <s v="Professional"/>
    <s v="No"/>
    <n v="3"/>
    <x v="4"/>
    <s v="Pacific"/>
    <n v="34"/>
    <x v="0"/>
    <x v="1"/>
  </r>
  <r>
    <n v="11061"/>
    <x v="0"/>
    <x v="1"/>
    <n v="70000"/>
    <n v="2"/>
    <s v="Partial College"/>
    <s v="Skilled Manual"/>
    <s v="Yes"/>
    <n v="2"/>
    <x v="2"/>
    <s v="Pacific"/>
    <n v="52"/>
    <x v="0"/>
    <x v="1"/>
  </r>
  <r>
    <n v="26651"/>
    <x v="1"/>
    <x v="1"/>
    <n v="80000"/>
    <n v="4"/>
    <s v="Graduate Degree"/>
    <s v="Management"/>
    <s v="Yes"/>
    <n v="0"/>
    <x v="0"/>
    <s v="Pacific"/>
    <n v="36"/>
    <x v="0"/>
    <x v="1"/>
  </r>
  <r>
    <n v="21108"/>
    <x v="0"/>
    <x v="0"/>
    <n v="40000"/>
    <n v="1"/>
    <s v="Bachelors"/>
    <s v="Skilled Manual"/>
    <s v="Yes"/>
    <n v="1"/>
    <x v="0"/>
    <s v="Europe"/>
    <n v="43"/>
    <x v="0"/>
    <x v="1"/>
  </r>
  <r>
    <n v="12731"/>
    <x v="1"/>
    <x v="1"/>
    <n v="30000"/>
    <n v="0"/>
    <s v="High School"/>
    <s v="Manual"/>
    <s v="No"/>
    <n v="1"/>
    <x v="3"/>
    <s v="Europe"/>
    <n v="32"/>
    <x v="0"/>
    <x v="0"/>
  </r>
  <r>
    <n v="25307"/>
    <x v="0"/>
    <x v="0"/>
    <n v="40000"/>
    <n v="1"/>
    <s v="Bachelors"/>
    <s v="Skilled Manual"/>
    <s v="Yes"/>
    <n v="1"/>
    <x v="3"/>
    <s v="Europe"/>
    <n v="32"/>
    <x v="0"/>
    <x v="1"/>
  </r>
  <r>
    <n v="14278"/>
    <x v="0"/>
    <x v="0"/>
    <n v="130000"/>
    <n v="0"/>
    <s v="Graduate Degree"/>
    <s v="Management"/>
    <s v="Yes"/>
    <n v="1"/>
    <x v="4"/>
    <s v="Pacific"/>
    <n v="48"/>
    <x v="0"/>
    <x v="0"/>
  </r>
  <r>
    <n v="20711"/>
    <x v="0"/>
    <x v="0"/>
    <n v="40000"/>
    <n v="1"/>
    <s v="Bachelors"/>
    <s v="Skilled Manual"/>
    <s v="Yes"/>
    <n v="0"/>
    <x v="3"/>
    <s v="Europe"/>
    <n v="32"/>
    <x v="0"/>
    <x v="1"/>
  </r>
  <r>
    <n v="11383"/>
    <x v="0"/>
    <x v="0"/>
    <n v="30000"/>
    <n v="3"/>
    <s v="Graduate Degree"/>
    <s v="Clerical"/>
    <s v="Yes"/>
    <n v="0"/>
    <x v="0"/>
    <s v="Europe"/>
    <n v="46"/>
    <x v="0"/>
    <x v="0"/>
  </r>
  <r>
    <n v="12497"/>
    <x v="0"/>
    <x v="0"/>
    <n v="40000"/>
    <n v="1"/>
    <s v="Bachelors"/>
    <s v="Skilled Manual"/>
    <s v="Yes"/>
    <n v="0"/>
    <x v="0"/>
    <s v="Europe"/>
    <n v="42"/>
    <x v="0"/>
    <x v="0"/>
  </r>
  <r>
    <n v="16559"/>
    <x v="1"/>
    <x v="0"/>
    <n v="10000"/>
    <n v="2"/>
    <s v="High School"/>
    <s v="Manual"/>
    <s v="Yes"/>
    <n v="0"/>
    <x v="0"/>
    <s v="Europe"/>
    <n v="36"/>
    <x v="0"/>
    <x v="1"/>
  </r>
  <r>
    <n v="11585"/>
    <x v="0"/>
    <x v="0"/>
    <n v="40000"/>
    <n v="1"/>
    <s v="Bachelors"/>
    <s v="Skilled Manual"/>
    <s v="Yes"/>
    <n v="0"/>
    <x v="0"/>
    <s v="Europe"/>
    <n v="41"/>
    <x v="0"/>
    <x v="0"/>
  </r>
  <r>
    <n v="20277"/>
    <x v="0"/>
    <x v="0"/>
    <n v="30000"/>
    <n v="2"/>
    <s v="Partial College"/>
    <s v="Clerical"/>
    <s v="No"/>
    <n v="2"/>
    <x v="0"/>
    <s v="Pacific"/>
    <n v="69"/>
    <x v="1"/>
    <x v="0"/>
  </r>
  <r>
    <n v="26765"/>
    <x v="1"/>
    <x v="0"/>
    <n v="70000"/>
    <n v="5"/>
    <s v="Partial College"/>
    <s v="Skilled Manual"/>
    <s v="Yes"/>
    <n v="2"/>
    <x v="2"/>
    <s v="Pacific"/>
    <n v="45"/>
    <x v="0"/>
    <x v="0"/>
  </r>
  <r>
    <n v="12389"/>
    <x v="1"/>
    <x v="1"/>
    <n v="30000"/>
    <n v="0"/>
    <s v="High School"/>
    <s v="Manual"/>
    <s v="No"/>
    <n v="1"/>
    <x v="1"/>
    <s v="Europe"/>
    <n v="34"/>
    <x v="0"/>
    <x v="0"/>
  </r>
  <r>
    <n v="13585"/>
    <x v="0"/>
    <x v="0"/>
    <n v="80000"/>
    <n v="4"/>
    <s v="Partial College"/>
    <s v="Professional"/>
    <s v="No"/>
    <n v="1"/>
    <x v="1"/>
    <s v="Europe"/>
    <n v="53"/>
    <x v="0"/>
    <x v="1"/>
  </r>
  <r>
    <n v="26385"/>
    <x v="1"/>
    <x v="1"/>
    <n v="120000"/>
    <n v="3"/>
    <s v="High School"/>
    <s v="Professional"/>
    <s v="No"/>
    <n v="4"/>
    <x v="2"/>
    <s v="Europe"/>
    <n v="50"/>
    <x v="0"/>
    <x v="0"/>
  </r>
  <r>
    <n v="12236"/>
    <x v="0"/>
    <x v="0"/>
    <n v="20000"/>
    <n v="1"/>
    <s v="Partial College"/>
    <s v="Manual"/>
    <s v="Yes"/>
    <n v="0"/>
    <x v="0"/>
    <s v="Europe"/>
    <n v="65"/>
    <x v="1"/>
    <x v="0"/>
  </r>
  <r>
    <n v="21560"/>
    <x v="0"/>
    <x v="1"/>
    <n v="120000"/>
    <n v="0"/>
    <s v="Partial High School"/>
    <s v="Professional"/>
    <s v="Yes"/>
    <n v="4"/>
    <x v="4"/>
    <s v="Pacific"/>
    <n v="32"/>
    <x v="0"/>
    <x v="1"/>
  </r>
  <r>
    <n v="21554"/>
    <x v="1"/>
    <x v="0"/>
    <n v="80000"/>
    <n v="0"/>
    <s v="Bachelors"/>
    <s v="Professional"/>
    <s v="No"/>
    <n v="3"/>
    <x v="4"/>
    <s v="Pacific"/>
    <n v="33"/>
    <x v="0"/>
    <x v="0"/>
  </r>
  <r>
    <n v="13662"/>
    <x v="1"/>
    <x v="1"/>
    <n v="20000"/>
    <n v="0"/>
    <s v="Partial High School"/>
    <s v="Manual"/>
    <s v="Yes"/>
    <n v="2"/>
    <x v="3"/>
    <s v="Europe"/>
    <n v="31"/>
    <x v="0"/>
    <x v="1"/>
  </r>
  <r>
    <n v="13089"/>
    <x v="0"/>
    <x v="0"/>
    <n v="120000"/>
    <n v="1"/>
    <s v="Bachelors"/>
    <s v="Management"/>
    <s v="Yes"/>
    <n v="2"/>
    <x v="0"/>
    <s v="Pacific"/>
    <n v="46"/>
    <x v="0"/>
    <x v="1"/>
  </r>
  <r>
    <n v="14791"/>
    <x v="0"/>
    <x v="0"/>
    <n v="40000"/>
    <n v="0"/>
    <s v="Bachelors"/>
    <s v="Clerical"/>
    <s v="Yes"/>
    <n v="0"/>
    <x v="0"/>
    <s v="Europe"/>
    <n v="39"/>
    <x v="0"/>
    <x v="1"/>
  </r>
  <r>
    <n v="19331"/>
    <x v="1"/>
    <x v="1"/>
    <n v="20000"/>
    <n v="2"/>
    <s v="High School"/>
    <s v="Manual"/>
    <s v="Yes"/>
    <n v="1"/>
    <x v="0"/>
    <s v="Europe"/>
    <n v="40"/>
    <x v="0"/>
    <x v="0"/>
  </r>
  <r>
    <n v="17754"/>
    <x v="1"/>
    <x v="0"/>
    <n v="30000"/>
    <n v="3"/>
    <s v="Bachelors"/>
    <s v="Clerical"/>
    <s v="Yes"/>
    <n v="0"/>
    <x v="0"/>
    <s v="Europe"/>
    <n v="46"/>
    <x v="0"/>
    <x v="1"/>
  </r>
  <r>
    <n v="11149"/>
    <x v="0"/>
    <x v="1"/>
    <n v="40000"/>
    <n v="2"/>
    <s v="Bachelors"/>
    <s v="Management"/>
    <s v="Yes"/>
    <n v="2"/>
    <x v="0"/>
    <s v="Pacific"/>
    <n v="65"/>
    <x v="1"/>
    <x v="0"/>
  </r>
  <r>
    <n v="16549"/>
    <x v="1"/>
    <x v="0"/>
    <n v="30000"/>
    <n v="3"/>
    <s v="Bachelors"/>
    <s v="Clerical"/>
    <s v="Yes"/>
    <n v="0"/>
    <x v="0"/>
    <s v="Europe"/>
    <n v="47"/>
    <x v="0"/>
    <x v="1"/>
  </r>
  <r>
    <n v="24305"/>
    <x v="1"/>
    <x v="1"/>
    <n v="100000"/>
    <n v="1"/>
    <s v="Bachelors"/>
    <s v="Management"/>
    <s v="No"/>
    <n v="3"/>
    <x v="0"/>
    <s v="Pacific"/>
    <n v="46"/>
    <x v="0"/>
    <x v="1"/>
  </r>
  <r>
    <n v="18253"/>
    <x v="0"/>
    <x v="0"/>
    <n v="80000"/>
    <n v="5"/>
    <s v="Graduate Degree"/>
    <s v="Management"/>
    <s v="Yes"/>
    <n v="3"/>
    <x v="0"/>
    <s v="Pacific"/>
    <n v="40"/>
    <x v="0"/>
    <x v="0"/>
  </r>
  <r>
    <n v="20147"/>
    <x v="0"/>
    <x v="0"/>
    <n v="30000"/>
    <n v="1"/>
    <s v="Bachelors"/>
    <s v="Clerical"/>
    <s v="Yes"/>
    <n v="0"/>
    <x v="0"/>
    <s v="Europe"/>
    <n v="65"/>
    <x v="1"/>
    <x v="0"/>
  </r>
  <r>
    <n v="15612"/>
    <x v="1"/>
    <x v="1"/>
    <n v="30000"/>
    <n v="0"/>
    <s v="High School"/>
    <s v="Manual"/>
    <s v="No"/>
    <n v="1"/>
    <x v="3"/>
    <s v="Europe"/>
    <n v="28"/>
    <x v="2"/>
    <x v="0"/>
  </r>
  <r>
    <n v="28323"/>
    <x v="1"/>
    <x v="1"/>
    <n v="70000"/>
    <n v="0"/>
    <s v="Bachelors"/>
    <s v="Professional"/>
    <s v="No"/>
    <n v="2"/>
    <x v="2"/>
    <s v="Pacific"/>
    <n v="43"/>
    <x v="0"/>
    <x v="1"/>
  </r>
  <r>
    <n v="22634"/>
    <x v="1"/>
    <x v="0"/>
    <n v="40000"/>
    <n v="0"/>
    <s v="Graduate Degree"/>
    <s v="Clerical"/>
    <s v="Yes"/>
    <n v="0"/>
    <x v="0"/>
    <s v="Europe"/>
    <n v="38"/>
    <x v="0"/>
    <x v="1"/>
  </r>
  <r>
    <n v="15665"/>
    <x v="0"/>
    <x v="0"/>
    <n v="30000"/>
    <n v="0"/>
    <s v="Bachelors"/>
    <s v="Clerical"/>
    <s v="Yes"/>
    <n v="0"/>
    <x v="0"/>
    <s v="Europe"/>
    <n v="47"/>
    <x v="0"/>
    <x v="1"/>
  </r>
  <r>
    <n v="27585"/>
    <x v="0"/>
    <x v="0"/>
    <n v="90000"/>
    <n v="2"/>
    <s v="Bachelors"/>
    <s v="Professional"/>
    <s v="No"/>
    <n v="0"/>
    <x v="0"/>
    <s v="Pacific"/>
    <n v="36"/>
    <x v="0"/>
    <x v="1"/>
  </r>
  <r>
    <n v="19748"/>
    <x v="0"/>
    <x v="1"/>
    <n v="20000"/>
    <n v="4"/>
    <s v="High School"/>
    <s v="Skilled Manual"/>
    <s v="No"/>
    <n v="2"/>
    <x v="3"/>
    <s v="Pacific"/>
    <n v="60"/>
    <x v="1"/>
    <x v="0"/>
  </r>
  <r>
    <n v="21974"/>
    <x v="1"/>
    <x v="0"/>
    <n v="70000"/>
    <n v="0"/>
    <s v="Bachelors"/>
    <s v="Professional"/>
    <s v="Yes"/>
    <n v="1"/>
    <x v="2"/>
    <s v="Pacific"/>
    <n v="42"/>
    <x v="0"/>
    <x v="1"/>
  </r>
  <r>
    <n v="14032"/>
    <x v="0"/>
    <x v="1"/>
    <n v="70000"/>
    <n v="2"/>
    <s v="High School"/>
    <s v="Skilled Manual"/>
    <s v="No"/>
    <n v="2"/>
    <x v="3"/>
    <s v="Pacific"/>
    <n v="50"/>
    <x v="0"/>
    <x v="1"/>
  </r>
  <r>
    <n v="22610"/>
    <x v="0"/>
    <x v="1"/>
    <n v="30000"/>
    <n v="0"/>
    <s v="Bachelors"/>
    <s v="Clerical"/>
    <s v="Yes"/>
    <n v="0"/>
    <x v="0"/>
    <s v="Europe"/>
    <n v="35"/>
    <x v="0"/>
    <x v="1"/>
  </r>
  <r>
    <n v="26984"/>
    <x v="0"/>
    <x v="1"/>
    <n v="40000"/>
    <n v="1"/>
    <s v="Bachelors"/>
    <s v="Skilled Manual"/>
    <s v="Yes"/>
    <n v="1"/>
    <x v="0"/>
    <s v="Europe"/>
    <n v="32"/>
    <x v="0"/>
    <x v="1"/>
  </r>
  <r>
    <n v="18294"/>
    <x v="0"/>
    <x v="0"/>
    <n v="90000"/>
    <n v="1"/>
    <s v="Bachelors"/>
    <s v="Professional"/>
    <s v="Yes"/>
    <n v="1"/>
    <x v="2"/>
    <s v="Pacific"/>
    <n v="46"/>
    <x v="0"/>
    <x v="0"/>
  </r>
  <r>
    <n v="28564"/>
    <x v="1"/>
    <x v="0"/>
    <n v="40000"/>
    <n v="2"/>
    <s v="Partial College"/>
    <s v="Clerical"/>
    <s v="Yes"/>
    <n v="0"/>
    <x v="3"/>
    <s v="Europe"/>
    <n v="33"/>
    <x v="0"/>
    <x v="1"/>
  </r>
  <r>
    <n v="28521"/>
    <x v="1"/>
    <x v="1"/>
    <n v="40000"/>
    <n v="0"/>
    <s v="Graduate Degree"/>
    <s v="Clerical"/>
    <s v="No"/>
    <n v="0"/>
    <x v="0"/>
    <s v="Europe"/>
    <n v="36"/>
    <x v="0"/>
    <x v="1"/>
  </r>
  <r>
    <n v="15450"/>
    <x v="0"/>
    <x v="1"/>
    <n v="10000"/>
    <n v="1"/>
    <s v="Graduate Degree"/>
    <s v="Clerical"/>
    <s v="Yes"/>
    <n v="0"/>
    <x v="0"/>
    <s v="Europe"/>
    <n v="70"/>
    <x v="1"/>
    <x v="0"/>
  </r>
  <r>
    <n v="25681"/>
    <x v="1"/>
    <x v="0"/>
    <n v="30000"/>
    <n v="0"/>
    <s v="Partial College"/>
    <s v="Clerical"/>
    <s v="No"/>
    <n v="1"/>
    <x v="1"/>
    <s v="Europe"/>
    <n v="31"/>
    <x v="0"/>
    <x v="1"/>
  </r>
  <r>
    <n v="19491"/>
    <x v="1"/>
    <x v="1"/>
    <n v="30000"/>
    <n v="2"/>
    <s v="Partial College"/>
    <s v="Clerical"/>
    <s v="Yes"/>
    <n v="2"/>
    <x v="0"/>
    <s v="Europe"/>
    <n v="42"/>
    <x v="0"/>
    <x v="0"/>
  </r>
  <r>
    <n v="26415"/>
    <x v="0"/>
    <x v="0"/>
    <n v="90000"/>
    <n v="4"/>
    <s v="Partial High School"/>
    <s v="Skilled Manual"/>
    <s v="Yes"/>
    <n v="4"/>
    <x v="4"/>
    <s v="Europe"/>
    <n v="58"/>
    <x v="1"/>
    <x v="0"/>
  </r>
  <r>
    <n v="12821"/>
    <x v="0"/>
    <x v="1"/>
    <n v="40000"/>
    <n v="0"/>
    <s v="Bachelors"/>
    <s v="Clerical"/>
    <s v="Yes"/>
    <n v="0"/>
    <x v="0"/>
    <s v="Europe"/>
    <n v="39"/>
    <x v="0"/>
    <x v="0"/>
  </r>
  <r>
    <n v="15629"/>
    <x v="1"/>
    <x v="0"/>
    <n v="10000"/>
    <n v="0"/>
    <s v="Partial High School"/>
    <s v="Manual"/>
    <s v="Yes"/>
    <n v="2"/>
    <x v="3"/>
    <s v="Europe"/>
    <n v="34"/>
    <x v="0"/>
    <x v="0"/>
  </r>
  <r>
    <n v="27835"/>
    <x v="0"/>
    <x v="1"/>
    <n v="20000"/>
    <n v="0"/>
    <s v="Partial High School"/>
    <s v="Manual"/>
    <s v="Yes"/>
    <n v="2"/>
    <x v="0"/>
    <s v="Europe"/>
    <n v="32"/>
    <x v="0"/>
    <x v="0"/>
  </r>
  <r>
    <n v="11738"/>
    <x v="0"/>
    <x v="1"/>
    <n v="60000"/>
    <n v="4"/>
    <s v="Bachelors"/>
    <s v="Professional"/>
    <s v="Yes"/>
    <n v="0"/>
    <x v="1"/>
    <s v="North America"/>
    <n v="46"/>
    <x v="0"/>
    <x v="0"/>
  </r>
  <r>
    <n v="25065"/>
    <x v="0"/>
    <x v="1"/>
    <n v="70000"/>
    <n v="2"/>
    <s v="Partial High School"/>
    <s v="Skilled Manual"/>
    <s v="Yes"/>
    <n v="2"/>
    <x v="2"/>
    <s v="North America"/>
    <n v="48"/>
    <x v="0"/>
    <x v="0"/>
  </r>
  <r>
    <n v="26238"/>
    <x v="1"/>
    <x v="0"/>
    <n v="40000"/>
    <n v="3"/>
    <s v="Partial College"/>
    <s v="Clerical"/>
    <s v="Yes"/>
    <n v="1"/>
    <x v="3"/>
    <s v="North America"/>
    <n v="31"/>
    <x v="0"/>
    <x v="1"/>
  </r>
  <r>
    <n v="23707"/>
    <x v="1"/>
    <x v="1"/>
    <n v="70000"/>
    <n v="5"/>
    <s v="Bachelors"/>
    <s v="Management"/>
    <s v="Yes"/>
    <n v="3"/>
    <x v="4"/>
    <s v="North America"/>
    <n v="60"/>
    <x v="1"/>
    <x v="1"/>
  </r>
  <r>
    <n v="27650"/>
    <x v="0"/>
    <x v="1"/>
    <n v="70000"/>
    <n v="4"/>
    <s v="High School"/>
    <s v="Professional"/>
    <s v="Yes"/>
    <n v="0"/>
    <x v="2"/>
    <s v="North America"/>
    <n v="51"/>
    <x v="0"/>
    <x v="0"/>
  </r>
  <r>
    <n v="24981"/>
    <x v="0"/>
    <x v="1"/>
    <n v="60000"/>
    <n v="2"/>
    <s v="Partial College"/>
    <s v="Professional"/>
    <s v="Yes"/>
    <n v="2"/>
    <x v="4"/>
    <s v="North America"/>
    <n v="56"/>
    <x v="1"/>
    <x v="0"/>
  </r>
  <r>
    <n v="20678"/>
    <x v="1"/>
    <x v="0"/>
    <n v="60000"/>
    <n v="3"/>
    <s v="Bachelors"/>
    <s v="Skilled Manual"/>
    <s v="Yes"/>
    <n v="1"/>
    <x v="1"/>
    <s v="North America"/>
    <n v="40"/>
    <x v="0"/>
    <x v="1"/>
  </r>
  <r>
    <n v="15302"/>
    <x v="1"/>
    <x v="0"/>
    <n v="70000"/>
    <n v="1"/>
    <s v="Graduate Degree"/>
    <s v="Professional"/>
    <s v="Yes"/>
    <n v="0"/>
    <x v="1"/>
    <s v="North America"/>
    <n v="34"/>
    <x v="0"/>
    <x v="1"/>
  </r>
  <r>
    <n v="26012"/>
    <x v="0"/>
    <x v="1"/>
    <n v="80000"/>
    <n v="1"/>
    <s v="Partial College"/>
    <s v="Skilled Manual"/>
    <s v="Yes"/>
    <n v="1"/>
    <x v="1"/>
    <s v="North America"/>
    <n v="48"/>
    <x v="0"/>
    <x v="1"/>
  </r>
  <r>
    <n v="26575"/>
    <x v="1"/>
    <x v="0"/>
    <n v="40000"/>
    <n v="0"/>
    <s v="High School"/>
    <s v="Skilled Manual"/>
    <s v="No"/>
    <n v="2"/>
    <x v="3"/>
    <s v="North America"/>
    <n v="31"/>
    <x v="0"/>
    <x v="1"/>
  </r>
  <r>
    <n v="15559"/>
    <x v="0"/>
    <x v="1"/>
    <n v="60000"/>
    <n v="5"/>
    <s v="Bachelors"/>
    <s v="Professional"/>
    <s v="Yes"/>
    <n v="1"/>
    <x v="1"/>
    <s v="North America"/>
    <n v="47"/>
    <x v="0"/>
    <x v="0"/>
  </r>
  <r>
    <n v="19235"/>
    <x v="0"/>
    <x v="0"/>
    <n v="50000"/>
    <n v="0"/>
    <s v="Graduate Degree"/>
    <s v="Skilled Manual"/>
    <s v="Yes"/>
    <n v="0"/>
    <x v="0"/>
    <s v="North America"/>
    <n v="34"/>
    <x v="0"/>
    <x v="0"/>
  </r>
  <r>
    <n v="15275"/>
    <x v="0"/>
    <x v="1"/>
    <n v="40000"/>
    <n v="0"/>
    <s v="Partial College"/>
    <s v="Skilled Manual"/>
    <s v="Yes"/>
    <n v="1"/>
    <x v="2"/>
    <s v="North America"/>
    <n v="29"/>
    <x v="2"/>
    <x v="0"/>
  </r>
  <r>
    <n v="20339"/>
    <x v="0"/>
    <x v="0"/>
    <n v="130000"/>
    <n v="1"/>
    <s v="Bachelors"/>
    <s v="Management"/>
    <s v="Yes"/>
    <n v="4"/>
    <x v="1"/>
    <s v="North America"/>
    <n v="44"/>
    <x v="0"/>
    <x v="1"/>
  </r>
  <r>
    <n v="25405"/>
    <x v="0"/>
    <x v="1"/>
    <n v="70000"/>
    <n v="2"/>
    <s v="Bachelors"/>
    <s v="Skilled Manual"/>
    <s v="Yes"/>
    <n v="1"/>
    <x v="1"/>
    <s v="North America"/>
    <n v="38"/>
    <x v="0"/>
    <x v="1"/>
  </r>
  <r>
    <n v="15940"/>
    <x v="0"/>
    <x v="1"/>
    <n v="100000"/>
    <n v="4"/>
    <s v="Partial College"/>
    <s v="Professional"/>
    <s v="Yes"/>
    <n v="4"/>
    <x v="0"/>
    <s v="North America"/>
    <n v="40"/>
    <x v="0"/>
    <x v="0"/>
  </r>
  <r>
    <n v="25074"/>
    <x v="0"/>
    <x v="0"/>
    <n v="70000"/>
    <n v="4"/>
    <s v="Bachelors"/>
    <s v="Professional"/>
    <s v="Yes"/>
    <n v="2"/>
    <x v="1"/>
    <s v="North America"/>
    <n v="42"/>
    <x v="0"/>
    <x v="1"/>
  </r>
  <r>
    <n v="24738"/>
    <x v="0"/>
    <x v="0"/>
    <n v="40000"/>
    <n v="1"/>
    <s v="Partial College"/>
    <s v="Clerical"/>
    <s v="Yes"/>
    <n v="1"/>
    <x v="3"/>
    <s v="North America"/>
    <n v="51"/>
    <x v="0"/>
    <x v="1"/>
  </r>
  <r>
    <n v="16337"/>
    <x v="0"/>
    <x v="1"/>
    <n v="60000"/>
    <n v="0"/>
    <s v="Partial College"/>
    <s v="Skilled Manual"/>
    <s v="No"/>
    <n v="2"/>
    <x v="3"/>
    <s v="North America"/>
    <n v="29"/>
    <x v="2"/>
    <x v="0"/>
  </r>
  <r>
    <n v="24357"/>
    <x v="0"/>
    <x v="1"/>
    <n v="80000"/>
    <n v="3"/>
    <s v="Bachelors"/>
    <s v="Professional"/>
    <s v="Yes"/>
    <n v="1"/>
    <x v="1"/>
    <s v="North America"/>
    <n v="48"/>
    <x v="0"/>
    <x v="1"/>
  </r>
  <r>
    <n v="18613"/>
    <x v="1"/>
    <x v="1"/>
    <n v="70000"/>
    <n v="0"/>
    <s v="Bachelors"/>
    <s v="Professional"/>
    <s v="No"/>
    <n v="1"/>
    <x v="1"/>
    <s v="North America"/>
    <n v="37"/>
    <x v="0"/>
    <x v="1"/>
  </r>
  <r>
    <n v="12207"/>
    <x v="1"/>
    <x v="1"/>
    <n v="80000"/>
    <n v="4"/>
    <s v="Bachelors"/>
    <s v="Management"/>
    <s v="Yes"/>
    <n v="0"/>
    <x v="2"/>
    <s v="North America"/>
    <n v="66"/>
    <x v="1"/>
    <x v="1"/>
  </r>
  <r>
    <n v="18052"/>
    <x v="0"/>
    <x v="0"/>
    <n v="60000"/>
    <n v="1"/>
    <s v="Partial College"/>
    <s v="Skilled Manual"/>
    <s v="Yes"/>
    <n v="1"/>
    <x v="0"/>
    <s v="North America"/>
    <n v="45"/>
    <x v="0"/>
    <x v="1"/>
  </r>
  <r>
    <n v="13353"/>
    <x v="1"/>
    <x v="0"/>
    <n v="60000"/>
    <n v="4"/>
    <s v="Graduate Degree"/>
    <s v="Management"/>
    <s v="Yes"/>
    <n v="2"/>
    <x v="4"/>
    <s v="North America"/>
    <n v="61"/>
    <x v="1"/>
    <x v="1"/>
  </r>
  <r>
    <n v="19399"/>
    <x v="1"/>
    <x v="1"/>
    <n v="40000"/>
    <n v="0"/>
    <s v="Bachelors"/>
    <s v="Professional"/>
    <s v="No"/>
    <n v="1"/>
    <x v="1"/>
    <s v="North America"/>
    <n v="45"/>
    <x v="0"/>
    <x v="0"/>
  </r>
  <r>
    <n v="16154"/>
    <x v="0"/>
    <x v="0"/>
    <n v="70000"/>
    <n v="5"/>
    <s v="Bachelors"/>
    <s v="Professional"/>
    <s v="Yes"/>
    <n v="2"/>
    <x v="1"/>
    <s v="North America"/>
    <n v="47"/>
    <x v="0"/>
    <x v="0"/>
  </r>
  <r>
    <n v="22219"/>
    <x v="0"/>
    <x v="0"/>
    <n v="60000"/>
    <n v="2"/>
    <s v="High School"/>
    <s v="Professional"/>
    <s v="Yes"/>
    <n v="2"/>
    <x v="2"/>
    <s v="North America"/>
    <n v="49"/>
    <x v="0"/>
    <x v="0"/>
  </r>
  <r>
    <n v="17269"/>
    <x v="1"/>
    <x v="1"/>
    <n v="60000"/>
    <n v="3"/>
    <s v="Bachelors"/>
    <s v="Professional"/>
    <s v="No"/>
    <n v="0"/>
    <x v="0"/>
    <s v="North America"/>
    <n v="47"/>
    <x v="0"/>
    <x v="1"/>
  </r>
  <r>
    <n v="23586"/>
    <x v="0"/>
    <x v="0"/>
    <n v="80000"/>
    <n v="0"/>
    <s v="Bachelors"/>
    <s v="Management"/>
    <s v="Yes"/>
    <n v="1"/>
    <x v="3"/>
    <s v="North America"/>
    <n v="34"/>
    <x v="0"/>
    <x v="1"/>
  </r>
  <r>
    <n v="15740"/>
    <x v="0"/>
    <x v="1"/>
    <n v="80000"/>
    <n v="5"/>
    <s v="Bachelors"/>
    <s v="Management"/>
    <s v="Yes"/>
    <n v="2"/>
    <x v="3"/>
    <s v="North America"/>
    <n v="64"/>
    <x v="1"/>
    <x v="0"/>
  </r>
  <r>
    <n v="27638"/>
    <x v="1"/>
    <x v="1"/>
    <n v="100000"/>
    <n v="1"/>
    <s v="Partial College"/>
    <s v="Professional"/>
    <s v="No"/>
    <n v="3"/>
    <x v="3"/>
    <s v="North America"/>
    <n v="44"/>
    <x v="0"/>
    <x v="0"/>
  </r>
  <r>
    <n v="18976"/>
    <x v="1"/>
    <x v="1"/>
    <n v="40000"/>
    <n v="4"/>
    <s v="High School"/>
    <s v="Professional"/>
    <s v="Yes"/>
    <n v="2"/>
    <x v="4"/>
    <s v="North America"/>
    <n v="62"/>
    <x v="1"/>
    <x v="1"/>
  </r>
  <r>
    <n v="19413"/>
    <x v="1"/>
    <x v="1"/>
    <n v="60000"/>
    <n v="3"/>
    <s v="Bachelors"/>
    <s v="Professional"/>
    <s v="No"/>
    <n v="1"/>
    <x v="0"/>
    <s v="North America"/>
    <n v="47"/>
    <x v="0"/>
    <x v="1"/>
  </r>
  <r>
    <n v="13283"/>
    <x v="0"/>
    <x v="1"/>
    <n v="80000"/>
    <n v="3"/>
    <s v="Partial College"/>
    <s v="Professional"/>
    <s v="No"/>
    <n v="2"/>
    <x v="0"/>
    <s v="North America"/>
    <n v="49"/>
    <x v="0"/>
    <x v="1"/>
  </r>
  <r>
    <n v="17471"/>
    <x v="1"/>
    <x v="0"/>
    <n v="80000"/>
    <n v="4"/>
    <s v="Graduate Degree"/>
    <s v="Management"/>
    <s v="Yes"/>
    <n v="2"/>
    <x v="2"/>
    <s v="North America"/>
    <n v="67"/>
    <x v="1"/>
    <x v="0"/>
  </r>
  <r>
    <n v="16791"/>
    <x v="1"/>
    <x v="1"/>
    <n v="60000"/>
    <n v="5"/>
    <s v="Bachelors"/>
    <s v="Management"/>
    <s v="Yes"/>
    <n v="3"/>
    <x v="4"/>
    <s v="North America"/>
    <n v="59"/>
    <x v="1"/>
    <x v="1"/>
  </r>
  <r>
    <n v="15382"/>
    <x v="0"/>
    <x v="0"/>
    <n v="110000"/>
    <n v="1"/>
    <s v="Bachelors"/>
    <s v="Management"/>
    <s v="Yes"/>
    <n v="2"/>
    <x v="3"/>
    <s v="North America"/>
    <n v="44"/>
    <x v="0"/>
    <x v="0"/>
  </r>
  <r>
    <n v="11641"/>
    <x v="0"/>
    <x v="1"/>
    <n v="50000"/>
    <n v="1"/>
    <s v="Bachelors"/>
    <s v="Skilled Manual"/>
    <s v="Yes"/>
    <n v="0"/>
    <x v="0"/>
    <s v="North America"/>
    <n v="36"/>
    <x v="0"/>
    <x v="0"/>
  </r>
  <r>
    <n v="11935"/>
    <x v="1"/>
    <x v="0"/>
    <n v="30000"/>
    <n v="0"/>
    <s v="Partial College"/>
    <s v="Skilled Manual"/>
    <s v="Yes"/>
    <n v="1"/>
    <x v="2"/>
    <s v="North America"/>
    <n v="28"/>
    <x v="2"/>
    <x v="0"/>
  </r>
  <r>
    <n v="13233"/>
    <x v="0"/>
    <x v="1"/>
    <n v="60000"/>
    <n v="2"/>
    <s v="Partial College"/>
    <s v="Professional"/>
    <s v="Yes"/>
    <n v="1"/>
    <x v="4"/>
    <s v="North America"/>
    <n v="57"/>
    <x v="1"/>
    <x v="1"/>
  </r>
  <r>
    <n v="25909"/>
    <x v="0"/>
    <x v="1"/>
    <n v="60000"/>
    <n v="0"/>
    <s v="Partial College"/>
    <s v="Skilled Manual"/>
    <s v="Yes"/>
    <n v="1"/>
    <x v="2"/>
    <s v="North America"/>
    <n v="27"/>
    <x v="2"/>
    <x v="1"/>
  </r>
  <r>
    <n v="14092"/>
    <x v="1"/>
    <x v="1"/>
    <n v="30000"/>
    <n v="0"/>
    <s v="Partial High School"/>
    <s v="Clerical"/>
    <s v="Yes"/>
    <n v="2"/>
    <x v="2"/>
    <s v="North America"/>
    <n v="28"/>
    <x v="2"/>
    <x v="0"/>
  </r>
  <r>
    <n v="29143"/>
    <x v="1"/>
    <x v="0"/>
    <n v="60000"/>
    <n v="1"/>
    <s v="Bachelors"/>
    <s v="Professional"/>
    <s v="No"/>
    <n v="1"/>
    <x v="0"/>
    <s v="North America"/>
    <n v="44"/>
    <x v="0"/>
    <x v="1"/>
  </r>
  <r>
    <n v="24941"/>
    <x v="0"/>
    <x v="1"/>
    <n v="60000"/>
    <n v="3"/>
    <s v="Bachelors"/>
    <s v="Management"/>
    <s v="Yes"/>
    <n v="2"/>
    <x v="4"/>
    <s v="North America"/>
    <n v="66"/>
    <x v="1"/>
    <x v="0"/>
  </r>
  <r>
    <n v="24637"/>
    <x v="0"/>
    <x v="1"/>
    <n v="40000"/>
    <n v="4"/>
    <s v="High School"/>
    <s v="Professional"/>
    <s v="Yes"/>
    <n v="2"/>
    <x v="4"/>
    <s v="North America"/>
    <n v="64"/>
    <x v="1"/>
    <x v="0"/>
  </r>
  <r>
    <n v="23893"/>
    <x v="0"/>
    <x v="1"/>
    <n v="50000"/>
    <n v="3"/>
    <s v="Bachelors"/>
    <s v="Skilled Manual"/>
    <s v="Yes"/>
    <n v="3"/>
    <x v="4"/>
    <s v="North America"/>
    <n v="41"/>
    <x v="0"/>
    <x v="0"/>
  </r>
  <r>
    <n v="13907"/>
    <x v="1"/>
    <x v="0"/>
    <n v="80000"/>
    <n v="3"/>
    <s v="Bachelors"/>
    <s v="Skilled Manual"/>
    <s v="Yes"/>
    <n v="1"/>
    <x v="0"/>
    <s v="North America"/>
    <n v="41"/>
    <x v="0"/>
    <x v="1"/>
  </r>
  <r>
    <n v="14900"/>
    <x v="0"/>
    <x v="0"/>
    <n v="40000"/>
    <n v="1"/>
    <s v="Partial College"/>
    <s v="Clerical"/>
    <s v="Yes"/>
    <n v="1"/>
    <x v="3"/>
    <s v="North America"/>
    <n v="49"/>
    <x v="0"/>
    <x v="1"/>
  </r>
  <r>
    <n v="11262"/>
    <x v="0"/>
    <x v="0"/>
    <n v="80000"/>
    <n v="4"/>
    <s v="Bachelors"/>
    <s v="Management"/>
    <s v="Yes"/>
    <n v="0"/>
    <x v="0"/>
    <s v="North America"/>
    <n v="42"/>
    <x v="0"/>
    <x v="0"/>
  </r>
  <r>
    <n v="22294"/>
    <x v="1"/>
    <x v="0"/>
    <n v="70000"/>
    <n v="0"/>
    <s v="Bachelors"/>
    <s v="Professional"/>
    <s v="No"/>
    <n v="1"/>
    <x v="1"/>
    <s v="North America"/>
    <n v="37"/>
    <x v="0"/>
    <x v="1"/>
  </r>
  <r>
    <n v="12195"/>
    <x v="1"/>
    <x v="0"/>
    <n v="70000"/>
    <n v="3"/>
    <s v="Graduate Degree"/>
    <s v="Management"/>
    <s v="Yes"/>
    <n v="2"/>
    <x v="3"/>
    <s v="North America"/>
    <n v="52"/>
    <x v="0"/>
    <x v="0"/>
  </r>
  <r>
    <n v="25375"/>
    <x v="0"/>
    <x v="1"/>
    <n v="50000"/>
    <n v="1"/>
    <s v="Graduate Degree"/>
    <s v="Skilled Manual"/>
    <s v="Yes"/>
    <n v="0"/>
    <x v="3"/>
    <s v="North America"/>
    <n v="34"/>
    <x v="0"/>
    <x v="0"/>
  </r>
  <r>
    <n v="11143"/>
    <x v="0"/>
    <x v="1"/>
    <n v="40000"/>
    <n v="0"/>
    <s v="High School"/>
    <s v="Skilled Manual"/>
    <s v="Yes"/>
    <n v="2"/>
    <x v="2"/>
    <s v="North America"/>
    <n v="29"/>
    <x v="2"/>
    <x v="0"/>
  </r>
  <r>
    <n v="25898"/>
    <x v="0"/>
    <x v="0"/>
    <n v="70000"/>
    <n v="2"/>
    <s v="High School"/>
    <s v="Professional"/>
    <s v="Yes"/>
    <n v="2"/>
    <x v="1"/>
    <s v="North America"/>
    <n v="53"/>
    <x v="0"/>
    <x v="0"/>
  </r>
  <r>
    <n v="24397"/>
    <x v="1"/>
    <x v="1"/>
    <n v="120000"/>
    <n v="2"/>
    <s v="Bachelors"/>
    <s v="Management"/>
    <s v="No"/>
    <n v="4"/>
    <x v="3"/>
    <s v="North America"/>
    <n v="40"/>
    <x v="0"/>
    <x v="0"/>
  </r>
  <r>
    <n v="19758"/>
    <x v="1"/>
    <x v="1"/>
    <n v="60000"/>
    <n v="0"/>
    <s v="Partial College"/>
    <s v="Skilled Manual"/>
    <s v="No"/>
    <n v="2"/>
    <x v="3"/>
    <s v="North America"/>
    <n v="29"/>
    <x v="2"/>
    <x v="0"/>
  </r>
  <r>
    <n v="15529"/>
    <x v="0"/>
    <x v="1"/>
    <n v="60000"/>
    <n v="4"/>
    <s v="Bachelors"/>
    <s v="Professional"/>
    <s v="Yes"/>
    <n v="2"/>
    <x v="1"/>
    <s v="North America"/>
    <n v="43"/>
    <x v="0"/>
    <x v="1"/>
  </r>
  <r>
    <n v="19884"/>
    <x v="0"/>
    <x v="1"/>
    <n v="60000"/>
    <n v="2"/>
    <s v="High School"/>
    <s v="Professional"/>
    <s v="Yes"/>
    <n v="2"/>
    <x v="1"/>
    <s v="North America"/>
    <n v="55"/>
    <x v="1"/>
    <x v="1"/>
  </r>
  <r>
    <n v="18674"/>
    <x v="1"/>
    <x v="0"/>
    <n v="80000"/>
    <n v="4"/>
    <s v="Graduate Degree"/>
    <s v="Skilled Manual"/>
    <s v="No"/>
    <n v="0"/>
    <x v="0"/>
    <s v="North America"/>
    <n v="48"/>
    <x v="0"/>
    <x v="0"/>
  </r>
  <r>
    <n v="13453"/>
    <x v="0"/>
    <x v="0"/>
    <n v="130000"/>
    <n v="3"/>
    <s v="Bachelors"/>
    <s v="Management"/>
    <s v="Yes"/>
    <n v="3"/>
    <x v="0"/>
    <s v="North America"/>
    <n v="45"/>
    <x v="0"/>
    <x v="1"/>
  </r>
  <r>
    <n v="14063"/>
    <x v="1"/>
    <x v="0"/>
    <n v="70000"/>
    <n v="0"/>
    <s v="Bachelors"/>
    <s v="Professional"/>
    <s v="No"/>
    <n v="1"/>
    <x v="0"/>
    <s v="Pacific"/>
    <n v="42"/>
    <x v="0"/>
    <x v="1"/>
  </r>
  <r>
    <n v="27393"/>
    <x v="0"/>
    <x v="0"/>
    <n v="50000"/>
    <n v="4"/>
    <s v="Bachelors"/>
    <s v="Management"/>
    <s v="Yes"/>
    <n v="2"/>
    <x v="4"/>
    <s v="North America"/>
    <n v="63"/>
    <x v="1"/>
    <x v="0"/>
  </r>
  <r>
    <n v="14417"/>
    <x v="1"/>
    <x v="1"/>
    <n v="60000"/>
    <n v="3"/>
    <s v="High School"/>
    <s v="Professional"/>
    <s v="Yes"/>
    <n v="2"/>
    <x v="4"/>
    <s v="North America"/>
    <n v="54"/>
    <x v="0"/>
    <x v="1"/>
  </r>
  <r>
    <n v="17533"/>
    <x v="0"/>
    <x v="1"/>
    <n v="40000"/>
    <n v="3"/>
    <s v="Partial College"/>
    <s v="Professional"/>
    <s v="No"/>
    <n v="2"/>
    <x v="2"/>
    <s v="North America"/>
    <n v="73"/>
    <x v="1"/>
    <x v="1"/>
  </r>
  <r>
    <n v="18580"/>
    <x v="0"/>
    <x v="0"/>
    <n v="60000"/>
    <n v="2"/>
    <s v="Graduate Degree"/>
    <s v="Professional"/>
    <s v="Yes"/>
    <n v="0"/>
    <x v="1"/>
    <s v="North America"/>
    <n v="40"/>
    <x v="0"/>
    <x v="1"/>
  </r>
  <r>
    <n v="17025"/>
    <x v="1"/>
    <x v="1"/>
    <n v="50000"/>
    <n v="0"/>
    <s v="Partial College"/>
    <s v="Skilled Manual"/>
    <s v="No"/>
    <n v="1"/>
    <x v="1"/>
    <s v="North America"/>
    <n v="39"/>
    <x v="0"/>
    <x v="1"/>
  </r>
  <r>
    <n v="25293"/>
    <x v="0"/>
    <x v="1"/>
    <n v="80000"/>
    <n v="4"/>
    <s v="Bachelors"/>
    <s v="Management"/>
    <s v="Yes"/>
    <n v="0"/>
    <x v="3"/>
    <s v="North America"/>
    <n v="42"/>
    <x v="0"/>
    <x v="0"/>
  </r>
  <r>
    <n v="24725"/>
    <x v="0"/>
    <x v="0"/>
    <n v="40000"/>
    <n v="3"/>
    <s v="Partial College"/>
    <s v="Clerical"/>
    <s v="Yes"/>
    <n v="0"/>
    <x v="3"/>
    <s v="North America"/>
    <n v="31"/>
    <x v="0"/>
    <x v="0"/>
  </r>
  <r>
    <n v="23200"/>
    <x v="0"/>
    <x v="0"/>
    <n v="50000"/>
    <n v="3"/>
    <s v="Bachelors"/>
    <s v="Skilled Manual"/>
    <s v="Yes"/>
    <n v="2"/>
    <x v="0"/>
    <s v="North America"/>
    <n v="41"/>
    <x v="0"/>
    <x v="0"/>
  </r>
  <r>
    <n v="15895"/>
    <x v="1"/>
    <x v="0"/>
    <n v="60000"/>
    <n v="2"/>
    <s v="Bachelors"/>
    <s v="Management"/>
    <s v="Yes"/>
    <n v="0"/>
    <x v="4"/>
    <s v="North America"/>
    <n v="58"/>
    <x v="1"/>
    <x v="0"/>
  </r>
  <r>
    <n v="18577"/>
    <x v="0"/>
    <x v="0"/>
    <n v="60000"/>
    <n v="0"/>
    <s v="Graduate Degree"/>
    <s v="Professional"/>
    <s v="Yes"/>
    <n v="0"/>
    <x v="0"/>
    <s v="North America"/>
    <n v="40"/>
    <x v="0"/>
    <x v="0"/>
  </r>
  <r>
    <n v="27218"/>
    <x v="0"/>
    <x v="0"/>
    <n v="20000"/>
    <n v="2"/>
    <s v="Partial High School"/>
    <s v="Clerical"/>
    <s v="No"/>
    <n v="0"/>
    <x v="0"/>
    <s v="North America"/>
    <n v="48"/>
    <x v="0"/>
    <x v="0"/>
  </r>
  <r>
    <n v="18560"/>
    <x v="0"/>
    <x v="0"/>
    <n v="70000"/>
    <n v="2"/>
    <s v="Graduate Degree"/>
    <s v="Professional"/>
    <s v="Yes"/>
    <n v="0"/>
    <x v="1"/>
    <s v="North America"/>
    <n v="34"/>
    <x v="0"/>
    <x v="1"/>
  </r>
  <r>
    <n v="25006"/>
    <x v="1"/>
    <x v="0"/>
    <n v="30000"/>
    <n v="0"/>
    <s v="Partial College"/>
    <s v="Skilled Manual"/>
    <s v="Yes"/>
    <n v="1"/>
    <x v="2"/>
    <s v="North America"/>
    <n v="28"/>
    <x v="2"/>
    <x v="0"/>
  </r>
  <r>
    <n v="17369"/>
    <x v="1"/>
    <x v="1"/>
    <n v="30000"/>
    <n v="0"/>
    <s v="Partial College"/>
    <s v="Skilled Manual"/>
    <s v="Yes"/>
    <n v="1"/>
    <x v="2"/>
    <s v="North America"/>
    <n v="27"/>
    <x v="2"/>
    <x v="0"/>
  </r>
  <r>
    <n v="14495"/>
    <x v="0"/>
    <x v="1"/>
    <n v="40000"/>
    <n v="3"/>
    <s v="Partial College"/>
    <s v="Professional"/>
    <s v="No"/>
    <n v="2"/>
    <x v="2"/>
    <s v="North America"/>
    <n v="54"/>
    <x v="0"/>
    <x v="1"/>
  </r>
  <r>
    <n v="18847"/>
    <x v="0"/>
    <x v="0"/>
    <n v="60000"/>
    <n v="2"/>
    <s v="Graduate Degree"/>
    <s v="Management"/>
    <s v="Yes"/>
    <n v="2"/>
    <x v="2"/>
    <s v="North America"/>
    <n v="70"/>
    <x v="1"/>
    <x v="0"/>
  </r>
  <r>
    <n v="14754"/>
    <x v="0"/>
    <x v="1"/>
    <n v="40000"/>
    <n v="1"/>
    <s v="Partial College"/>
    <s v="Clerical"/>
    <s v="Yes"/>
    <n v="1"/>
    <x v="3"/>
    <s v="North America"/>
    <n v="48"/>
    <x v="0"/>
    <x v="1"/>
  </r>
  <r>
    <n v="23378"/>
    <x v="0"/>
    <x v="1"/>
    <n v="70000"/>
    <n v="1"/>
    <s v="Partial College"/>
    <s v="Skilled Manual"/>
    <s v="Yes"/>
    <n v="1"/>
    <x v="1"/>
    <s v="North America"/>
    <n v="44"/>
    <x v="0"/>
    <x v="1"/>
  </r>
  <r>
    <n v="26452"/>
    <x v="1"/>
    <x v="1"/>
    <n v="50000"/>
    <n v="3"/>
    <s v="Graduate Degree"/>
    <s v="Management"/>
    <s v="Yes"/>
    <n v="2"/>
    <x v="4"/>
    <s v="North America"/>
    <n v="69"/>
    <x v="1"/>
    <x v="0"/>
  </r>
  <r>
    <n v="20370"/>
    <x v="0"/>
    <x v="1"/>
    <n v="70000"/>
    <n v="3"/>
    <s v="Partial High School"/>
    <s v="Skilled Manual"/>
    <s v="Yes"/>
    <n v="2"/>
    <x v="2"/>
    <s v="North America"/>
    <n v="52"/>
    <x v="0"/>
    <x v="0"/>
  </r>
  <r>
    <n v="20528"/>
    <x v="0"/>
    <x v="1"/>
    <n v="40000"/>
    <n v="2"/>
    <s v="Partial High School"/>
    <s v="Skilled Manual"/>
    <s v="Yes"/>
    <n v="2"/>
    <x v="1"/>
    <s v="North America"/>
    <n v="55"/>
    <x v="1"/>
    <x v="0"/>
  </r>
  <r>
    <n v="23549"/>
    <x v="1"/>
    <x v="1"/>
    <n v="30000"/>
    <n v="0"/>
    <s v="High School"/>
    <s v="Skilled Manual"/>
    <s v="Yes"/>
    <n v="2"/>
    <x v="2"/>
    <s v="North America"/>
    <n v="30"/>
    <x v="2"/>
    <x v="0"/>
  </r>
  <r>
    <n v="21751"/>
    <x v="0"/>
    <x v="1"/>
    <n v="60000"/>
    <n v="3"/>
    <s v="Graduate Degree"/>
    <s v="Management"/>
    <s v="Yes"/>
    <n v="2"/>
    <x v="3"/>
    <s v="North America"/>
    <n v="63"/>
    <x v="1"/>
    <x v="0"/>
  </r>
  <r>
    <n v="21266"/>
    <x v="1"/>
    <x v="0"/>
    <n v="80000"/>
    <n v="0"/>
    <s v="Bachelors"/>
    <s v="Management"/>
    <s v="Yes"/>
    <n v="1"/>
    <x v="3"/>
    <s v="North America"/>
    <n v="34"/>
    <x v="0"/>
    <x v="1"/>
  </r>
  <r>
    <n v="13388"/>
    <x v="1"/>
    <x v="1"/>
    <n v="60000"/>
    <n v="2"/>
    <s v="Partial College"/>
    <s v="Professional"/>
    <s v="Yes"/>
    <n v="1"/>
    <x v="4"/>
    <s v="North America"/>
    <n v="56"/>
    <x v="1"/>
    <x v="0"/>
  </r>
  <r>
    <n v="18752"/>
    <x v="1"/>
    <x v="0"/>
    <n v="40000"/>
    <n v="0"/>
    <s v="High School"/>
    <s v="Skilled Manual"/>
    <s v="Yes"/>
    <n v="1"/>
    <x v="2"/>
    <s v="North America"/>
    <n v="31"/>
    <x v="0"/>
    <x v="0"/>
  </r>
  <r>
    <n v="16917"/>
    <x v="0"/>
    <x v="1"/>
    <n v="120000"/>
    <n v="1"/>
    <s v="Bachelors"/>
    <s v="Management"/>
    <s v="Yes"/>
    <n v="4"/>
    <x v="0"/>
    <s v="North America"/>
    <n v="38"/>
    <x v="0"/>
    <x v="0"/>
  </r>
  <r>
    <n v="15313"/>
    <x v="0"/>
    <x v="1"/>
    <n v="60000"/>
    <n v="4"/>
    <s v="Bachelors"/>
    <s v="Management"/>
    <s v="Yes"/>
    <n v="2"/>
    <x v="1"/>
    <s v="North America"/>
    <n v="59"/>
    <x v="1"/>
    <x v="0"/>
  </r>
  <r>
    <n v="25329"/>
    <x v="1"/>
    <x v="0"/>
    <n v="40000"/>
    <n v="3"/>
    <s v="Partial College"/>
    <s v="Clerical"/>
    <s v="No"/>
    <n v="2"/>
    <x v="0"/>
    <s v="North America"/>
    <n v="32"/>
    <x v="0"/>
    <x v="0"/>
  </r>
  <r>
    <n v="20380"/>
    <x v="0"/>
    <x v="0"/>
    <n v="60000"/>
    <n v="3"/>
    <s v="Graduate Degree"/>
    <s v="Management"/>
    <s v="Yes"/>
    <n v="2"/>
    <x v="4"/>
    <s v="North America"/>
    <n v="69"/>
    <x v="1"/>
    <x v="0"/>
  </r>
  <r>
    <n v="23089"/>
    <x v="0"/>
    <x v="1"/>
    <n v="40000"/>
    <n v="0"/>
    <s v="Partial College"/>
    <s v="Skilled Manual"/>
    <s v="Yes"/>
    <n v="1"/>
    <x v="2"/>
    <s v="North America"/>
    <n v="28"/>
    <x v="2"/>
    <x v="0"/>
  </r>
  <r>
    <n v="13749"/>
    <x v="0"/>
    <x v="1"/>
    <n v="80000"/>
    <n v="4"/>
    <s v="Graduate Degree"/>
    <s v="Skilled Manual"/>
    <s v="Yes"/>
    <n v="0"/>
    <x v="3"/>
    <s v="North America"/>
    <n v="47"/>
    <x v="0"/>
    <x v="0"/>
  </r>
  <r>
    <n v="24943"/>
    <x v="0"/>
    <x v="1"/>
    <n v="60000"/>
    <n v="3"/>
    <s v="Bachelors"/>
    <s v="Management"/>
    <s v="Yes"/>
    <n v="2"/>
    <x v="4"/>
    <s v="North America"/>
    <n v="66"/>
    <x v="1"/>
    <x v="0"/>
  </r>
  <r>
    <n v="28667"/>
    <x v="1"/>
    <x v="1"/>
    <n v="70000"/>
    <n v="2"/>
    <s v="Bachelors"/>
    <s v="Skilled Manual"/>
    <s v="No"/>
    <n v="1"/>
    <x v="0"/>
    <s v="North America"/>
    <n v="37"/>
    <x v="0"/>
    <x v="1"/>
  </r>
  <r>
    <n v="15194"/>
    <x v="1"/>
    <x v="1"/>
    <n v="120000"/>
    <n v="2"/>
    <s v="Bachelors"/>
    <s v="Management"/>
    <s v="No"/>
    <n v="3"/>
    <x v="0"/>
    <s v="North America"/>
    <n v="39"/>
    <x v="0"/>
    <x v="1"/>
  </r>
  <r>
    <n v="17436"/>
    <x v="0"/>
    <x v="1"/>
    <n v="60000"/>
    <n v="2"/>
    <s v="High School"/>
    <s v="Professional"/>
    <s v="No"/>
    <n v="2"/>
    <x v="3"/>
    <s v="North America"/>
    <n v="51"/>
    <x v="0"/>
    <x v="0"/>
  </r>
  <r>
    <n v="18935"/>
    <x v="0"/>
    <x v="0"/>
    <n v="130000"/>
    <n v="0"/>
    <s v="Graduate Degree"/>
    <s v="Management"/>
    <s v="Yes"/>
    <n v="3"/>
    <x v="3"/>
    <s v="North America"/>
    <n v="40"/>
    <x v="0"/>
    <x v="0"/>
  </r>
  <r>
    <n v="16871"/>
    <x v="0"/>
    <x v="0"/>
    <n v="90000"/>
    <n v="2"/>
    <s v="High School"/>
    <s v="Professional"/>
    <s v="Yes"/>
    <n v="1"/>
    <x v="4"/>
    <s v="North America"/>
    <n v="51"/>
    <x v="0"/>
    <x v="1"/>
  </r>
  <r>
    <n v="12100"/>
    <x v="1"/>
    <x v="1"/>
    <n v="60000"/>
    <n v="2"/>
    <s v="Bachelors"/>
    <s v="Management"/>
    <s v="Yes"/>
    <n v="0"/>
    <x v="4"/>
    <s v="North America"/>
    <n v="57"/>
    <x v="1"/>
    <x v="0"/>
  </r>
  <r>
    <n v="23158"/>
    <x v="0"/>
    <x v="0"/>
    <n v="60000"/>
    <n v="1"/>
    <s v="Graduate Degree"/>
    <s v="Professional"/>
    <s v="No"/>
    <n v="0"/>
    <x v="0"/>
    <s v="North America"/>
    <n v="35"/>
    <x v="0"/>
    <x v="1"/>
  </r>
  <r>
    <n v="18545"/>
    <x v="0"/>
    <x v="1"/>
    <n v="40000"/>
    <n v="4"/>
    <s v="High School"/>
    <s v="Professional"/>
    <s v="No"/>
    <n v="2"/>
    <x v="4"/>
    <s v="North America"/>
    <n v="61"/>
    <x v="1"/>
    <x v="1"/>
  </r>
  <r>
    <n v="18391"/>
    <x v="1"/>
    <x v="0"/>
    <n v="80000"/>
    <n v="5"/>
    <s v="Partial College"/>
    <s v="Professional"/>
    <s v="Yes"/>
    <n v="2"/>
    <x v="2"/>
    <s v="North America"/>
    <n v="44"/>
    <x v="0"/>
    <x v="0"/>
  </r>
  <r>
    <n v="19812"/>
    <x v="1"/>
    <x v="0"/>
    <n v="70000"/>
    <n v="2"/>
    <s v="Partial College"/>
    <s v="Professional"/>
    <s v="Yes"/>
    <n v="0"/>
    <x v="2"/>
    <s v="North America"/>
    <n v="49"/>
    <x v="0"/>
    <x v="1"/>
  </r>
  <r>
    <n v="27660"/>
    <x v="0"/>
    <x v="1"/>
    <n v="80000"/>
    <n v="4"/>
    <s v="Graduate Degree"/>
    <s v="Management"/>
    <s v="Yes"/>
    <n v="2"/>
    <x v="2"/>
    <s v="North America"/>
    <n v="70"/>
    <x v="1"/>
    <x v="0"/>
  </r>
  <r>
    <n v="18058"/>
    <x v="1"/>
    <x v="0"/>
    <n v="20000"/>
    <n v="3"/>
    <s v="High School"/>
    <s v="Skilled Manual"/>
    <s v="Yes"/>
    <n v="2"/>
    <x v="1"/>
    <s v="North America"/>
    <n v="78"/>
    <x v="1"/>
    <x v="0"/>
  </r>
  <r>
    <n v="20343"/>
    <x v="0"/>
    <x v="0"/>
    <n v="90000"/>
    <n v="4"/>
    <s v="Partial College"/>
    <s v="Professional"/>
    <s v="Yes"/>
    <n v="1"/>
    <x v="3"/>
    <s v="North America"/>
    <n v="45"/>
    <x v="0"/>
    <x v="0"/>
  </r>
  <r>
    <n v="28997"/>
    <x v="1"/>
    <x v="1"/>
    <n v="40000"/>
    <n v="2"/>
    <s v="High School"/>
    <s v="Professional"/>
    <s v="No"/>
    <n v="1"/>
    <x v="1"/>
    <s v="North America"/>
    <n v="58"/>
    <x v="1"/>
    <x v="1"/>
  </r>
  <r>
    <n v="24398"/>
    <x v="0"/>
    <x v="1"/>
    <n v="130000"/>
    <n v="1"/>
    <s v="Graduate Degree"/>
    <s v="Management"/>
    <s v="Yes"/>
    <n v="4"/>
    <x v="0"/>
    <s v="North America"/>
    <n v="41"/>
    <x v="0"/>
    <x v="0"/>
  </r>
  <r>
    <n v="19002"/>
    <x v="0"/>
    <x v="0"/>
    <n v="60000"/>
    <n v="2"/>
    <s v="Partial College"/>
    <s v="Professional"/>
    <s v="Yes"/>
    <n v="1"/>
    <x v="1"/>
    <s v="North America"/>
    <n v="57"/>
    <x v="1"/>
    <x v="1"/>
  </r>
  <r>
    <n v="28609"/>
    <x v="0"/>
    <x v="1"/>
    <n v="30000"/>
    <n v="2"/>
    <s v="High School"/>
    <s v="Skilled Manual"/>
    <s v="No"/>
    <n v="2"/>
    <x v="0"/>
    <s v="North America"/>
    <n v="49"/>
    <x v="0"/>
    <x v="0"/>
  </r>
  <r>
    <n v="29231"/>
    <x v="1"/>
    <x v="1"/>
    <n v="80000"/>
    <n v="4"/>
    <s v="Partial College"/>
    <s v="Professional"/>
    <s v="No"/>
    <n v="2"/>
    <x v="0"/>
    <s v="North America"/>
    <n v="43"/>
    <x v="0"/>
    <x v="0"/>
  </r>
  <r>
    <n v="18858"/>
    <x v="1"/>
    <x v="1"/>
    <n v="60000"/>
    <n v="2"/>
    <s v="Partial High School"/>
    <s v="Skilled Manual"/>
    <s v="Yes"/>
    <n v="2"/>
    <x v="2"/>
    <s v="North America"/>
    <n v="52"/>
    <x v="0"/>
    <x v="1"/>
  </r>
  <r>
    <n v="20000"/>
    <x v="0"/>
    <x v="1"/>
    <n v="60000"/>
    <n v="1"/>
    <s v="Graduate Degree"/>
    <s v="Professional"/>
    <s v="Yes"/>
    <n v="0"/>
    <x v="0"/>
    <s v="North America"/>
    <n v="35"/>
    <x v="0"/>
    <x v="1"/>
  </r>
  <r>
    <n v="25261"/>
    <x v="0"/>
    <x v="1"/>
    <n v="40000"/>
    <n v="0"/>
    <s v="High School"/>
    <s v="Skilled Manual"/>
    <s v="Yes"/>
    <n v="2"/>
    <x v="2"/>
    <s v="North America"/>
    <n v="27"/>
    <x v="2"/>
    <x v="0"/>
  </r>
  <r>
    <n v="17458"/>
    <x v="1"/>
    <x v="1"/>
    <n v="70000"/>
    <n v="3"/>
    <s v="High School"/>
    <s v="Professional"/>
    <s v="Yes"/>
    <n v="0"/>
    <x v="2"/>
    <s v="North America"/>
    <n v="52"/>
    <x v="0"/>
    <x v="1"/>
  </r>
  <r>
    <n v="11644"/>
    <x v="1"/>
    <x v="1"/>
    <n v="40000"/>
    <n v="2"/>
    <s v="Bachelors"/>
    <s v="Skilled Manual"/>
    <s v="Yes"/>
    <n v="0"/>
    <x v="1"/>
    <s v="North America"/>
    <n v="36"/>
    <x v="0"/>
    <x v="0"/>
  </r>
  <r>
    <n v="16145"/>
    <x v="1"/>
    <x v="0"/>
    <n v="70000"/>
    <n v="5"/>
    <s v="Graduate Degree"/>
    <s v="Professional"/>
    <s v="Yes"/>
    <n v="3"/>
    <x v="4"/>
    <s v="North America"/>
    <n v="46"/>
    <x v="0"/>
    <x v="1"/>
  </r>
  <r>
    <n v="16890"/>
    <x v="0"/>
    <x v="1"/>
    <n v="60000"/>
    <n v="3"/>
    <s v="Partial High School"/>
    <s v="Skilled Manual"/>
    <s v="Yes"/>
    <n v="2"/>
    <x v="2"/>
    <s v="North America"/>
    <n v="52"/>
    <x v="0"/>
    <x v="1"/>
  </r>
  <r>
    <n v="25983"/>
    <x v="0"/>
    <x v="1"/>
    <n v="70000"/>
    <n v="0"/>
    <s v="Bachelors"/>
    <s v="Professional"/>
    <s v="No"/>
    <n v="1"/>
    <x v="0"/>
    <s v="North America"/>
    <n v="43"/>
    <x v="0"/>
    <x v="0"/>
  </r>
  <r>
    <n v="14633"/>
    <x v="0"/>
    <x v="1"/>
    <n v="60000"/>
    <n v="1"/>
    <s v="Partial College"/>
    <s v="Skilled Manual"/>
    <s v="Yes"/>
    <n v="1"/>
    <x v="1"/>
    <s v="North America"/>
    <n v="44"/>
    <x v="0"/>
    <x v="0"/>
  </r>
  <r>
    <n v="22994"/>
    <x v="0"/>
    <x v="0"/>
    <n v="80000"/>
    <n v="0"/>
    <s v="Bachelors"/>
    <s v="Management"/>
    <s v="Yes"/>
    <n v="1"/>
    <x v="3"/>
    <s v="North America"/>
    <n v="34"/>
    <x v="0"/>
    <x v="1"/>
  </r>
  <r>
    <n v="22983"/>
    <x v="1"/>
    <x v="0"/>
    <n v="30000"/>
    <n v="0"/>
    <s v="Partial High School"/>
    <s v="Clerical"/>
    <s v="Yes"/>
    <n v="2"/>
    <x v="2"/>
    <s v="North America"/>
    <n v="27"/>
    <x v="2"/>
    <x v="0"/>
  </r>
  <r>
    <n v="25184"/>
    <x v="1"/>
    <x v="1"/>
    <n v="110000"/>
    <n v="1"/>
    <s v="Partial College"/>
    <s v="Professional"/>
    <s v="Yes"/>
    <n v="4"/>
    <x v="2"/>
    <s v="North America"/>
    <n v="45"/>
    <x v="0"/>
    <x v="1"/>
  </r>
  <r>
    <n v="14469"/>
    <x v="0"/>
    <x v="0"/>
    <n v="100000"/>
    <n v="3"/>
    <s v="Partial College"/>
    <s v="Professional"/>
    <s v="Yes"/>
    <n v="4"/>
    <x v="3"/>
    <s v="North America"/>
    <n v="45"/>
    <x v="0"/>
    <x v="0"/>
  </r>
  <r>
    <n v="11538"/>
    <x v="1"/>
    <x v="0"/>
    <n v="60000"/>
    <n v="4"/>
    <s v="Graduate Degree"/>
    <s v="Skilled Manual"/>
    <s v="No"/>
    <n v="0"/>
    <x v="0"/>
    <s v="North America"/>
    <n v="47"/>
    <x v="0"/>
    <x v="1"/>
  </r>
  <r>
    <n v="16245"/>
    <x v="1"/>
    <x v="0"/>
    <n v="80000"/>
    <n v="4"/>
    <s v="Graduate Degree"/>
    <s v="Skilled Manual"/>
    <s v="Yes"/>
    <n v="0"/>
    <x v="3"/>
    <s v="North America"/>
    <n v="47"/>
    <x v="0"/>
    <x v="0"/>
  </r>
  <r>
    <n v="17858"/>
    <x v="0"/>
    <x v="1"/>
    <n v="40000"/>
    <n v="4"/>
    <s v="High School"/>
    <s v="Skilled Manual"/>
    <s v="Yes"/>
    <n v="2"/>
    <x v="1"/>
    <s v="North America"/>
    <n v="44"/>
    <x v="0"/>
    <x v="1"/>
  </r>
  <r>
    <n v="25347"/>
    <x v="1"/>
    <x v="0"/>
    <n v="20000"/>
    <n v="3"/>
    <s v="Partial High School"/>
    <s v="Clerical"/>
    <s v="No"/>
    <n v="2"/>
    <x v="0"/>
    <s v="North America"/>
    <n v="49"/>
    <x v="0"/>
    <x v="0"/>
  </r>
  <r>
    <n v="15814"/>
    <x v="1"/>
    <x v="0"/>
    <n v="40000"/>
    <n v="0"/>
    <s v="High School"/>
    <s v="Skilled Manual"/>
    <s v="Yes"/>
    <n v="1"/>
    <x v="2"/>
    <s v="North America"/>
    <n v="30"/>
    <x v="2"/>
    <x v="0"/>
  </r>
  <r>
    <n v="11259"/>
    <x v="0"/>
    <x v="0"/>
    <n v="100000"/>
    <n v="4"/>
    <s v="Partial College"/>
    <s v="Professional"/>
    <s v="Yes"/>
    <n v="4"/>
    <x v="1"/>
    <s v="North America"/>
    <n v="41"/>
    <x v="0"/>
    <x v="1"/>
  </r>
  <r>
    <n v="11200"/>
    <x v="0"/>
    <x v="1"/>
    <n v="70000"/>
    <n v="4"/>
    <s v="Bachelors"/>
    <s v="Management"/>
    <s v="Yes"/>
    <n v="1"/>
    <x v="3"/>
    <s v="North America"/>
    <n v="58"/>
    <x v="1"/>
    <x v="0"/>
  </r>
  <r>
    <n v="25101"/>
    <x v="0"/>
    <x v="1"/>
    <n v="60000"/>
    <n v="5"/>
    <s v="Bachelors"/>
    <s v="Professional"/>
    <s v="Yes"/>
    <n v="1"/>
    <x v="1"/>
    <s v="North America"/>
    <n v="47"/>
    <x v="0"/>
    <x v="0"/>
  </r>
  <r>
    <n v="21801"/>
    <x v="0"/>
    <x v="0"/>
    <n v="70000"/>
    <n v="4"/>
    <s v="Partial College"/>
    <s v="Professional"/>
    <s v="Yes"/>
    <n v="1"/>
    <x v="3"/>
    <s v="North America"/>
    <n v="55"/>
    <x v="1"/>
    <x v="0"/>
  </r>
  <r>
    <n v="25943"/>
    <x v="1"/>
    <x v="0"/>
    <n v="70000"/>
    <n v="0"/>
    <s v="Partial College"/>
    <s v="Skilled Manual"/>
    <s v="No"/>
    <n v="2"/>
    <x v="0"/>
    <s v="North America"/>
    <n v="27"/>
    <x v="2"/>
    <x v="1"/>
  </r>
  <r>
    <n v="22127"/>
    <x v="0"/>
    <x v="1"/>
    <n v="60000"/>
    <n v="3"/>
    <s v="Graduate Degree"/>
    <s v="Management"/>
    <s v="Yes"/>
    <n v="2"/>
    <x v="3"/>
    <s v="North America"/>
    <n v="67"/>
    <x v="1"/>
    <x v="0"/>
  </r>
  <r>
    <n v="20414"/>
    <x v="0"/>
    <x v="0"/>
    <n v="60000"/>
    <n v="0"/>
    <s v="Partial College"/>
    <s v="Skilled Manual"/>
    <s v="Yes"/>
    <n v="2"/>
    <x v="2"/>
    <s v="North America"/>
    <n v="29"/>
    <x v="2"/>
    <x v="0"/>
  </r>
  <r>
    <n v="23672"/>
    <x v="0"/>
    <x v="0"/>
    <n v="60000"/>
    <n v="3"/>
    <s v="Graduate Degree"/>
    <s v="Management"/>
    <s v="Yes"/>
    <n v="2"/>
    <x v="3"/>
    <s v="North America"/>
    <n v="67"/>
    <x v="1"/>
    <x v="0"/>
  </r>
  <r>
    <n v="29255"/>
    <x v="1"/>
    <x v="1"/>
    <n v="80000"/>
    <n v="3"/>
    <s v="Partial College"/>
    <s v="Professional"/>
    <s v="No"/>
    <n v="1"/>
    <x v="3"/>
    <s v="North America"/>
    <n v="51"/>
    <x v="0"/>
    <x v="1"/>
  </r>
  <r>
    <n v="28815"/>
    <x v="0"/>
    <x v="0"/>
    <n v="50000"/>
    <n v="1"/>
    <s v="Graduate Degree"/>
    <s v="Skilled Manual"/>
    <s v="Yes"/>
    <n v="0"/>
    <x v="0"/>
    <s v="North America"/>
    <n v="35"/>
    <x v="0"/>
    <x v="0"/>
  </r>
  <r>
    <n v="27753"/>
    <x v="0"/>
    <x v="1"/>
    <n v="40000"/>
    <n v="0"/>
    <s v="High School"/>
    <s v="Skilled Manual"/>
    <s v="No"/>
    <n v="2"/>
    <x v="3"/>
    <s v="North America"/>
    <n v="30"/>
    <x v="2"/>
    <x v="0"/>
  </r>
  <r>
    <n v="27643"/>
    <x v="1"/>
    <x v="1"/>
    <n v="70000"/>
    <n v="5"/>
    <s v="Partial College"/>
    <s v="Professional"/>
    <s v="Yes"/>
    <n v="3"/>
    <x v="1"/>
    <s v="North America"/>
    <n v="44"/>
    <x v="0"/>
    <x v="0"/>
  </r>
  <r>
    <n v="13754"/>
    <x v="1"/>
    <x v="0"/>
    <n v="80000"/>
    <n v="4"/>
    <s v="Graduate Degree"/>
    <s v="Skilled Manual"/>
    <s v="Yes"/>
    <n v="0"/>
    <x v="3"/>
    <s v="North America"/>
    <n v="48"/>
    <x v="0"/>
    <x v="0"/>
  </r>
  <r>
    <n v="22088"/>
    <x v="0"/>
    <x v="0"/>
    <n v="130000"/>
    <n v="1"/>
    <s v="Bachelors"/>
    <s v="Management"/>
    <s v="Yes"/>
    <n v="2"/>
    <x v="0"/>
    <s v="North America"/>
    <n v="45"/>
    <x v="0"/>
    <x v="1"/>
  </r>
  <r>
    <n v="27388"/>
    <x v="0"/>
    <x v="1"/>
    <n v="60000"/>
    <n v="3"/>
    <s v="Bachelors"/>
    <s v="Management"/>
    <s v="No"/>
    <n v="2"/>
    <x v="3"/>
    <s v="North America"/>
    <n v="66"/>
    <x v="1"/>
    <x v="0"/>
  </r>
  <r>
    <n v="24745"/>
    <x v="1"/>
    <x v="0"/>
    <n v="30000"/>
    <n v="2"/>
    <s v="High School"/>
    <s v="Skilled Manual"/>
    <s v="No"/>
    <n v="2"/>
    <x v="0"/>
    <s v="North America"/>
    <n v="49"/>
    <x v="0"/>
    <x v="0"/>
  </r>
  <r>
    <n v="29237"/>
    <x v="1"/>
    <x v="0"/>
    <n v="120000"/>
    <n v="4"/>
    <s v="Partial College"/>
    <s v="Professional"/>
    <s v="Yes"/>
    <n v="3"/>
    <x v="2"/>
    <s v="North America"/>
    <n v="43"/>
    <x v="0"/>
    <x v="1"/>
  </r>
  <r>
    <n v="15272"/>
    <x v="1"/>
    <x v="1"/>
    <n v="40000"/>
    <n v="0"/>
    <s v="High School"/>
    <s v="Skilled Manual"/>
    <s v="No"/>
    <n v="2"/>
    <x v="3"/>
    <s v="North America"/>
    <n v="30"/>
    <x v="2"/>
    <x v="0"/>
  </r>
  <r>
    <n v="18949"/>
    <x v="1"/>
    <x v="1"/>
    <n v="70000"/>
    <n v="0"/>
    <s v="Graduate Degree"/>
    <s v="Management"/>
    <s v="Yes"/>
    <n v="2"/>
    <x v="2"/>
    <s v="North America"/>
    <n v="74"/>
    <x v="1"/>
    <x v="1"/>
  </r>
  <r>
    <n v="14507"/>
    <x v="0"/>
    <x v="1"/>
    <n v="100000"/>
    <n v="2"/>
    <s v="Graduate Degree"/>
    <s v="Management"/>
    <s v="Yes"/>
    <n v="3"/>
    <x v="3"/>
    <s v="North America"/>
    <n v="65"/>
    <x v="1"/>
    <x v="0"/>
  </r>
  <r>
    <n v="25886"/>
    <x v="0"/>
    <x v="0"/>
    <n v="60000"/>
    <n v="2"/>
    <s v="Partial College"/>
    <s v="Professional"/>
    <s v="Yes"/>
    <n v="2"/>
    <x v="1"/>
    <s v="North America"/>
    <n v="56"/>
    <x v="1"/>
    <x v="1"/>
  </r>
  <r>
    <n v="21441"/>
    <x v="0"/>
    <x v="1"/>
    <n v="50000"/>
    <n v="4"/>
    <s v="Bachelors"/>
    <s v="Management"/>
    <s v="Yes"/>
    <n v="2"/>
    <x v="4"/>
    <s v="North America"/>
    <n v="64"/>
    <x v="1"/>
    <x v="0"/>
  </r>
  <r>
    <n v="21741"/>
    <x v="0"/>
    <x v="0"/>
    <n v="70000"/>
    <n v="3"/>
    <s v="Partial College"/>
    <s v="Professional"/>
    <s v="Yes"/>
    <n v="2"/>
    <x v="2"/>
    <s v="North America"/>
    <n v="50"/>
    <x v="0"/>
    <x v="1"/>
  </r>
  <r>
    <n v="14572"/>
    <x v="0"/>
    <x v="0"/>
    <n v="70000"/>
    <n v="3"/>
    <s v="Graduate Degree"/>
    <s v="Professional"/>
    <s v="Yes"/>
    <n v="0"/>
    <x v="1"/>
    <s v="North America"/>
    <n v="35"/>
    <x v="0"/>
    <x v="1"/>
  </r>
  <r>
    <n v="23368"/>
    <x v="0"/>
    <x v="0"/>
    <n v="60000"/>
    <n v="5"/>
    <s v="Bachelors"/>
    <s v="Skilled Manual"/>
    <s v="Yes"/>
    <n v="3"/>
    <x v="4"/>
    <s v="North America"/>
    <n v="41"/>
    <x v="0"/>
    <x v="0"/>
  </r>
  <r>
    <n v="16217"/>
    <x v="1"/>
    <x v="0"/>
    <n v="60000"/>
    <n v="0"/>
    <s v="Graduate Degree"/>
    <s v="Skilled Manual"/>
    <s v="Yes"/>
    <n v="0"/>
    <x v="0"/>
    <s v="North America"/>
    <n v="39"/>
    <x v="0"/>
    <x v="0"/>
  </r>
  <r>
    <n v="16247"/>
    <x v="1"/>
    <x v="0"/>
    <n v="60000"/>
    <n v="4"/>
    <s v="Graduate Degree"/>
    <s v="Skilled Manual"/>
    <s v="No"/>
    <n v="0"/>
    <x v="3"/>
    <s v="North America"/>
    <n v="47"/>
    <x v="0"/>
    <x v="0"/>
  </r>
  <r>
    <n v="22010"/>
    <x v="1"/>
    <x v="1"/>
    <n v="40000"/>
    <n v="0"/>
    <s v="High School"/>
    <s v="Skilled Manual"/>
    <s v="Yes"/>
    <n v="2"/>
    <x v="2"/>
    <s v="North America"/>
    <n v="31"/>
    <x v="0"/>
    <x v="0"/>
  </r>
  <r>
    <n v="25872"/>
    <x v="1"/>
    <x v="0"/>
    <n v="70000"/>
    <n v="2"/>
    <s v="Bachelors"/>
    <s v="Management"/>
    <s v="No"/>
    <n v="1"/>
    <x v="1"/>
    <s v="North America"/>
    <n v="58"/>
    <x v="1"/>
    <x v="1"/>
  </r>
  <r>
    <n v="19164"/>
    <x v="1"/>
    <x v="0"/>
    <n v="70000"/>
    <n v="0"/>
    <s v="Bachelors"/>
    <s v="Professional"/>
    <s v="No"/>
    <n v="1"/>
    <x v="1"/>
    <s v="North America"/>
    <n v="38"/>
    <x v="0"/>
    <x v="1"/>
  </r>
  <r>
    <n v="18435"/>
    <x v="1"/>
    <x v="0"/>
    <n v="70000"/>
    <n v="5"/>
    <s v="Graduate Degree"/>
    <s v="Management"/>
    <s v="Yes"/>
    <n v="2"/>
    <x v="4"/>
    <s v="North America"/>
    <n v="67"/>
    <x v="1"/>
    <x v="1"/>
  </r>
  <r>
    <n v="14284"/>
    <x v="1"/>
    <x v="1"/>
    <n v="60000"/>
    <n v="0"/>
    <s v="Partial College"/>
    <s v="Professional"/>
    <s v="No"/>
    <n v="2"/>
    <x v="3"/>
    <s v="North America"/>
    <n v="32"/>
    <x v="0"/>
    <x v="1"/>
  </r>
  <r>
    <n v="11287"/>
    <x v="0"/>
    <x v="1"/>
    <n v="70000"/>
    <n v="5"/>
    <s v="Partial College"/>
    <s v="Professional"/>
    <s v="No"/>
    <n v="3"/>
    <x v="2"/>
    <s v="North America"/>
    <n v="45"/>
    <x v="0"/>
    <x v="0"/>
  </r>
  <r>
    <n v="13066"/>
    <x v="1"/>
    <x v="1"/>
    <n v="30000"/>
    <n v="0"/>
    <s v="High School"/>
    <s v="Skilled Manual"/>
    <s v="No"/>
    <n v="2"/>
    <x v="3"/>
    <s v="North America"/>
    <n v="31"/>
    <x v="0"/>
    <x v="1"/>
  </r>
  <r>
    <n v="29106"/>
    <x v="1"/>
    <x v="1"/>
    <n v="40000"/>
    <n v="0"/>
    <s v="High School"/>
    <s v="Skilled Manual"/>
    <s v="No"/>
    <n v="2"/>
    <x v="3"/>
    <s v="North America"/>
    <n v="31"/>
    <x v="0"/>
    <x v="1"/>
  </r>
  <r>
    <n v="26236"/>
    <x v="0"/>
    <x v="0"/>
    <n v="40000"/>
    <n v="3"/>
    <s v="Partial College"/>
    <s v="Clerical"/>
    <s v="Yes"/>
    <n v="1"/>
    <x v="0"/>
    <s v="North America"/>
    <n v="31"/>
    <x v="0"/>
    <x v="0"/>
  </r>
  <r>
    <n v="17531"/>
    <x v="0"/>
    <x v="1"/>
    <n v="60000"/>
    <n v="2"/>
    <s v="High School"/>
    <s v="Professional"/>
    <s v="No"/>
    <n v="2"/>
    <x v="2"/>
    <s v="North America"/>
    <n v="50"/>
    <x v="0"/>
    <x v="0"/>
  </r>
  <r>
    <n v="12964"/>
    <x v="0"/>
    <x v="1"/>
    <n v="70000"/>
    <n v="1"/>
    <s v="Partial College"/>
    <s v="Skilled Manual"/>
    <s v="Yes"/>
    <n v="1"/>
    <x v="0"/>
    <s v="North America"/>
    <n v="44"/>
    <x v="0"/>
    <x v="0"/>
  </r>
  <r>
    <n v="19133"/>
    <x v="1"/>
    <x v="1"/>
    <n v="50000"/>
    <n v="2"/>
    <s v="Bachelors"/>
    <s v="Skilled Manual"/>
    <s v="Yes"/>
    <n v="1"/>
    <x v="1"/>
    <s v="North America"/>
    <n v="38"/>
    <x v="0"/>
    <x v="1"/>
  </r>
  <r>
    <n v="24643"/>
    <x v="1"/>
    <x v="0"/>
    <n v="60000"/>
    <n v="4"/>
    <s v="Bachelors"/>
    <s v="Management"/>
    <s v="Yes"/>
    <n v="2"/>
    <x v="4"/>
    <s v="North America"/>
    <n v="63"/>
    <x v="1"/>
    <x v="0"/>
  </r>
  <r>
    <n v="21599"/>
    <x v="0"/>
    <x v="0"/>
    <n v="60000"/>
    <n v="1"/>
    <s v="Graduate Degree"/>
    <s v="Professional"/>
    <s v="Yes"/>
    <n v="0"/>
    <x v="1"/>
    <s v="North America"/>
    <n v="36"/>
    <x v="0"/>
    <x v="1"/>
  </r>
  <r>
    <n v="22976"/>
    <x v="1"/>
    <x v="1"/>
    <n v="40000"/>
    <n v="0"/>
    <s v="High School"/>
    <s v="Skilled Manual"/>
    <s v="No"/>
    <n v="2"/>
    <x v="0"/>
    <s v="North America"/>
    <n v="28"/>
    <x v="2"/>
    <x v="1"/>
  </r>
  <r>
    <n v="27637"/>
    <x v="1"/>
    <x v="0"/>
    <n v="100000"/>
    <n v="1"/>
    <s v="Partial College"/>
    <s v="Professional"/>
    <s v="No"/>
    <n v="3"/>
    <x v="3"/>
    <s v="North America"/>
    <n v="44"/>
    <x v="0"/>
    <x v="0"/>
  </r>
  <r>
    <n v="11890"/>
    <x v="0"/>
    <x v="0"/>
    <n v="70000"/>
    <n v="5"/>
    <s v="Graduate Degree"/>
    <s v="Professional"/>
    <s v="Yes"/>
    <n v="1"/>
    <x v="0"/>
    <s v="North America"/>
    <n v="47"/>
    <x v="0"/>
    <x v="0"/>
  </r>
  <r>
    <n v="28580"/>
    <x v="0"/>
    <x v="0"/>
    <n v="80000"/>
    <n v="0"/>
    <s v="Graduate Degree"/>
    <s v="Skilled Manual"/>
    <s v="Yes"/>
    <n v="0"/>
    <x v="3"/>
    <s v="North America"/>
    <n v="40"/>
    <x v="0"/>
    <x v="1"/>
  </r>
  <r>
    <n v="14443"/>
    <x v="0"/>
    <x v="1"/>
    <n v="130000"/>
    <n v="1"/>
    <s v="Graduate Degree"/>
    <s v="Management"/>
    <s v="Yes"/>
    <n v="4"/>
    <x v="0"/>
    <s v="North America"/>
    <n v="40"/>
    <x v="0"/>
    <x v="0"/>
  </r>
  <r>
    <n v="17864"/>
    <x v="0"/>
    <x v="0"/>
    <n v="60000"/>
    <n v="1"/>
    <s v="Partial College"/>
    <s v="Skilled Manual"/>
    <s v="Yes"/>
    <n v="1"/>
    <x v="1"/>
    <s v="North America"/>
    <n v="46"/>
    <x v="0"/>
    <x v="1"/>
  </r>
  <r>
    <n v="20505"/>
    <x v="0"/>
    <x v="0"/>
    <n v="40000"/>
    <n v="5"/>
    <s v="High School"/>
    <s v="Professional"/>
    <s v="No"/>
    <n v="2"/>
    <x v="4"/>
    <s v="North America"/>
    <n v="61"/>
    <x v="1"/>
    <x v="0"/>
  </r>
  <r>
    <n v="14592"/>
    <x v="0"/>
    <x v="0"/>
    <n v="60000"/>
    <n v="0"/>
    <s v="Graduate Degree"/>
    <s v="Professional"/>
    <s v="Yes"/>
    <n v="0"/>
    <x v="0"/>
    <s v="North America"/>
    <n v="40"/>
    <x v="0"/>
    <x v="0"/>
  </r>
  <r>
    <n v="22227"/>
    <x v="0"/>
    <x v="0"/>
    <n v="60000"/>
    <n v="2"/>
    <s v="High School"/>
    <s v="Professional"/>
    <s v="Yes"/>
    <n v="2"/>
    <x v="2"/>
    <s v="North America"/>
    <n v="50"/>
    <x v="0"/>
    <x v="0"/>
  </r>
  <r>
    <n v="21471"/>
    <x v="0"/>
    <x v="1"/>
    <n v="70000"/>
    <n v="2"/>
    <s v="Partial College"/>
    <s v="Professional"/>
    <s v="Yes"/>
    <n v="1"/>
    <x v="4"/>
    <s v="North America"/>
    <n v="59"/>
    <x v="1"/>
    <x v="0"/>
  </r>
  <r>
    <n v="22252"/>
    <x v="1"/>
    <x v="0"/>
    <n v="60000"/>
    <n v="1"/>
    <s v="Graduate Degree"/>
    <s v="Professional"/>
    <s v="Yes"/>
    <n v="0"/>
    <x v="1"/>
    <s v="North America"/>
    <n v="36"/>
    <x v="0"/>
    <x v="1"/>
  </r>
  <r>
    <n v="21260"/>
    <x v="1"/>
    <x v="0"/>
    <n v="40000"/>
    <n v="0"/>
    <s v="High School"/>
    <s v="Skilled Manual"/>
    <s v="Yes"/>
    <n v="2"/>
    <x v="2"/>
    <s v="North America"/>
    <n v="30"/>
    <x v="2"/>
    <x v="0"/>
  </r>
  <r>
    <n v="11817"/>
    <x v="1"/>
    <x v="0"/>
    <n v="70000"/>
    <n v="4"/>
    <s v="Graduate Degree"/>
    <s v="Professional"/>
    <s v="Yes"/>
    <n v="0"/>
    <x v="1"/>
    <s v="North America"/>
    <n v="35"/>
    <x v="0"/>
    <x v="1"/>
  </r>
  <r>
    <n v="19223"/>
    <x v="0"/>
    <x v="0"/>
    <n v="30000"/>
    <n v="2"/>
    <s v="High School"/>
    <s v="Skilled Manual"/>
    <s v="Yes"/>
    <n v="2"/>
    <x v="3"/>
    <s v="North America"/>
    <n v="48"/>
    <x v="0"/>
    <x v="0"/>
  </r>
  <r>
    <n v="18517"/>
    <x v="0"/>
    <x v="1"/>
    <n v="100000"/>
    <n v="3"/>
    <s v="Bachelors"/>
    <s v="Management"/>
    <s v="Yes"/>
    <n v="4"/>
    <x v="0"/>
    <s v="North America"/>
    <n v="41"/>
    <x v="0"/>
    <x v="0"/>
  </r>
  <r>
    <n v="21717"/>
    <x v="0"/>
    <x v="1"/>
    <n v="40000"/>
    <n v="2"/>
    <s v="Partial College"/>
    <s v="Clerical"/>
    <s v="Yes"/>
    <n v="1"/>
    <x v="0"/>
    <s v="North America"/>
    <n v="47"/>
    <x v="0"/>
    <x v="0"/>
  </r>
  <r>
    <n v="13760"/>
    <x v="0"/>
    <x v="1"/>
    <n v="60000"/>
    <n v="4"/>
    <s v="Graduate Degree"/>
    <s v="Skilled Manual"/>
    <s v="No"/>
    <n v="0"/>
    <x v="0"/>
    <s v="North America"/>
    <n v="47"/>
    <x v="0"/>
    <x v="0"/>
  </r>
  <r>
    <n v="18145"/>
    <x v="0"/>
    <x v="1"/>
    <n v="80000"/>
    <n v="5"/>
    <s v="Bachelors"/>
    <s v="Management"/>
    <s v="No"/>
    <n v="2"/>
    <x v="1"/>
    <s v="Europe"/>
    <n v="62"/>
    <x v="1"/>
    <x v="0"/>
  </r>
  <r>
    <n v="21770"/>
    <x v="0"/>
    <x v="1"/>
    <n v="60000"/>
    <n v="4"/>
    <s v="Bachelors"/>
    <s v="Management"/>
    <s v="Yes"/>
    <n v="2"/>
    <x v="4"/>
    <s v="North America"/>
    <n v="60"/>
    <x v="1"/>
    <x v="0"/>
  </r>
  <r>
    <n v="11165"/>
    <x v="0"/>
    <x v="0"/>
    <n v="60000"/>
    <n v="0"/>
    <s v="Partial College"/>
    <s v="Skilled Manual"/>
    <s v="No"/>
    <n v="1"/>
    <x v="3"/>
    <s v="North America"/>
    <n v="33"/>
    <x v="0"/>
    <x v="0"/>
  </r>
  <r>
    <n v="16377"/>
    <x v="1"/>
    <x v="0"/>
    <n v="80000"/>
    <n v="4"/>
    <s v="Graduate Degree"/>
    <s v="Skilled Manual"/>
    <s v="No"/>
    <n v="0"/>
    <x v="0"/>
    <s v="North America"/>
    <n v="47"/>
    <x v="0"/>
    <x v="0"/>
  </r>
  <r>
    <n v="26248"/>
    <x v="0"/>
    <x v="1"/>
    <n v="20000"/>
    <n v="3"/>
    <s v="Partial High School"/>
    <s v="Clerical"/>
    <s v="No"/>
    <n v="2"/>
    <x v="0"/>
    <s v="North America"/>
    <n v="52"/>
    <x v="0"/>
    <x v="0"/>
  </r>
  <r>
    <n v="23461"/>
    <x v="0"/>
    <x v="0"/>
    <n v="90000"/>
    <n v="5"/>
    <s v="Partial College"/>
    <s v="Professional"/>
    <s v="Yes"/>
    <n v="3"/>
    <x v="1"/>
    <s v="North America"/>
    <n v="40"/>
    <x v="0"/>
    <x v="0"/>
  </r>
  <r>
    <n v="29133"/>
    <x v="1"/>
    <x v="0"/>
    <n v="60000"/>
    <n v="4"/>
    <s v="Bachelors"/>
    <s v="Skilled Manual"/>
    <s v="No"/>
    <n v="2"/>
    <x v="0"/>
    <s v="North America"/>
    <n v="42"/>
    <x v="0"/>
    <x v="0"/>
  </r>
  <r>
    <n v="27673"/>
    <x v="1"/>
    <x v="0"/>
    <n v="60000"/>
    <n v="3"/>
    <s v="Graduate Degree"/>
    <s v="Management"/>
    <s v="Yes"/>
    <n v="2"/>
    <x v="2"/>
    <s v="North America"/>
    <n v="53"/>
    <x v="0"/>
    <x v="1"/>
  </r>
  <r>
    <n v="12774"/>
    <x v="0"/>
    <x v="0"/>
    <n v="40000"/>
    <n v="1"/>
    <s v="Partial College"/>
    <s v="Clerical"/>
    <s v="Yes"/>
    <n v="1"/>
    <x v="3"/>
    <s v="North America"/>
    <n v="51"/>
    <x v="0"/>
    <x v="1"/>
  </r>
  <r>
    <n v="18910"/>
    <x v="1"/>
    <x v="1"/>
    <n v="30000"/>
    <n v="0"/>
    <s v="Partial College"/>
    <s v="Skilled Manual"/>
    <s v="Yes"/>
    <n v="2"/>
    <x v="2"/>
    <s v="North America"/>
    <n v="30"/>
    <x v="2"/>
    <x v="0"/>
  </r>
  <r>
    <n v="11699"/>
    <x v="1"/>
    <x v="1"/>
    <n v="60000"/>
    <n v="0"/>
    <s v="Bachelors"/>
    <s v="Skilled Manual"/>
    <s v="No"/>
    <n v="2"/>
    <x v="0"/>
    <s v="North America"/>
    <n v="30"/>
    <x v="2"/>
    <x v="0"/>
  </r>
  <r>
    <n v="16725"/>
    <x v="0"/>
    <x v="1"/>
    <n v="30000"/>
    <n v="0"/>
    <s v="High School"/>
    <s v="Skilled Manual"/>
    <s v="Yes"/>
    <n v="2"/>
    <x v="2"/>
    <s v="North America"/>
    <n v="26"/>
    <x v="2"/>
    <x v="0"/>
  </r>
  <r>
    <n v="28269"/>
    <x v="1"/>
    <x v="0"/>
    <n v="130000"/>
    <n v="1"/>
    <s v="Bachelors"/>
    <s v="Management"/>
    <s v="No"/>
    <n v="1"/>
    <x v="1"/>
    <s v="North America"/>
    <n v="45"/>
    <x v="0"/>
    <x v="0"/>
  </r>
  <r>
    <n v="23144"/>
    <x v="0"/>
    <x v="1"/>
    <n v="50000"/>
    <n v="1"/>
    <s v="Bachelors"/>
    <s v="Skilled Manual"/>
    <s v="Yes"/>
    <n v="0"/>
    <x v="0"/>
    <s v="North America"/>
    <n v="34"/>
    <x v="0"/>
    <x v="1"/>
  </r>
  <r>
    <n v="23376"/>
    <x v="0"/>
    <x v="1"/>
    <n v="70000"/>
    <n v="1"/>
    <s v="Bachelors"/>
    <s v="Professional"/>
    <s v="Yes"/>
    <n v="1"/>
    <x v="1"/>
    <s v="North America"/>
    <n v="44"/>
    <x v="0"/>
    <x v="1"/>
  </r>
  <r>
    <n v="25970"/>
    <x v="1"/>
    <x v="0"/>
    <n v="60000"/>
    <n v="4"/>
    <s v="Bachelors"/>
    <s v="Skilled Manual"/>
    <s v="No"/>
    <n v="2"/>
    <x v="0"/>
    <s v="North America"/>
    <n v="41"/>
    <x v="0"/>
    <x v="1"/>
  </r>
  <r>
    <n v="28068"/>
    <x v="1"/>
    <x v="0"/>
    <n v="80000"/>
    <n v="3"/>
    <s v="Graduate Degree"/>
    <s v="Professional"/>
    <s v="No"/>
    <n v="0"/>
    <x v="0"/>
    <s v="North America"/>
    <n v="36"/>
    <x v="0"/>
    <x v="1"/>
  </r>
  <r>
    <n v="18390"/>
    <x v="0"/>
    <x v="1"/>
    <n v="80000"/>
    <n v="5"/>
    <s v="Partial College"/>
    <s v="Professional"/>
    <s v="Yes"/>
    <n v="2"/>
    <x v="0"/>
    <s v="North America"/>
    <n v="44"/>
    <x v="0"/>
    <x v="0"/>
  </r>
  <r>
    <n v="29112"/>
    <x v="1"/>
    <x v="1"/>
    <n v="60000"/>
    <n v="0"/>
    <s v="Partial College"/>
    <s v="Professional"/>
    <s v="No"/>
    <n v="2"/>
    <x v="3"/>
    <s v="North America"/>
    <n v="30"/>
    <x v="2"/>
    <x v="0"/>
  </r>
  <r>
    <n v="14090"/>
    <x v="0"/>
    <x v="0"/>
    <n v="30000"/>
    <n v="0"/>
    <s v="Partial High School"/>
    <s v="Clerical"/>
    <s v="No"/>
    <n v="2"/>
    <x v="0"/>
    <s v="North America"/>
    <n v="28"/>
    <x v="2"/>
    <x v="0"/>
  </r>
  <r>
    <n v="27040"/>
    <x v="0"/>
    <x v="1"/>
    <n v="20000"/>
    <n v="2"/>
    <s v="Partial High School"/>
    <s v="Clerical"/>
    <s v="Yes"/>
    <n v="2"/>
    <x v="3"/>
    <s v="North America"/>
    <n v="49"/>
    <x v="0"/>
    <x v="0"/>
  </r>
  <r>
    <n v="23479"/>
    <x v="1"/>
    <x v="1"/>
    <n v="90000"/>
    <n v="0"/>
    <s v="Partial College"/>
    <s v="Professional"/>
    <s v="No"/>
    <n v="2"/>
    <x v="0"/>
    <s v="North America"/>
    <n v="43"/>
    <x v="0"/>
    <x v="1"/>
  </r>
  <r>
    <n v="16795"/>
    <x v="0"/>
    <x v="0"/>
    <n v="70000"/>
    <n v="4"/>
    <s v="Bachelors"/>
    <s v="Management"/>
    <s v="Yes"/>
    <n v="1"/>
    <x v="3"/>
    <s v="North America"/>
    <n v="59"/>
    <x v="1"/>
    <x v="0"/>
  </r>
  <r>
    <n v="22014"/>
    <x v="1"/>
    <x v="1"/>
    <n v="30000"/>
    <n v="0"/>
    <s v="High School"/>
    <s v="Skilled Manual"/>
    <s v="Yes"/>
    <n v="2"/>
    <x v="2"/>
    <s v="North America"/>
    <n v="26"/>
    <x v="2"/>
    <x v="0"/>
  </r>
  <r>
    <n v="13314"/>
    <x v="0"/>
    <x v="1"/>
    <n v="120000"/>
    <n v="1"/>
    <s v="High School"/>
    <s v="Professional"/>
    <s v="Yes"/>
    <n v="4"/>
    <x v="2"/>
    <s v="North America"/>
    <n v="46"/>
    <x v="0"/>
    <x v="1"/>
  </r>
  <r>
    <n v="11619"/>
    <x v="1"/>
    <x v="0"/>
    <n v="50000"/>
    <n v="0"/>
    <s v="Graduate Degree"/>
    <s v="Skilled Manual"/>
    <s v="Yes"/>
    <n v="0"/>
    <x v="3"/>
    <s v="North America"/>
    <n v="33"/>
    <x v="0"/>
    <x v="0"/>
  </r>
  <r>
    <n v="29132"/>
    <x v="1"/>
    <x v="0"/>
    <n v="40000"/>
    <n v="0"/>
    <s v="Bachelors"/>
    <s v="Professional"/>
    <s v="Yes"/>
    <n v="1"/>
    <x v="1"/>
    <s v="North America"/>
    <n v="42"/>
    <x v="0"/>
    <x v="1"/>
  </r>
  <r>
    <n v="11199"/>
    <x v="0"/>
    <x v="0"/>
    <n v="70000"/>
    <n v="4"/>
    <s v="Bachelors"/>
    <s v="Management"/>
    <s v="Yes"/>
    <n v="1"/>
    <x v="4"/>
    <s v="North America"/>
    <n v="59"/>
    <x v="1"/>
    <x v="0"/>
  </r>
  <r>
    <n v="20296"/>
    <x v="1"/>
    <x v="0"/>
    <n v="60000"/>
    <n v="0"/>
    <s v="Partial College"/>
    <s v="Skilled Manual"/>
    <s v="No"/>
    <n v="1"/>
    <x v="3"/>
    <s v="North America"/>
    <n v="33"/>
    <x v="0"/>
    <x v="1"/>
  </r>
  <r>
    <n v="17546"/>
    <x v="0"/>
    <x v="0"/>
    <n v="70000"/>
    <n v="1"/>
    <s v="Partial College"/>
    <s v="Skilled Manual"/>
    <s v="Yes"/>
    <n v="1"/>
    <x v="0"/>
    <s v="North America"/>
    <n v="44"/>
    <x v="0"/>
    <x v="1"/>
  </r>
  <r>
    <n v="18069"/>
    <x v="0"/>
    <x v="1"/>
    <n v="70000"/>
    <n v="5"/>
    <s v="Bachelors"/>
    <s v="Management"/>
    <s v="Yes"/>
    <n v="4"/>
    <x v="4"/>
    <s v="North America"/>
    <n v="60"/>
    <x v="1"/>
    <x v="0"/>
  </r>
  <r>
    <n v="23712"/>
    <x v="1"/>
    <x v="0"/>
    <n v="70000"/>
    <n v="2"/>
    <s v="Bachelors"/>
    <s v="Management"/>
    <s v="Yes"/>
    <n v="1"/>
    <x v="4"/>
    <s v="North America"/>
    <n v="59"/>
    <x v="1"/>
    <x v="0"/>
  </r>
  <r>
    <n v="23358"/>
    <x v="0"/>
    <x v="1"/>
    <n v="60000"/>
    <n v="0"/>
    <s v="High School"/>
    <s v="Professional"/>
    <s v="Yes"/>
    <n v="2"/>
    <x v="2"/>
    <s v="North America"/>
    <n v="32"/>
    <x v="0"/>
    <x v="1"/>
  </r>
  <r>
    <n v="20518"/>
    <x v="0"/>
    <x v="0"/>
    <n v="70000"/>
    <n v="2"/>
    <s v="Partial College"/>
    <s v="Professional"/>
    <s v="Yes"/>
    <n v="1"/>
    <x v="4"/>
    <s v="North America"/>
    <n v="58"/>
    <x v="1"/>
    <x v="0"/>
  </r>
  <r>
    <n v="28026"/>
    <x v="0"/>
    <x v="0"/>
    <n v="40000"/>
    <n v="2"/>
    <s v="High School"/>
    <s v="Professional"/>
    <s v="No"/>
    <n v="2"/>
    <x v="1"/>
    <s v="North America"/>
    <n v="59"/>
    <x v="1"/>
    <x v="0"/>
  </r>
  <r>
    <n v="11669"/>
    <x v="1"/>
    <x v="0"/>
    <n v="70000"/>
    <n v="2"/>
    <s v="Bachelors"/>
    <s v="Skilled Manual"/>
    <s v="Yes"/>
    <n v="1"/>
    <x v="1"/>
    <s v="North America"/>
    <n v="38"/>
    <x v="0"/>
    <x v="0"/>
  </r>
  <r>
    <n v="16020"/>
    <x v="0"/>
    <x v="1"/>
    <n v="40000"/>
    <n v="0"/>
    <s v="High School"/>
    <s v="Skilled Manual"/>
    <s v="Yes"/>
    <n v="2"/>
    <x v="2"/>
    <s v="North America"/>
    <n v="28"/>
    <x v="2"/>
    <x v="1"/>
  </r>
  <r>
    <n v="27090"/>
    <x v="0"/>
    <x v="0"/>
    <n v="60000"/>
    <n v="1"/>
    <s v="Graduate Degree"/>
    <s v="Professional"/>
    <s v="Yes"/>
    <n v="0"/>
    <x v="1"/>
    <s v="North America"/>
    <n v="37"/>
    <x v="0"/>
    <x v="1"/>
  </r>
  <r>
    <n v="27198"/>
    <x v="1"/>
    <x v="0"/>
    <n v="80000"/>
    <n v="0"/>
    <s v="Graduate Degree"/>
    <s v="Skilled Manual"/>
    <s v="No"/>
    <n v="0"/>
    <x v="0"/>
    <s v="North America"/>
    <n v="40"/>
    <x v="0"/>
    <x v="0"/>
  </r>
  <r>
    <n v="19661"/>
    <x v="1"/>
    <x v="1"/>
    <n v="90000"/>
    <n v="4"/>
    <s v="Bachelors"/>
    <s v="Management"/>
    <s v="Yes"/>
    <n v="1"/>
    <x v="3"/>
    <s v="North America"/>
    <n v="38"/>
    <x v="0"/>
    <x v="1"/>
  </r>
  <r>
    <n v="26327"/>
    <x v="0"/>
    <x v="1"/>
    <n v="70000"/>
    <n v="4"/>
    <s v="Graduate Degree"/>
    <s v="Professional"/>
    <s v="Yes"/>
    <n v="0"/>
    <x v="1"/>
    <s v="North America"/>
    <n v="36"/>
    <x v="0"/>
    <x v="1"/>
  </r>
  <r>
    <n v="26341"/>
    <x v="0"/>
    <x v="0"/>
    <n v="70000"/>
    <n v="5"/>
    <s v="Graduate Degree"/>
    <s v="Professional"/>
    <s v="Yes"/>
    <n v="2"/>
    <x v="0"/>
    <s v="North America"/>
    <n v="37"/>
    <x v="0"/>
    <x v="0"/>
  </r>
  <r>
    <n v="24958"/>
    <x v="1"/>
    <x v="0"/>
    <n v="40000"/>
    <n v="5"/>
    <s v="High School"/>
    <s v="Professional"/>
    <s v="No"/>
    <n v="3"/>
    <x v="1"/>
    <s v="North America"/>
    <n v="60"/>
    <x v="1"/>
    <x v="1"/>
  </r>
  <r>
    <n v="13287"/>
    <x v="1"/>
    <x v="1"/>
    <n v="110000"/>
    <n v="4"/>
    <s v="Bachelors"/>
    <s v="Management"/>
    <s v="Yes"/>
    <n v="4"/>
    <x v="2"/>
    <s v="North America"/>
    <n v="42"/>
    <x v="0"/>
    <x v="1"/>
  </r>
  <r>
    <n v="14493"/>
    <x v="1"/>
    <x v="0"/>
    <n v="70000"/>
    <n v="3"/>
    <s v="Graduate Degree"/>
    <s v="Management"/>
    <s v="No"/>
    <n v="2"/>
    <x v="3"/>
    <s v="North America"/>
    <n v="53"/>
    <x v="0"/>
    <x v="0"/>
  </r>
  <r>
    <n v="26678"/>
    <x v="1"/>
    <x v="0"/>
    <n v="80000"/>
    <n v="2"/>
    <s v="Partial High School"/>
    <s v="Skilled Manual"/>
    <s v="Yes"/>
    <n v="2"/>
    <x v="2"/>
    <s v="North America"/>
    <n v="49"/>
    <x v="0"/>
    <x v="0"/>
  </r>
  <r>
    <n v="23275"/>
    <x v="0"/>
    <x v="1"/>
    <n v="30000"/>
    <n v="2"/>
    <s v="High School"/>
    <s v="Skilled Manual"/>
    <s v="Yes"/>
    <n v="2"/>
    <x v="3"/>
    <s v="North America"/>
    <n v="49"/>
    <x v="0"/>
    <x v="0"/>
  </r>
  <r>
    <n v="11270"/>
    <x v="0"/>
    <x v="1"/>
    <n v="130000"/>
    <n v="2"/>
    <s v="Graduate Degree"/>
    <s v="Management"/>
    <s v="Yes"/>
    <n v="3"/>
    <x v="0"/>
    <s v="North America"/>
    <n v="42"/>
    <x v="0"/>
    <x v="1"/>
  </r>
  <r>
    <n v="20084"/>
    <x v="0"/>
    <x v="1"/>
    <n v="20000"/>
    <n v="2"/>
    <s v="High School"/>
    <s v="Manual"/>
    <s v="No"/>
    <n v="2"/>
    <x v="0"/>
    <s v="North America"/>
    <n v="53"/>
    <x v="0"/>
    <x v="0"/>
  </r>
  <r>
    <n v="16144"/>
    <x v="0"/>
    <x v="1"/>
    <n v="70000"/>
    <n v="1"/>
    <s v="Graduate Degree"/>
    <s v="Professional"/>
    <s v="Yes"/>
    <n v="1"/>
    <x v="0"/>
    <s v="North America"/>
    <n v="46"/>
    <x v="0"/>
    <x v="1"/>
  </r>
  <r>
    <n v="27731"/>
    <x v="0"/>
    <x v="1"/>
    <n v="40000"/>
    <n v="0"/>
    <s v="High School"/>
    <s v="Skilled Manual"/>
    <s v="Yes"/>
    <n v="2"/>
    <x v="2"/>
    <s v="North America"/>
    <n v="27"/>
    <x v="2"/>
    <x v="0"/>
  </r>
  <r>
    <n v="11886"/>
    <x v="0"/>
    <x v="0"/>
    <n v="60000"/>
    <n v="3"/>
    <s v="Bachelors"/>
    <s v="Professional"/>
    <s v="Yes"/>
    <n v="1"/>
    <x v="0"/>
    <s v="North America"/>
    <n v="48"/>
    <x v="0"/>
    <x v="1"/>
  </r>
  <r>
    <n v="24324"/>
    <x v="1"/>
    <x v="0"/>
    <n v="60000"/>
    <n v="4"/>
    <s v="Bachelors"/>
    <s v="Skilled Manual"/>
    <s v="Yes"/>
    <n v="2"/>
    <x v="1"/>
    <s v="North America"/>
    <n v="41"/>
    <x v="0"/>
    <x v="1"/>
  </r>
  <r>
    <n v="22220"/>
    <x v="0"/>
    <x v="1"/>
    <n v="60000"/>
    <n v="2"/>
    <s v="High School"/>
    <s v="Professional"/>
    <s v="No"/>
    <n v="2"/>
    <x v="3"/>
    <s v="North America"/>
    <n v="49"/>
    <x v="0"/>
    <x v="1"/>
  </r>
  <r>
    <n v="26625"/>
    <x v="1"/>
    <x v="0"/>
    <n v="60000"/>
    <n v="0"/>
    <s v="Graduate Degree"/>
    <s v="Professional"/>
    <s v="Yes"/>
    <n v="1"/>
    <x v="1"/>
    <s v="North America"/>
    <n v="38"/>
    <x v="0"/>
    <x v="1"/>
  </r>
  <r>
    <n v="23027"/>
    <x v="1"/>
    <x v="1"/>
    <n v="130000"/>
    <n v="1"/>
    <s v="Bachelors"/>
    <s v="Management"/>
    <s v="No"/>
    <n v="4"/>
    <x v="0"/>
    <s v="North America"/>
    <n v="44"/>
    <x v="0"/>
    <x v="0"/>
  </r>
  <r>
    <n v="16867"/>
    <x v="1"/>
    <x v="0"/>
    <n v="130000"/>
    <n v="1"/>
    <s v="Bachelors"/>
    <s v="Management"/>
    <s v="No"/>
    <n v="3"/>
    <x v="0"/>
    <s v="North America"/>
    <n v="45"/>
    <x v="0"/>
    <x v="1"/>
  </r>
  <r>
    <n v="14514"/>
    <x v="1"/>
    <x v="0"/>
    <n v="30000"/>
    <n v="0"/>
    <s v="Partial College"/>
    <s v="Skilled Manual"/>
    <s v="Yes"/>
    <n v="1"/>
    <x v="2"/>
    <s v="North America"/>
    <n v="26"/>
    <x v="2"/>
    <x v="0"/>
  </r>
  <r>
    <n v="19634"/>
    <x v="0"/>
    <x v="1"/>
    <n v="40000"/>
    <n v="0"/>
    <s v="High School"/>
    <s v="Skilled Manual"/>
    <s v="Yes"/>
    <n v="1"/>
    <x v="2"/>
    <s v="North America"/>
    <n v="31"/>
    <x v="0"/>
    <x v="0"/>
  </r>
  <r>
    <n v="18504"/>
    <x v="0"/>
    <x v="1"/>
    <n v="70000"/>
    <n v="2"/>
    <s v="Partial High School"/>
    <s v="Skilled Manual"/>
    <s v="No"/>
    <n v="2"/>
    <x v="3"/>
    <s v="North America"/>
    <n v="49"/>
    <x v="0"/>
    <x v="0"/>
  </r>
  <r>
    <n v="28799"/>
    <x v="1"/>
    <x v="0"/>
    <n v="40000"/>
    <n v="2"/>
    <s v="Partial College"/>
    <s v="Clerical"/>
    <s v="No"/>
    <n v="1"/>
    <x v="3"/>
    <s v="North America"/>
    <n v="47"/>
    <x v="0"/>
    <x v="1"/>
  </r>
  <r>
    <n v="11225"/>
    <x v="0"/>
    <x v="0"/>
    <n v="60000"/>
    <n v="2"/>
    <s v="Partial College"/>
    <s v="Professional"/>
    <s v="Yes"/>
    <n v="1"/>
    <x v="4"/>
    <s v="North America"/>
    <n v="55"/>
    <x v="1"/>
    <x v="0"/>
  </r>
  <r>
    <n v="17657"/>
    <x v="0"/>
    <x v="1"/>
    <n v="40000"/>
    <n v="4"/>
    <s v="Partial College"/>
    <s v="Clerical"/>
    <s v="No"/>
    <n v="0"/>
    <x v="0"/>
    <s v="North America"/>
    <n v="30"/>
    <x v="2"/>
    <x v="0"/>
  </r>
  <r>
    <n v="14913"/>
    <x v="0"/>
    <x v="0"/>
    <n v="40000"/>
    <n v="1"/>
    <s v="Partial College"/>
    <s v="Clerical"/>
    <s v="Yes"/>
    <n v="1"/>
    <x v="3"/>
    <s v="North America"/>
    <n v="48"/>
    <x v="0"/>
    <x v="1"/>
  </r>
  <r>
    <n v="14077"/>
    <x v="1"/>
    <x v="1"/>
    <n v="30000"/>
    <n v="0"/>
    <s v="High School"/>
    <s v="Skilled Manual"/>
    <s v="Yes"/>
    <n v="2"/>
    <x v="2"/>
    <s v="North America"/>
    <n v="30"/>
    <x v="2"/>
    <x v="0"/>
  </r>
  <r>
    <n v="13296"/>
    <x v="0"/>
    <x v="1"/>
    <n v="110000"/>
    <n v="1"/>
    <s v="Bachelors"/>
    <s v="Management"/>
    <s v="Yes"/>
    <n v="3"/>
    <x v="2"/>
    <s v="North America"/>
    <n v="45"/>
    <x v="0"/>
    <x v="0"/>
  </r>
  <r>
    <n v="20535"/>
    <x v="0"/>
    <x v="0"/>
    <n v="70000"/>
    <n v="4"/>
    <s v="Partial College"/>
    <s v="Professional"/>
    <s v="Yes"/>
    <n v="1"/>
    <x v="4"/>
    <s v="North America"/>
    <n v="56"/>
    <x v="1"/>
    <x v="0"/>
  </r>
  <r>
    <n v="12452"/>
    <x v="0"/>
    <x v="1"/>
    <n v="60000"/>
    <n v="4"/>
    <s v="Graduate Degree"/>
    <s v="Skilled Manual"/>
    <s v="Yes"/>
    <n v="0"/>
    <x v="3"/>
    <s v="North America"/>
    <n v="47"/>
    <x v="0"/>
    <x v="1"/>
  </r>
  <r>
    <n v="28043"/>
    <x v="0"/>
    <x v="0"/>
    <n v="60000"/>
    <n v="2"/>
    <s v="Bachelors"/>
    <s v="Management"/>
    <s v="Yes"/>
    <n v="0"/>
    <x v="4"/>
    <s v="North America"/>
    <n v="56"/>
    <x v="1"/>
    <x v="0"/>
  </r>
  <r>
    <n v="12957"/>
    <x v="1"/>
    <x v="0"/>
    <n v="70000"/>
    <n v="1"/>
    <s v="Bachelors"/>
    <s v="Professional"/>
    <s v="No"/>
    <n v="1"/>
    <x v="0"/>
    <s v="North America"/>
    <n v="44"/>
    <x v="0"/>
    <x v="0"/>
  </r>
  <r>
    <n v="15412"/>
    <x v="0"/>
    <x v="1"/>
    <n v="130000"/>
    <n v="2"/>
    <s v="Graduate Degree"/>
    <s v="Management"/>
    <s v="Yes"/>
    <n v="3"/>
    <x v="1"/>
    <s v="North America"/>
    <n v="69"/>
    <x v="1"/>
    <x v="0"/>
  </r>
  <r>
    <n v="20514"/>
    <x v="0"/>
    <x v="0"/>
    <n v="70000"/>
    <n v="2"/>
    <s v="Partial College"/>
    <s v="Professional"/>
    <s v="Yes"/>
    <n v="1"/>
    <x v="1"/>
    <s v="North America"/>
    <n v="59"/>
    <x v="1"/>
    <x v="0"/>
  </r>
  <r>
    <n v="20758"/>
    <x v="0"/>
    <x v="1"/>
    <n v="30000"/>
    <n v="2"/>
    <s v="High School"/>
    <s v="Skilled Manual"/>
    <s v="Yes"/>
    <n v="2"/>
    <x v="3"/>
    <s v="North America"/>
    <n v="50"/>
    <x v="0"/>
    <x v="0"/>
  </r>
  <r>
    <n v="11801"/>
    <x v="0"/>
    <x v="1"/>
    <n v="60000"/>
    <n v="1"/>
    <s v="Graduate Degree"/>
    <s v="Professional"/>
    <s v="Yes"/>
    <n v="0"/>
    <x v="1"/>
    <s v="North America"/>
    <n v="36"/>
    <x v="0"/>
    <x v="0"/>
  </r>
  <r>
    <n v="22211"/>
    <x v="0"/>
    <x v="1"/>
    <n v="60000"/>
    <n v="0"/>
    <s v="Partial College"/>
    <s v="Professional"/>
    <s v="Yes"/>
    <n v="2"/>
    <x v="2"/>
    <s v="North America"/>
    <n v="32"/>
    <x v="0"/>
    <x v="0"/>
  </r>
  <r>
    <n v="28087"/>
    <x v="1"/>
    <x v="0"/>
    <n v="40000"/>
    <n v="0"/>
    <s v="Partial College"/>
    <s v="Skilled Manual"/>
    <s v="No"/>
    <n v="1"/>
    <x v="3"/>
    <s v="North America"/>
    <n v="27"/>
    <x v="2"/>
    <x v="0"/>
  </r>
  <r>
    <n v="23668"/>
    <x v="0"/>
    <x v="0"/>
    <n v="40000"/>
    <n v="4"/>
    <s v="High School"/>
    <s v="Professional"/>
    <s v="Yes"/>
    <n v="2"/>
    <x v="2"/>
    <s v="North America"/>
    <n v="59"/>
    <x v="1"/>
    <x v="1"/>
  </r>
  <r>
    <n v="27441"/>
    <x v="0"/>
    <x v="1"/>
    <n v="60000"/>
    <n v="3"/>
    <s v="High School"/>
    <s v="Professional"/>
    <s v="No"/>
    <n v="2"/>
    <x v="1"/>
    <s v="North America"/>
    <n v="53"/>
    <x v="0"/>
    <x v="0"/>
  </r>
  <r>
    <n v="27261"/>
    <x v="0"/>
    <x v="1"/>
    <n v="40000"/>
    <n v="1"/>
    <s v="Bachelors"/>
    <s v="Skilled Manual"/>
    <s v="No"/>
    <n v="1"/>
    <x v="0"/>
    <s v="North America"/>
    <n v="36"/>
    <x v="0"/>
    <x v="1"/>
  </r>
  <r>
    <n v="18649"/>
    <x v="1"/>
    <x v="1"/>
    <n v="30000"/>
    <n v="1"/>
    <s v="High School"/>
    <s v="Clerical"/>
    <s v="Yes"/>
    <n v="2"/>
    <x v="3"/>
    <s v="North America"/>
    <n v="51"/>
    <x v="0"/>
    <x v="1"/>
  </r>
  <r>
    <n v="21714"/>
    <x v="1"/>
    <x v="0"/>
    <n v="80000"/>
    <n v="5"/>
    <s v="Graduate Degree"/>
    <s v="Skilled Manual"/>
    <s v="No"/>
    <n v="0"/>
    <x v="0"/>
    <s v="North America"/>
    <n v="47"/>
    <x v="0"/>
    <x v="0"/>
  </r>
  <r>
    <n v="23217"/>
    <x v="1"/>
    <x v="0"/>
    <n v="60000"/>
    <n v="3"/>
    <s v="Graduate Degree"/>
    <s v="Professional"/>
    <s v="Yes"/>
    <n v="0"/>
    <x v="1"/>
    <s v="North America"/>
    <n v="43"/>
    <x v="0"/>
    <x v="1"/>
  </r>
  <r>
    <n v="23797"/>
    <x v="1"/>
    <x v="1"/>
    <n v="20000"/>
    <n v="3"/>
    <s v="Partial High School"/>
    <s v="Clerical"/>
    <s v="No"/>
    <n v="2"/>
    <x v="0"/>
    <s v="North America"/>
    <n v="50"/>
    <x v="0"/>
    <x v="0"/>
  </r>
  <r>
    <n v="13216"/>
    <x v="0"/>
    <x v="0"/>
    <n v="60000"/>
    <n v="5"/>
    <s v="Bachelors"/>
    <s v="Management"/>
    <s v="Yes"/>
    <n v="3"/>
    <x v="4"/>
    <s v="North America"/>
    <n v="59"/>
    <x v="1"/>
    <x v="0"/>
  </r>
  <r>
    <n v="20657"/>
    <x v="1"/>
    <x v="1"/>
    <n v="50000"/>
    <n v="2"/>
    <s v="Bachelors"/>
    <s v="Skilled Manual"/>
    <s v="Yes"/>
    <n v="0"/>
    <x v="1"/>
    <s v="North America"/>
    <n v="37"/>
    <x v="0"/>
    <x v="1"/>
  </r>
  <r>
    <n v="12882"/>
    <x v="0"/>
    <x v="1"/>
    <n v="50000"/>
    <n v="1"/>
    <s v="Graduate Degree"/>
    <s v="Skilled Manual"/>
    <s v="Yes"/>
    <n v="0"/>
    <x v="0"/>
    <s v="North America"/>
    <n v="33"/>
    <x v="0"/>
    <x v="1"/>
  </r>
  <r>
    <n v="25908"/>
    <x v="0"/>
    <x v="0"/>
    <n v="60000"/>
    <n v="0"/>
    <s v="Partial College"/>
    <s v="Skilled Manual"/>
    <s v="No"/>
    <n v="1"/>
    <x v="3"/>
    <s v="North America"/>
    <n v="27"/>
    <x v="2"/>
    <x v="0"/>
  </r>
  <r>
    <n v="16753"/>
    <x v="1"/>
    <x v="0"/>
    <n v="70000"/>
    <n v="0"/>
    <s v="Partial College"/>
    <s v="Skilled Manual"/>
    <s v="Yes"/>
    <n v="2"/>
    <x v="2"/>
    <s v="North America"/>
    <n v="34"/>
    <x v="0"/>
    <x v="1"/>
  </r>
  <r>
    <n v="14608"/>
    <x v="0"/>
    <x v="1"/>
    <n v="50000"/>
    <n v="4"/>
    <s v="Bachelors"/>
    <s v="Skilled Manual"/>
    <s v="Yes"/>
    <n v="3"/>
    <x v="4"/>
    <s v="North America"/>
    <n v="42"/>
    <x v="0"/>
    <x v="0"/>
  </r>
  <r>
    <n v="24979"/>
    <x v="0"/>
    <x v="0"/>
    <n v="60000"/>
    <n v="2"/>
    <s v="Partial College"/>
    <s v="Professional"/>
    <s v="Yes"/>
    <n v="2"/>
    <x v="1"/>
    <s v="North America"/>
    <n v="57"/>
    <x v="1"/>
    <x v="1"/>
  </r>
  <r>
    <n v="13313"/>
    <x v="0"/>
    <x v="0"/>
    <n v="120000"/>
    <n v="1"/>
    <s v="High School"/>
    <s v="Professional"/>
    <s v="No"/>
    <n v="4"/>
    <x v="1"/>
    <s v="North America"/>
    <n v="45"/>
    <x v="0"/>
    <x v="0"/>
  </r>
  <r>
    <n v="18952"/>
    <x v="0"/>
    <x v="0"/>
    <n v="100000"/>
    <n v="4"/>
    <s v="Bachelors"/>
    <s v="Management"/>
    <s v="Yes"/>
    <n v="4"/>
    <x v="0"/>
    <s v="North America"/>
    <n v="40"/>
    <x v="0"/>
    <x v="0"/>
  </r>
  <r>
    <n v="17699"/>
    <x v="0"/>
    <x v="1"/>
    <n v="60000"/>
    <n v="1"/>
    <s v="Graduate Degree"/>
    <s v="Skilled Manual"/>
    <s v="No"/>
    <n v="0"/>
    <x v="0"/>
    <s v="North America"/>
    <n v="55"/>
    <x v="1"/>
    <x v="0"/>
  </r>
  <r>
    <n v="14657"/>
    <x v="0"/>
    <x v="1"/>
    <n v="80000"/>
    <n v="1"/>
    <s v="Partial College"/>
    <s v="Skilled Manual"/>
    <s v="No"/>
    <n v="1"/>
    <x v="0"/>
    <s v="North America"/>
    <n v="47"/>
    <x v="0"/>
    <x v="1"/>
  </r>
  <r>
    <n v="11540"/>
    <x v="1"/>
    <x v="1"/>
    <n v="60000"/>
    <n v="4"/>
    <s v="Graduate Degree"/>
    <s v="Skilled Manual"/>
    <s v="Yes"/>
    <n v="0"/>
    <x v="3"/>
    <s v="North America"/>
    <n v="47"/>
    <x v="0"/>
    <x v="1"/>
  </r>
  <r>
    <n v="11783"/>
    <x v="0"/>
    <x v="0"/>
    <n v="60000"/>
    <n v="1"/>
    <s v="Graduate Degree"/>
    <s v="Skilled Manual"/>
    <s v="Yes"/>
    <n v="0"/>
    <x v="0"/>
    <s v="North America"/>
    <n v="34"/>
    <x v="0"/>
    <x v="0"/>
  </r>
  <r>
    <n v="14602"/>
    <x v="0"/>
    <x v="0"/>
    <n v="80000"/>
    <n v="3"/>
    <s v="Graduate Degree"/>
    <s v="Professional"/>
    <s v="Yes"/>
    <n v="0"/>
    <x v="0"/>
    <s v="North America"/>
    <n v="36"/>
    <x v="0"/>
    <x v="1"/>
  </r>
  <r>
    <n v="29030"/>
    <x v="0"/>
    <x v="1"/>
    <n v="70000"/>
    <n v="2"/>
    <s v="Partial High School"/>
    <s v="Skilled Manual"/>
    <s v="Yes"/>
    <n v="2"/>
    <x v="4"/>
    <s v="North America"/>
    <n v="54"/>
    <x v="0"/>
    <x v="0"/>
  </r>
  <r>
    <n v="26490"/>
    <x v="1"/>
    <x v="1"/>
    <n v="70000"/>
    <n v="2"/>
    <s v="Bachelors"/>
    <s v="Management"/>
    <s v="No"/>
    <n v="1"/>
    <x v="1"/>
    <s v="North America"/>
    <n v="59"/>
    <x v="1"/>
    <x v="1"/>
  </r>
  <r>
    <n v="13151"/>
    <x v="1"/>
    <x v="1"/>
    <n v="40000"/>
    <n v="0"/>
    <s v="High School"/>
    <s v="Skilled Manual"/>
    <s v="Yes"/>
    <n v="2"/>
    <x v="2"/>
    <s v="North America"/>
    <n v="27"/>
    <x v="2"/>
    <x v="0"/>
  </r>
  <r>
    <n v="17260"/>
    <x v="0"/>
    <x v="1"/>
    <n v="90000"/>
    <n v="5"/>
    <s v="Partial College"/>
    <s v="Professional"/>
    <s v="Yes"/>
    <n v="3"/>
    <x v="0"/>
    <s v="North America"/>
    <n v="41"/>
    <x v="0"/>
    <x v="0"/>
  </r>
  <r>
    <n v="15372"/>
    <x v="0"/>
    <x v="1"/>
    <n v="80000"/>
    <n v="3"/>
    <s v="Partial College"/>
    <s v="Professional"/>
    <s v="No"/>
    <n v="2"/>
    <x v="1"/>
    <s v="North America"/>
    <n v="50"/>
    <x v="0"/>
    <x v="1"/>
  </r>
  <r>
    <n v="18105"/>
    <x v="0"/>
    <x v="0"/>
    <n v="60000"/>
    <n v="2"/>
    <s v="Partial College"/>
    <s v="Professional"/>
    <s v="Yes"/>
    <n v="1"/>
    <x v="4"/>
    <s v="North America"/>
    <n v="55"/>
    <x v="1"/>
    <x v="0"/>
  </r>
  <r>
    <n v="19660"/>
    <x v="0"/>
    <x v="1"/>
    <n v="80000"/>
    <n v="4"/>
    <s v="Bachelors"/>
    <s v="Management"/>
    <s v="Yes"/>
    <n v="0"/>
    <x v="0"/>
    <s v="North America"/>
    <n v="43"/>
    <x v="0"/>
    <x v="0"/>
  </r>
  <r>
    <n v="16112"/>
    <x v="1"/>
    <x v="1"/>
    <n v="70000"/>
    <n v="4"/>
    <s v="Bachelors"/>
    <s v="Professional"/>
    <s v="Yes"/>
    <n v="2"/>
    <x v="1"/>
    <s v="North America"/>
    <n v="43"/>
    <x v="0"/>
    <x v="1"/>
  </r>
  <r>
    <n v="20698"/>
    <x v="0"/>
    <x v="1"/>
    <n v="60000"/>
    <n v="4"/>
    <s v="Bachelors"/>
    <s v="Skilled Manual"/>
    <s v="Yes"/>
    <n v="3"/>
    <x v="2"/>
    <s v="North America"/>
    <n v="42"/>
    <x v="0"/>
    <x v="0"/>
  </r>
  <r>
    <n v="20076"/>
    <x v="1"/>
    <x v="0"/>
    <n v="10000"/>
    <n v="2"/>
    <s v="High School"/>
    <s v="Manual"/>
    <s v="Yes"/>
    <n v="2"/>
    <x v="3"/>
    <s v="North America"/>
    <n v="53"/>
    <x v="0"/>
    <x v="1"/>
  </r>
  <r>
    <n v="24496"/>
    <x v="1"/>
    <x v="0"/>
    <n v="40000"/>
    <n v="0"/>
    <s v="High School"/>
    <s v="Skilled Manual"/>
    <s v="No"/>
    <n v="2"/>
    <x v="0"/>
    <s v="North America"/>
    <n v="28"/>
    <x v="2"/>
    <x v="1"/>
  </r>
  <r>
    <n v="15468"/>
    <x v="0"/>
    <x v="0"/>
    <n v="50000"/>
    <n v="1"/>
    <s v="Bachelors"/>
    <s v="Skilled Manual"/>
    <s v="Yes"/>
    <n v="1"/>
    <x v="0"/>
    <s v="North America"/>
    <n v="35"/>
    <x v="0"/>
    <x v="0"/>
  </r>
  <r>
    <n v="28031"/>
    <x v="1"/>
    <x v="0"/>
    <n v="70000"/>
    <n v="2"/>
    <s v="Bachelors"/>
    <s v="Management"/>
    <s v="No"/>
    <n v="1"/>
    <x v="1"/>
    <s v="North America"/>
    <n v="59"/>
    <x v="1"/>
    <x v="1"/>
  </r>
  <r>
    <n v="26270"/>
    <x v="1"/>
    <x v="0"/>
    <n v="20000"/>
    <n v="2"/>
    <s v="Partial High School"/>
    <s v="Clerical"/>
    <s v="Yes"/>
    <n v="2"/>
    <x v="3"/>
    <s v="North America"/>
    <n v="49"/>
    <x v="0"/>
    <x v="0"/>
  </r>
  <r>
    <n v="22221"/>
    <x v="0"/>
    <x v="1"/>
    <n v="60000"/>
    <n v="2"/>
    <s v="High School"/>
    <s v="Professional"/>
    <s v="No"/>
    <n v="2"/>
    <x v="3"/>
    <s v="North America"/>
    <n v="48"/>
    <x v="0"/>
    <x v="1"/>
  </r>
  <r>
    <n v="28228"/>
    <x v="1"/>
    <x v="0"/>
    <n v="80000"/>
    <n v="2"/>
    <s v="Partial High School"/>
    <s v="Skilled Manual"/>
    <s v="No"/>
    <n v="2"/>
    <x v="3"/>
    <s v="North America"/>
    <n v="50"/>
    <x v="0"/>
    <x v="0"/>
  </r>
  <r>
    <n v="18363"/>
    <x v="0"/>
    <x v="1"/>
    <n v="40000"/>
    <n v="0"/>
    <s v="High School"/>
    <s v="Skilled Manual"/>
    <s v="Yes"/>
    <n v="2"/>
    <x v="2"/>
    <s v="North America"/>
    <n v="28"/>
    <x v="2"/>
    <x v="1"/>
  </r>
  <r>
    <n v="23256"/>
    <x v="1"/>
    <x v="1"/>
    <n v="30000"/>
    <n v="1"/>
    <s v="High School"/>
    <s v="Clerical"/>
    <s v="No"/>
    <n v="1"/>
    <x v="2"/>
    <s v="North America"/>
    <n v="52"/>
    <x v="0"/>
    <x v="0"/>
  </r>
  <r>
    <n v="12768"/>
    <x v="0"/>
    <x v="1"/>
    <n v="30000"/>
    <n v="1"/>
    <s v="High School"/>
    <s v="Clerical"/>
    <s v="Yes"/>
    <n v="1"/>
    <x v="1"/>
    <s v="North America"/>
    <n v="52"/>
    <x v="0"/>
    <x v="1"/>
  </r>
  <r>
    <n v="20361"/>
    <x v="0"/>
    <x v="1"/>
    <n v="50000"/>
    <n v="2"/>
    <s v="Graduate Degree"/>
    <s v="Management"/>
    <s v="Yes"/>
    <n v="2"/>
    <x v="2"/>
    <s v="North America"/>
    <n v="69"/>
    <x v="1"/>
    <x v="0"/>
  </r>
  <r>
    <n v="21306"/>
    <x v="1"/>
    <x v="1"/>
    <n v="60000"/>
    <n v="2"/>
    <s v="High School"/>
    <s v="Professional"/>
    <s v="Yes"/>
    <n v="2"/>
    <x v="2"/>
    <s v="North America"/>
    <n v="51"/>
    <x v="0"/>
    <x v="0"/>
  </r>
  <r>
    <n v="13382"/>
    <x v="0"/>
    <x v="1"/>
    <n v="70000"/>
    <n v="5"/>
    <s v="Partial College"/>
    <s v="Professional"/>
    <s v="Yes"/>
    <n v="2"/>
    <x v="3"/>
    <s v="North America"/>
    <n v="57"/>
    <x v="1"/>
    <x v="1"/>
  </r>
  <r>
    <n v="20310"/>
    <x v="1"/>
    <x v="1"/>
    <n v="60000"/>
    <n v="0"/>
    <s v="Partial College"/>
    <s v="Skilled Manual"/>
    <s v="Yes"/>
    <n v="1"/>
    <x v="2"/>
    <s v="North America"/>
    <n v="27"/>
    <x v="2"/>
    <x v="1"/>
  </r>
  <r>
    <n v="22971"/>
    <x v="1"/>
    <x v="0"/>
    <n v="30000"/>
    <n v="0"/>
    <s v="High School"/>
    <s v="Skilled Manual"/>
    <s v="No"/>
    <n v="2"/>
    <x v="0"/>
    <s v="North America"/>
    <n v="25"/>
    <x v="2"/>
    <x v="1"/>
  </r>
  <r>
    <n v="15287"/>
    <x v="1"/>
    <x v="0"/>
    <n v="50000"/>
    <n v="1"/>
    <s v="Graduate Degree"/>
    <s v="Skilled Manual"/>
    <s v="Yes"/>
    <n v="0"/>
    <x v="3"/>
    <s v="North America"/>
    <n v="33"/>
    <x v="0"/>
    <x v="1"/>
  </r>
  <r>
    <n v="15532"/>
    <x v="1"/>
    <x v="1"/>
    <n v="60000"/>
    <n v="4"/>
    <s v="Bachelors"/>
    <s v="Professional"/>
    <s v="Yes"/>
    <n v="2"/>
    <x v="1"/>
    <s v="North America"/>
    <n v="43"/>
    <x v="0"/>
    <x v="1"/>
  </r>
  <r>
    <n v="11255"/>
    <x v="0"/>
    <x v="1"/>
    <n v="70000"/>
    <n v="4"/>
    <s v="Graduate Degree"/>
    <s v="Management"/>
    <s v="Yes"/>
    <n v="2"/>
    <x v="2"/>
    <s v="North America"/>
    <n v="73"/>
    <x v="1"/>
    <x v="0"/>
  </r>
  <r>
    <n v="28090"/>
    <x v="0"/>
    <x v="1"/>
    <n v="40000"/>
    <n v="0"/>
    <s v="Partial College"/>
    <s v="Skilled Manual"/>
    <s v="Yes"/>
    <n v="1"/>
    <x v="2"/>
    <s v="North America"/>
    <n v="27"/>
    <x v="2"/>
    <x v="0"/>
  </r>
  <r>
    <n v="15255"/>
    <x v="0"/>
    <x v="1"/>
    <n v="40000"/>
    <n v="0"/>
    <s v="High School"/>
    <s v="Skilled Manual"/>
    <s v="Yes"/>
    <n v="2"/>
    <x v="2"/>
    <s v="North America"/>
    <n v="28"/>
    <x v="2"/>
    <x v="1"/>
  </r>
  <r>
    <n v="13154"/>
    <x v="0"/>
    <x v="1"/>
    <n v="40000"/>
    <n v="0"/>
    <s v="High School"/>
    <s v="Skilled Manual"/>
    <s v="No"/>
    <n v="2"/>
    <x v="0"/>
    <s v="North America"/>
    <n v="27"/>
    <x v="2"/>
    <x v="1"/>
  </r>
  <r>
    <n v="26778"/>
    <x v="1"/>
    <x v="0"/>
    <n v="40000"/>
    <n v="0"/>
    <s v="High School"/>
    <s v="Skilled Manual"/>
    <s v="Yes"/>
    <n v="2"/>
    <x v="2"/>
    <s v="North America"/>
    <n v="31"/>
    <x v="0"/>
    <x v="0"/>
  </r>
  <r>
    <n v="23248"/>
    <x v="0"/>
    <x v="0"/>
    <n v="10000"/>
    <n v="2"/>
    <s v="High School"/>
    <s v="Manual"/>
    <s v="Yes"/>
    <n v="2"/>
    <x v="3"/>
    <s v="North America"/>
    <n v="53"/>
    <x v="0"/>
    <x v="0"/>
  </r>
  <r>
    <n v="21417"/>
    <x v="1"/>
    <x v="0"/>
    <n v="60000"/>
    <n v="0"/>
    <s v="Partial College"/>
    <s v="Professional"/>
    <s v="No"/>
    <n v="2"/>
    <x v="3"/>
    <s v="North America"/>
    <n v="32"/>
    <x v="0"/>
    <x v="1"/>
  </r>
  <r>
    <n v="17668"/>
    <x v="1"/>
    <x v="1"/>
    <n v="30000"/>
    <n v="2"/>
    <s v="High School"/>
    <s v="Skilled Manual"/>
    <s v="Yes"/>
    <n v="2"/>
    <x v="3"/>
    <s v="North America"/>
    <n v="50"/>
    <x v="0"/>
    <x v="1"/>
  </r>
  <r>
    <n v="27994"/>
    <x v="0"/>
    <x v="0"/>
    <n v="40000"/>
    <n v="4"/>
    <s v="High School"/>
    <s v="Professional"/>
    <s v="Yes"/>
    <n v="2"/>
    <x v="2"/>
    <s v="North America"/>
    <n v="69"/>
    <x v="1"/>
    <x v="0"/>
  </r>
  <r>
    <n v="20376"/>
    <x v="1"/>
    <x v="0"/>
    <n v="70000"/>
    <n v="3"/>
    <s v="Graduate Degree"/>
    <s v="Management"/>
    <s v="Yes"/>
    <n v="2"/>
    <x v="2"/>
    <s v="North America"/>
    <n v="52"/>
    <x v="0"/>
    <x v="1"/>
  </r>
  <r>
    <n v="25954"/>
    <x v="0"/>
    <x v="1"/>
    <n v="60000"/>
    <n v="0"/>
    <s v="Partial College"/>
    <s v="Skilled Manual"/>
    <s v="No"/>
    <n v="2"/>
    <x v="3"/>
    <s v="North America"/>
    <n v="31"/>
    <x v="0"/>
    <x v="0"/>
  </r>
  <r>
    <n v="15749"/>
    <x v="1"/>
    <x v="0"/>
    <n v="70000"/>
    <n v="4"/>
    <s v="Bachelors"/>
    <s v="Management"/>
    <s v="Yes"/>
    <n v="2"/>
    <x v="4"/>
    <s v="North America"/>
    <n v="61"/>
    <x v="1"/>
    <x v="0"/>
  </r>
  <r>
    <n v="25899"/>
    <x v="0"/>
    <x v="0"/>
    <n v="70000"/>
    <n v="2"/>
    <s v="High School"/>
    <s v="Professional"/>
    <s v="Yes"/>
    <n v="2"/>
    <x v="4"/>
    <s v="North America"/>
    <n v="53"/>
    <x v="0"/>
    <x v="0"/>
  </r>
  <r>
    <n v="13351"/>
    <x v="1"/>
    <x v="0"/>
    <n v="70000"/>
    <n v="4"/>
    <s v="Bachelors"/>
    <s v="Management"/>
    <s v="Yes"/>
    <n v="2"/>
    <x v="3"/>
    <s v="North America"/>
    <n v="62"/>
    <x v="1"/>
    <x v="1"/>
  </r>
  <r>
    <n v="23333"/>
    <x v="0"/>
    <x v="1"/>
    <n v="40000"/>
    <n v="0"/>
    <s v="Partial College"/>
    <s v="Skilled Manual"/>
    <s v="No"/>
    <n v="2"/>
    <x v="3"/>
    <s v="North America"/>
    <n v="30"/>
    <x v="2"/>
    <x v="0"/>
  </r>
  <r>
    <n v="21660"/>
    <x v="0"/>
    <x v="0"/>
    <n v="60000"/>
    <n v="3"/>
    <s v="Graduate Degree"/>
    <s v="Professional"/>
    <s v="Yes"/>
    <n v="0"/>
    <x v="1"/>
    <s v="North America"/>
    <n v="43"/>
    <x v="0"/>
    <x v="1"/>
  </r>
  <r>
    <n v="17012"/>
    <x v="0"/>
    <x v="0"/>
    <n v="60000"/>
    <n v="3"/>
    <s v="Graduate Degree"/>
    <s v="Professional"/>
    <s v="Yes"/>
    <n v="0"/>
    <x v="1"/>
    <s v="North America"/>
    <n v="42"/>
    <x v="0"/>
    <x v="1"/>
  </r>
  <r>
    <n v="24514"/>
    <x v="0"/>
    <x v="1"/>
    <n v="40000"/>
    <n v="0"/>
    <s v="Partial College"/>
    <s v="Skilled Manual"/>
    <s v="Yes"/>
    <n v="1"/>
    <x v="2"/>
    <s v="North America"/>
    <n v="30"/>
    <x v="2"/>
    <x v="0"/>
  </r>
  <r>
    <n v="27505"/>
    <x v="1"/>
    <x v="0"/>
    <n v="40000"/>
    <n v="0"/>
    <s v="High School"/>
    <s v="Skilled Manual"/>
    <s v="Yes"/>
    <n v="2"/>
    <x v="2"/>
    <s v="North America"/>
    <n v="30"/>
    <x v="2"/>
    <x v="0"/>
  </r>
  <r>
    <n v="29243"/>
    <x v="1"/>
    <x v="1"/>
    <n v="110000"/>
    <n v="1"/>
    <s v="Bachelors"/>
    <s v="Management"/>
    <s v="Yes"/>
    <n v="1"/>
    <x v="2"/>
    <s v="North America"/>
    <n v="43"/>
    <x v="0"/>
    <x v="0"/>
  </r>
  <r>
    <n v="26582"/>
    <x v="0"/>
    <x v="1"/>
    <n v="60000"/>
    <n v="0"/>
    <s v="Partial College"/>
    <s v="Skilled Manual"/>
    <s v="Yes"/>
    <n v="2"/>
    <x v="2"/>
    <s v="North America"/>
    <n v="33"/>
    <x v="0"/>
    <x v="1"/>
  </r>
  <r>
    <n v="14271"/>
    <x v="0"/>
    <x v="1"/>
    <n v="30000"/>
    <n v="0"/>
    <s v="High School"/>
    <s v="Skilled Manual"/>
    <s v="Yes"/>
    <n v="2"/>
    <x v="2"/>
    <s v="North America"/>
    <n v="32"/>
    <x v="0"/>
    <x v="0"/>
  </r>
  <r>
    <n v="23041"/>
    <x v="1"/>
    <x v="0"/>
    <n v="70000"/>
    <n v="4"/>
    <s v="High School"/>
    <s v="Professional"/>
    <s v="Yes"/>
    <n v="0"/>
    <x v="2"/>
    <s v="North America"/>
    <n v="50"/>
    <x v="0"/>
    <x v="1"/>
  </r>
  <r>
    <n v="29048"/>
    <x v="1"/>
    <x v="1"/>
    <n v="110000"/>
    <n v="2"/>
    <s v="Bachelors"/>
    <s v="Management"/>
    <s v="No"/>
    <n v="3"/>
    <x v="0"/>
    <s v="North America"/>
    <n v="37"/>
    <x v="0"/>
    <x v="1"/>
  </r>
  <r>
    <n v="24433"/>
    <x v="0"/>
    <x v="1"/>
    <n v="70000"/>
    <n v="3"/>
    <s v="High School"/>
    <s v="Professional"/>
    <s v="No"/>
    <n v="1"/>
    <x v="3"/>
    <s v="North America"/>
    <n v="52"/>
    <x v="0"/>
    <x v="1"/>
  </r>
  <r>
    <n v="15501"/>
    <x v="0"/>
    <x v="1"/>
    <n v="70000"/>
    <n v="4"/>
    <s v="Graduate Degree"/>
    <s v="Professional"/>
    <s v="Yes"/>
    <n v="0"/>
    <x v="1"/>
    <s v="North America"/>
    <n v="36"/>
    <x v="0"/>
    <x v="1"/>
  </r>
  <r>
    <n v="13911"/>
    <x v="1"/>
    <x v="0"/>
    <n v="80000"/>
    <n v="3"/>
    <s v="Bachelors"/>
    <s v="Skilled Manual"/>
    <s v="Yes"/>
    <n v="2"/>
    <x v="1"/>
    <s v="North America"/>
    <n v="41"/>
    <x v="0"/>
    <x v="1"/>
  </r>
  <r>
    <n v="20421"/>
    <x v="1"/>
    <x v="0"/>
    <n v="40000"/>
    <n v="0"/>
    <s v="Partial High School"/>
    <s v="Clerical"/>
    <s v="Yes"/>
    <n v="2"/>
    <x v="2"/>
    <s v="North America"/>
    <n v="26"/>
    <x v="2"/>
    <x v="0"/>
  </r>
  <r>
    <n v="16009"/>
    <x v="1"/>
    <x v="1"/>
    <n v="170000"/>
    <n v="1"/>
    <s v="Graduate Degree"/>
    <s v="Management"/>
    <s v="No"/>
    <n v="4"/>
    <x v="0"/>
    <s v="North America"/>
    <n v="66"/>
    <x v="1"/>
    <x v="0"/>
  </r>
  <r>
    <n v="18411"/>
    <x v="0"/>
    <x v="1"/>
    <n v="60000"/>
    <n v="2"/>
    <s v="High School"/>
    <s v="Professional"/>
    <s v="No"/>
    <n v="2"/>
    <x v="2"/>
    <s v="North America"/>
    <n v="51"/>
    <x v="0"/>
    <x v="0"/>
  </r>
  <r>
    <n v="19163"/>
    <x v="0"/>
    <x v="0"/>
    <n v="70000"/>
    <n v="4"/>
    <s v="Bachelors"/>
    <s v="Professional"/>
    <s v="Yes"/>
    <n v="2"/>
    <x v="0"/>
    <s v="North America"/>
    <n v="43"/>
    <x v="0"/>
    <x v="1"/>
  </r>
  <r>
    <n v="18572"/>
    <x v="0"/>
    <x v="0"/>
    <n v="60000"/>
    <n v="0"/>
    <s v="Graduate Degree"/>
    <s v="Professional"/>
    <s v="Yes"/>
    <n v="0"/>
    <x v="0"/>
    <s v="North America"/>
    <n v="39"/>
    <x v="0"/>
    <x v="0"/>
  </r>
  <r>
    <n v="27540"/>
    <x v="1"/>
    <x v="0"/>
    <n v="70000"/>
    <n v="0"/>
    <s v="Bachelors"/>
    <s v="Professional"/>
    <s v="No"/>
    <n v="1"/>
    <x v="0"/>
    <s v="North America"/>
    <n v="37"/>
    <x v="0"/>
    <x v="1"/>
  </r>
  <r>
    <n v="19889"/>
    <x v="1"/>
    <x v="0"/>
    <n v="70000"/>
    <n v="2"/>
    <s v="Partial High School"/>
    <s v="Skilled Manual"/>
    <s v="No"/>
    <n v="2"/>
    <x v="1"/>
    <s v="North America"/>
    <n v="54"/>
    <x v="0"/>
    <x v="1"/>
  </r>
  <r>
    <n v="12922"/>
    <x v="1"/>
    <x v="0"/>
    <n v="60000"/>
    <n v="3"/>
    <s v="Bachelors"/>
    <s v="Skilled Manual"/>
    <s v="Yes"/>
    <n v="0"/>
    <x v="1"/>
    <s v="North America"/>
    <n v="40"/>
    <x v="0"/>
    <x v="1"/>
  </r>
  <r>
    <n v="18891"/>
    <x v="0"/>
    <x v="0"/>
    <n v="40000"/>
    <n v="0"/>
    <s v="Partial College"/>
    <s v="Skilled Manual"/>
    <s v="Yes"/>
    <n v="2"/>
    <x v="2"/>
    <s v="North America"/>
    <n v="28"/>
    <x v="2"/>
    <x v="0"/>
  </r>
  <r>
    <n v="16773"/>
    <x v="0"/>
    <x v="1"/>
    <n v="60000"/>
    <n v="1"/>
    <s v="Graduate Degree"/>
    <s v="Skilled Manual"/>
    <s v="Yes"/>
    <n v="0"/>
    <x v="0"/>
    <s v="North America"/>
    <n v="33"/>
    <x v="0"/>
    <x v="0"/>
  </r>
  <r>
    <n v="19143"/>
    <x v="1"/>
    <x v="0"/>
    <n v="80000"/>
    <n v="3"/>
    <s v="Bachelors"/>
    <s v="Skilled Manual"/>
    <s v="Yes"/>
    <n v="2"/>
    <x v="1"/>
    <s v="North America"/>
    <n v="41"/>
    <x v="0"/>
    <x v="1"/>
  </r>
  <r>
    <n v="23882"/>
    <x v="1"/>
    <x v="0"/>
    <n v="80000"/>
    <n v="3"/>
    <s v="Graduate Degree"/>
    <s v="Professional"/>
    <s v="Yes"/>
    <n v="0"/>
    <x v="0"/>
    <s v="North America"/>
    <n v="37"/>
    <x v="0"/>
    <x v="1"/>
  </r>
  <r>
    <n v="11233"/>
    <x v="0"/>
    <x v="1"/>
    <n v="70000"/>
    <n v="4"/>
    <s v="Partial College"/>
    <s v="Professional"/>
    <s v="Yes"/>
    <n v="2"/>
    <x v="4"/>
    <s v="North America"/>
    <n v="53"/>
    <x v="0"/>
    <x v="0"/>
  </r>
  <r>
    <n v="12056"/>
    <x v="0"/>
    <x v="1"/>
    <n v="120000"/>
    <n v="2"/>
    <s v="Graduate Degree"/>
    <s v="Management"/>
    <s v="Yes"/>
    <n v="3"/>
    <x v="2"/>
    <s v="North America"/>
    <n v="64"/>
    <x v="1"/>
    <x v="0"/>
  </r>
  <r>
    <n v="15555"/>
    <x v="0"/>
    <x v="0"/>
    <n v="60000"/>
    <n v="1"/>
    <s v="Partial College"/>
    <s v="Skilled Manual"/>
    <s v="Yes"/>
    <n v="1"/>
    <x v="1"/>
    <s v="North America"/>
    <n v="45"/>
    <x v="0"/>
    <x v="1"/>
  </r>
  <r>
    <n v="18423"/>
    <x v="1"/>
    <x v="1"/>
    <n v="80000"/>
    <n v="2"/>
    <s v="Partial High School"/>
    <s v="Skilled Manual"/>
    <s v="No"/>
    <n v="2"/>
    <x v="3"/>
    <s v="North America"/>
    <n v="52"/>
    <x v="0"/>
    <x v="0"/>
  </r>
  <r>
    <n v="22743"/>
    <x v="0"/>
    <x v="0"/>
    <n v="40000"/>
    <n v="5"/>
    <s v="High School"/>
    <s v="Professional"/>
    <s v="Yes"/>
    <n v="2"/>
    <x v="4"/>
    <s v="North America"/>
    <n v="60"/>
    <x v="1"/>
    <x v="0"/>
  </r>
  <r>
    <n v="25343"/>
    <x v="1"/>
    <x v="0"/>
    <n v="20000"/>
    <n v="3"/>
    <s v="Partial High School"/>
    <s v="Clerical"/>
    <s v="Yes"/>
    <n v="2"/>
    <x v="3"/>
    <s v="North America"/>
    <n v="50"/>
    <x v="0"/>
    <x v="0"/>
  </r>
  <r>
    <n v="13390"/>
    <x v="0"/>
    <x v="0"/>
    <n v="70000"/>
    <n v="4"/>
    <s v="Partial College"/>
    <s v="Professional"/>
    <s v="No"/>
    <n v="1"/>
    <x v="3"/>
    <s v="North America"/>
    <n v="56"/>
    <x v="1"/>
    <x v="0"/>
  </r>
  <r>
    <n v="17482"/>
    <x v="1"/>
    <x v="0"/>
    <n v="40000"/>
    <n v="0"/>
    <s v="Partial High School"/>
    <s v="Clerical"/>
    <s v="Yes"/>
    <n v="2"/>
    <x v="2"/>
    <s v="North America"/>
    <n v="29"/>
    <x v="2"/>
    <x v="0"/>
  </r>
  <r>
    <n v="13176"/>
    <x v="1"/>
    <x v="1"/>
    <n v="130000"/>
    <n v="0"/>
    <s v="Graduate Degree"/>
    <s v="Management"/>
    <s v="No"/>
    <n v="2"/>
    <x v="0"/>
    <s v="North America"/>
    <n v="38"/>
    <x v="0"/>
    <x v="1"/>
  </r>
  <r>
    <n v="20504"/>
    <x v="0"/>
    <x v="0"/>
    <n v="40000"/>
    <n v="5"/>
    <s v="High School"/>
    <s v="Professional"/>
    <s v="No"/>
    <n v="2"/>
    <x v="1"/>
    <s v="North America"/>
    <n v="60"/>
    <x v="1"/>
    <x v="0"/>
  </r>
  <r>
    <n v="12205"/>
    <x v="1"/>
    <x v="0"/>
    <n v="130000"/>
    <n v="2"/>
    <s v="Bachelors"/>
    <s v="Management"/>
    <s v="No"/>
    <n v="4"/>
    <x v="0"/>
    <s v="North America"/>
    <n v="67"/>
    <x v="1"/>
    <x v="0"/>
  </r>
  <r>
    <n v="16751"/>
    <x v="0"/>
    <x v="1"/>
    <n v="60000"/>
    <n v="0"/>
    <s v="Partial College"/>
    <s v="Skilled Manual"/>
    <s v="Yes"/>
    <n v="1"/>
    <x v="2"/>
    <s v="North America"/>
    <n v="32"/>
    <x v="0"/>
    <x v="1"/>
  </r>
  <r>
    <n v="21613"/>
    <x v="1"/>
    <x v="1"/>
    <n v="50000"/>
    <n v="2"/>
    <s v="Bachelors"/>
    <s v="Skilled Manual"/>
    <s v="No"/>
    <n v="1"/>
    <x v="0"/>
    <s v="North America"/>
    <n v="39"/>
    <x v="0"/>
    <x v="1"/>
  </r>
  <r>
    <n v="24801"/>
    <x v="1"/>
    <x v="1"/>
    <n v="60000"/>
    <n v="1"/>
    <s v="Graduate Degree"/>
    <s v="Professional"/>
    <s v="Yes"/>
    <n v="0"/>
    <x v="1"/>
    <s v="North America"/>
    <n v="35"/>
    <x v="0"/>
    <x v="1"/>
  </r>
  <r>
    <n v="17519"/>
    <x v="0"/>
    <x v="0"/>
    <n v="60000"/>
    <n v="0"/>
    <s v="Partial College"/>
    <s v="Professional"/>
    <s v="Yes"/>
    <n v="2"/>
    <x v="2"/>
    <s v="North America"/>
    <n v="32"/>
    <x v="0"/>
    <x v="0"/>
  </r>
  <r>
    <n v="18347"/>
    <x v="1"/>
    <x v="0"/>
    <n v="30000"/>
    <n v="0"/>
    <s v="Partial College"/>
    <s v="Skilled Manual"/>
    <s v="No"/>
    <n v="1"/>
    <x v="3"/>
    <s v="North America"/>
    <n v="31"/>
    <x v="0"/>
    <x v="0"/>
  </r>
  <r>
    <n v="29052"/>
    <x v="1"/>
    <x v="1"/>
    <n v="40000"/>
    <n v="0"/>
    <s v="Partial College"/>
    <s v="Skilled Manual"/>
    <s v="Yes"/>
    <n v="1"/>
    <x v="2"/>
    <s v="North America"/>
    <n v="27"/>
    <x v="2"/>
    <x v="0"/>
  </r>
  <r>
    <n v="11745"/>
    <x v="0"/>
    <x v="0"/>
    <n v="60000"/>
    <n v="1"/>
    <s v="Bachelors"/>
    <s v="Professional"/>
    <s v="Yes"/>
    <n v="1"/>
    <x v="0"/>
    <s v="North America"/>
    <n v="47"/>
    <x v="0"/>
    <x v="1"/>
  </r>
  <r>
    <n v="19147"/>
    <x v="0"/>
    <x v="1"/>
    <n v="40000"/>
    <n v="0"/>
    <s v="Bachelors"/>
    <s v="Professional"/>
    <s v="No"/>
    <n v="1"/>
    <x v="0"/>
    <s v="North America"/>
    <n v="42"/>
    <x v="0"/>
    <x v="0"/>
  </r>
  <r>
    <n v="19217"/>
    <x v="0"/>
    <x v="1"/>
    <n v="30000"/>
    <n v="2"/>
    <s v="High School"/>
    <s v="Skilled Manual"/>
    <s v="Yes"/>
    <n v="2"/>
    <x v="3"/>
    <s v="North America"/>
    <n v="49"/>
    <x v="0"/>
    <x v="0"/>
  </r>
  <r>
    <n v="15839"/>
    <x v="1"/>
    <x v="1"/>
    <n v="30000"/>
    <n v="0"/>
    <s v="Partial College"/>
    <s v="Skilled Manual"/>
    <s v="Yes"/>
    <n v="1"/>
    <x v="2"/>
    <s v="North America"/>
    <n v="32"/>
    <x v="0"/>
    <x v="0"/>
  </r>
  <r>
    <n v="13714"/>
    <x v="0"/>
    <x v="0"/>
    <n v="20000"/>
    <n v="2"/>
    <s v="High School"/>
    <s v="Manual"/>
    <s v="No"/>
    <n v="2"/>
    <x v="3"/>
    <s v="North America"/>
    <n v="53"/>
    <x v="0"/>
    <x v="1"/>
  </r>
  <r>
    <n v="22330"/>
    <x v="0"/>
    <x v="1"/>
    <n v="50000"/>
    <n v="0"/>
    <s v="Graduate Degree"/>
    <s v="Skilled Manual"/>
    <s v="Yes"/>
    <n v="0"/>
    <x v="3"/>
    <s v="North America"/>
    <n v="32"/>
    <x v="0"/>
    <x v="1"/>
  </r>
  <r>
    <n v="18783"/>
    <x v="1"/>
    <x v="1"/>
    <n v="80000"/>
    <n v="0"/>
    <s v="Bachelors"/>
    <s v="Management"/>
    <s v="No"/>
    <n v="1"/>
    <x v="0"/>
    <s v="North America"/>
    <n v="38"/>
    <x v="0"/>
    <x v="1"/>
  </r>
  <r>
    <n v="25041"/>
    <x v="1"/>
    <x v="1"/>
    <n v="40000"/>
    <n v="0"/>
    <s v="High School"/>
    <s v="Skilled Manual"/>
    <s v="Yes"/>
    <n v="2"/>
    <x v="2"/>
    <s v="North America"/>
    <n v="31"/>
    <x v="0"/>
    <x v="0"/>
  </r>
  <r>
    <n v="22046"/>
    <x v="1"/>
    <x v="0"/>
    <n v="80000"/>
    <n v="0"/>
    <s v="Bachelors"/>
    <s v="Management"/>
    <s v="No"/>
    <n v="1"/>
    <x v="0"/>
    <s v="North America"/>
    <n v="38"/>
    <x v="0"/>
    <x v="1"/>
  </r>
  <r>
    <n v="28052"/>
    <x v="0"/>
    <x v="1"/>
    <n v="60000"/>
    <n v="2"/>
    <s v="High School"/>
    <s v="Professional"/>
    <s v="Yes"/>
    <n v="2"/>
    <x v="4"/>
    <s v="North America"/>
    <n v="55"/>
    <x v="1"/>
    <x v="0"/>
  </r>
  <r>
    <n v="26693"/>
    <x v="0"/>
    <x v="1"/>
    <n v="70000"/>
    <n v="3"/>
    <s v="Partial College"/>
    <s v="Professional"/>
    <s v="Yes"/>
    <n v="1"/>
    <x v="2"/>
    <s v="North America"/>
    <n v="49"/>
    <x v="0"/>
    <x v="0"/>
  </r>
  <r>
    <n v="24955"/>
    <x v="1"/>
    <x v="1"/>
    <n v="30000"/>
    <n v="5"/>
    <s v="Partial High School"/>
    <s v="Skilled Manual"/>
    <s v="Yes"/>
    <n v="3"/>
    <x v="4"/>
    <s v="North America"/>
    <n v="60"/>
    <x v="1"/>
    <x v="1"/>
  </r>
  <r>
    <n v="26065"/>
    <x v="1"/>
    <x v="0"/>
    <n v="110000"/>
    <n v="3"/>
    <s v="Bachelors"/>
    <s v="Management"/>
    <s v="No"/>
    <n v="4"/>
    <x v="3"/>
    <s v="North America"/>
    <n v="42"/>
    <x v="0"/>
    <x v="0"/>
  </r>
  <r>
    <n v="13942"/>
    <x v="0"/>
    <x v="1"/>
    <n v="60000"/>
    <n v="1"/>
    <s v="Partial College"/>
    <s v="Skilled Manual"/>
    <s v="Yes"/>
    <n v="1"/>
    <x v="0"/>
    <s v="North America"/>
    <n v="46"/>
    <x v="0"/>
    <x v="0"/>
  </r>
  <r>
    <n v="11219"/>
    <x v="0"/>
    <x v="1"/>
    <n v="60000"/>
    <n v="2"/>
    <s v="High School"/>
    <s v="Professional"/>
    <s v="Yes"/>
    <n v="2"/>
    <x v="4"/>
    <s v="North America"/>
    <n v="55"/>
    <x v="1"/>
    <x v="0"/>
  </r>
  <r>
    <n v="22118"/>
    <x v="1"/>
    <x v="0"/>
    <n v="70000"/>
    <n v="3"/>
    <s v="Graduate Degree"/>
    <s v="Management"/>
    <s v="Yes"/>
    <n v="2"/>
    <x v="2"/>
    <s v="North America"/>
    <n v="53"/>
    <x v="0"/>
    <x v="1"/>
  </r>
  <r>
    <n v="23197"/>
    <x v="0"/>
    <x v="1"/>
    <n v="50000"/>
    <n v="3"/>
    <s v="Bachelors"/>
    <s v="Skilled Manual"/>
    <s v="Yes"/>
    <n v="2"/>
    <x v="1"/>
    <s v="North America"/>
    <n v="40"/>
    <x v="0"/>
    <x v="0"/>
  </r>
  <r>
    <n v="14883"/>
    <x v="0"/>
    <x v="0"/>
    <n v="30000"/>
    <n v="1"/>
    <s v="Bachelors"/>
    <s v="Skilled Manual"/>
    <s v="Yes"/>
    <n v="1"/>
    <x v="2"/>
    <s v="North America"/>
    <n v="53"/>
    <x v="0"/>
    <x v="1"/>
  </r>
  <r>
    <n v="27279"/>
    <x v="1"/>
    <x v="0"/>
    <n v="70000"/>
    <n v="2"/>
    <s v="Bachelors"/>
    <s v="Skilled Manual"/>
    <s v="Yes"/>
    <n v="0"/>
    <x v="1"/>
    <s v="North America"/>
    <n v="38"/>
    <x v="0"/>
    <x v="1"/>
  </r>
  <r>
    <n v="18322"/>
    <x v="1"/>
    <x v="1"/>
    <n v="30000"/>
    <n v="0"/>
    <s v="Partial High School"/>
    <s v="Clerical"/>
    <s v="No"/>
    <n v="2"/>
    <x v="0"/>
    <s v="North America"/>
    <n v="26"/>
    <x v="2"/>
    <x v="0"/>
  </r>
  <r>
    <n v="15879"/>
    <x v="0"/>
    <x v="1"/>
    <n v="70000"/>
    <n v="5"/>
    <s v="Bachelors"/>
    <s v="Management"/>
    <s v="Yes"/>
    <n v="2"/>
    <x v="1"/>
    <s v="North America"/>
    <n v="61"/>
    <x v="1"/>
    <x v="0"/>
  </r>
  <r>
    <n v="28278"/>
    <x v="0"/>
    <x v="1"/>
    <n v="50000"/>
    <n v="2"/>
    <s v="Graduate Degree"/>
    <s v="Management"/>
    <s v="Yes"/>
    <n v="2"/>
    <x v="2"/>
    <s v="North America"/>
    <n v="71"/>
    <x v="1"/>
    <x v="0"/>
  </r>
  <r>
    <n v="24416"/>
    <x v="0"/>
    <x v="1"/>
    <n v="90000"/>
    <n v="4"/>
    <s v="High School"/>
    <s v="Professional"/>
    <s v="Yes"/>
    <n v="2"/>
    <x v="3"/>
    <s v="North America"/>
    <n v="45"/>
    <x v="0"/>
    <x v="0"/>
  </r>
  <r>
    <n v="28066"/>
    <x v="0"/>
    <x v="1"/>
    <n v="80000"/>
    <n v="2"/>
    <s v="Graduate Degree"/>
    <s v="Professional"/>
    <s v="Yes"/>
    <n v="0"/>
    <x v="0"/>
    <s v="North America"/>
    <n v="37"/>
    <x v="0"/>
    <x v="1"/>
  </r>
  <r>
    <n v="11275"/>
    <x v="0"/>
    <x v="0"/>
    <n v="80000"/>
    <n v="4"/>
    <s v="Graduate Degree"/>
    <s v="Management"/>
    <s v="Yes"/>
    <n v="2"/>
    <x v="0"/>
    <s v="North America"/>
    <n v="72"/>
    <x v="1"/>
    <x v="1"/>
  </r>
  <r>
    <n v="14872"/>
    <x v="0"/>
    <x v="1"/>
    <n v="30000"/>
    <n v="0"/>
    <s v="Graduate Degree"/>
    <s v="Skilled Manual"/>
    <s v="Yes"/>
    <n v="0"/>
    <x v="0"/>
    <s v="North America"/>
    <n v="32"/>
    <x v="0"/>
    <x v="0"/>
  </r>
  <r>
    <n v="16151"/>
    <x v="0"/>
    <x v="0"/>
    <n v="60000"/>
    <n v="1"/>
    <s v="Bachelors"/>
    <s v="Professional"/>
    <s v="Yes"/>
    <n v="1"/>
    <x v="1"/>
    <s v="North America"/>
    <n v="48"/>
    <x v="0"/>
    <x v="1"/>
  </r>
  <r>
    <n v="19731"/>
    <x v="0"/>
    <x v="1"/>
    <n v="80000"/>
    <n v="4"/>
    <s v="Graduate Degree"/>
    <s v="Management"/>
    <s v="Yes"/>
    <n v="2"/>
    <x v="2"/>
    <s v="North America"/>
    <n v="68"/>
    <x v="1"/>
    <x v="0"/>
  </r>
  <r>
    <n v="23801"/>
    <x v="0"/>
    <x v="0"/>
    <n v="20000"/>
    <n v="2"/>
    <s v="Partial High School"/>
    <s v="Clerical"/>
    <s v="Yes"/>
    <n v="2"/>
    <x v="0"/>
    <s v="North America"/>
    <n v="49"/>
    <x v="0"/>
    <x v="0"/>
  </r>
  <r>
    <n v="11807"/>
    <x v="0"/>
    <x v="1"/>
    <n v="70000"/>
    <n v="3"/>
    <s v="Graduate Degree"/>
    <s v="Professional"/>
    <s v="Yes"/>
    <n v="0"/>
    <x v="1"/>
    <s v="North America"/>
    <n v="34"/>
    <x v="0"/>
    <x v="0"/>
  </r>
  <r>
    <n v="11622"/>
    <x v="0"/>
    <x v="1"/>
    <n v="50000"/>
    <n v="0"/>
    <s v="Graduate Degree"/>
    <s v="Skilled Manual"/>
    <s v="Yes"/>
    <n v="0"/>
    <x v="0"/>
    <s v="North America"/>
    <n v="32"/>
    <x v="0"/>
    <x v="0"/>
  </r>
  <r>
    <n v="26597"/>
    <x v="1"/>
    <x v="0"/>
    <n v="60000"/>
    <n v="4"/>
    <s v="Bachelors"/>
    <s v="Skilled Manual"/>
    <s v="No"/>
    <n v="2"/>
    <x v="0"/>
    <s v="North America"/>
    <n v="42"/>
    <x v="0"/>
    <x v="0"/>
  </r>
  <r>
    <n v="27074"/>
    <x v="0"/>
    <x v="0"/>
    <n v="70000"/>
    <n v="1"/>
    <s v="Graduate Degree"/>
    <s v="Skilled Manual"/>
    <s v="Yes"/>
    <n v="0"/>
    <x v="0"/>
    <s v="North America"/>
    <n v="35"/>
    <x v="0"/>
    <x v="1"/>
  </r>
  <r>
    <n v="19228"/>
    <x v="0"/>
    <x v="0"/>
    <n v="40000"/>
    <n v="2"/>
    <s v="Partial College"/>
    <s v="Clerical"/>
    <s v="Yes"/>
    <n v="1"/>
    <x v="0"/>
    <s v="North America"/>
    <n v="48"/>
    <x v="0"/>
    <x v="0"/>
  </r>
  <r>
    <n v="13415"/>
    <x v="1"/>
    <x v="1"/>
    <n v="100000"/>
    <n v="1"/>
    <s v="Graduate Degree"/>
    <s v="Management"/>
    <s v="Yes"/>
    <n v="3"/>
    <x v="1"/>
    <s v="North America"/>
    <n v="73"/>
    <x v="1"/>
    <x v="1"/>
  </r>
  <r>
    <n v="17000"/>
    <x v="1"/>
    <x v="0"/>
    <n v="70000"/>
    <n v="4"/>
    <s v="Bachelors"/>
    <s v="Skilled Manual"/>
    <s v="Yes"/>
    <n v="2"/>
    <x v="1"/>
    <s v="North America"/>
    <n v="43"/>
    <x v="0"/>
    <x v="1"/>
  </r>
  <r>
    <n v="14569"/>
    <x v="0"/>
    <x v="1"/>
    <n v="60000"/>
    <n v="1"/>
    <s v="Graduate Degree"/>
    <s v="Professional"/>
    <s v="Yes"/>
    <n v="0"/>
    <x v="0"/>
    <s v="North America"/>
    <n v="35"/>
    <x v="0"/>
    <x v="0"/>
  </r>
  <r>
    <n v="13873"/>
    <x v="0"/>
    <x v="1"/>
    <n v="70000"/>
    <n v="3"/>
    <s v="Graduate Degree"/>
    <s v="Professional"/>
    <s v="Yes"/>
    <n v="0"/>
    <x v="0"/>
    <s v="North America"/>
    <n v="35"/>
    <x v="0"/>
    <x v="1"/>
  </r>
  <r>
    <n v="20401"/>
    <x v="0"/>
    <x v="0"/>
    <n v="50000"/>
    <n v="4"/>
    <s v="Bachelors"/>
    <s v="Management"/>
    <s v="Yes"/>
    <n v="2"/>
    <x v="3"/>
    <s v="North America"/>
    <n v="64"/>
    <x v="1"/>
    <x v="1"/>
  </r>
  <r>
    <n v="21583"/>
    <x v="0"/>
    <x v="0"/>
    <n v="50000"/>
    <n v="1"/>
    <s v="Bachelors"/>
    <s v="Skilled Manual"/>
    <s v="Yes"/>
    <n v="0"/>
    <x v="0"/>
    <s v="North America"/>
    <n v="34"/>
    <x v="0"/>
    <x v="1"/>
  </r>
  <r>
    <n v="12029"/>
    <x v="0"/>
    <x v="1"/>
    <n v="30000"/>
    <n v="0"/>
    <s v="Partial High School"/>
    <s v="Clerical"/>
    <s v="No"/>
    <n v="2"/>
    <x v="0"/>
    <s v="North America"/>
    <n v="28"/>
    <x v="2"/>
    <x v="0"/>
  </r>
  <r>
    <n v="18066"/>
    <x v="1"/>
    <x v="1"/>
    <n v="70000"/>
    <n v="5"/>
    <s v="Bachelors"/>
    <s v="Management"/>
    <s v="Yes"/>
    <n v="3"/>
    <x v="4"/>
    <s v="North America"/>
    <n v="60"/>
    <x v="1"/>
    <x v="1"/>
  </r>
  <r>
    <n v="28192"/>
    <x v="0"/>
    <x v="0"/>
    <n v="70000"/>
    <n v="5"/>
    <s v="Graduate Degree"/>
    <s v="Professional"/>
    <s v="Yes"/>
    <n v="3"/>
    <x v="4"/>
    <s v="North America"/>
    <n v="46"/>
    <x v="0"/>
    <x v="0"/>
  </r>
  <r>
    <n v="16122"/>
    <x v="0"/>
    <x v="1"/>
    <n v="40000"/>
    <n v="4"/>
    <s v="High School"/>
    <s v="Skilled Manual"/>
    <s v="Yes"/>
    <n v="2"/>
    <x v="0"/>
    <s v="North America"/>
    <n v="44"/>
    <x v="0"/>
    <x v="1"/>
  </r>
  <r>
    <n v="18607"/>
    <x v="1"/>
    <x v="0"/>
    <n v="60000"/>
    <n v="4"/>
    <s v="Bachelors"/>
    <s v="Skilled Manual"/>
    <s v="Yes"/>
    <n v="2"/>
    <x v="1"/>
    <s v="North America"/>
    <n v="42"/>
    <x v="0"/>
    <x v="1"/>
  </r>
  <r>
    <n v="28858"/>
    <x v="1"/>
    <x v="1"/>
    <n v="80000"/>
    <n v="3"/>
    <s v="Bachelors"/>
    <s v="Skilled Manual"/>
    <s v="Yes"/>
    <n v="0"/>
    <x v="1"/>
    <s v="North America"/>
    <n v="40"/>
    <x v="0"/>
    <x v="0"/>
  </r>
  <r>
    <n v="14432"/>
    <x v="1"/>
    <x v="1"/>
    <n v="90000"/>
    <n v="4"/>
    <s v="Graduate Degree"/>
    <s v="Management"/>
    <s v="Yes"/>
    <n v="1"/>
    <x v="2"/>
    <s v="North America"/>
    <n v="73"/>
    <x v="1"/>
    <x v="0"/>
  </r>
  <r>
    <n v="26305"/>
    <x v="1"/>
    <x v="0"/>
    <n v="60000"/>
    <n v="2"/>
    <s v="Bachelors"/>
    <s v="Skilled Manual"/>
    <s v="No"/>
    <n v="0"/>
    <x v="0"/>
    <s v="North America"/>
    <n v="36"/>
    <x v="0"/>
    <x v="1"/>
  </r>
  <r>
    <n v="22050"/>
    <x v="1"/>
    <x v="1"/>
    <n v="90000"/>
    <n v="4"/>
    <s v="Bachelors"/>
    <s v="Management"/>
    <s v="Yes"/>
    <n v="1"/>
    <x v="3"/>
    <s v="North America"/>
    <n v="38"/>
    <x v="0"/>
    <x v="1"/>
  </r>
  <r>
    <n v="25394"/>
    <x v="0"/>
    <x v="1"/>
    <n v="60000"/>
    <n v="1"/>
    <s v="Graduate Degree"/>
    <s v="Professional"/>
    <s v="Yes"/>
    <n v="0"/>
    <x v="1"/>
    <s v="North America"/>
    <n v="34"/>
    <x v="0"/>
    <x v="1"/>
  </r>
  <r>
    <n v="19747"/>
    <x v="0"/>
    <x v="1"/>
    <n v="50000"/>
    <n v="4"/>
    <s v="Bachelors"/>
    <s v="Management"/>
    <s v="Yes"/>
    <n v="2"/>
    <x v="4"/>
    <s v="North America"/>
    <n v="63"/>
    <x v="1"/>
    <x v="0"/>
  </r>
  <r>
    <n v="23195"/>
    <x v="1"/>
    <x v="1"/>
    <n v="50000"/>
    <n v="3"/>
    <s v="Bachelors"/>
    <s v="Skilled Manual"/>
    <s v="Yes"/>
    <n v="2"/>
    <x v="1"/>
    <s v="North America"/>
    <n v="41"/>
    <x v="0"/>
    <x v="1"/>
  </r>
  <r>
    <n v="21695"/>
    <x v="0"/>
    <x v="1"/>
    <n v="60000"/>
    <n v="0"/>
    <s v="Graduate Degree"/>
    <s v="Skilled Manual"/>
    <s v="Yes"/>
    <n v="0"/>
    <x v="3"/>
    <s v="North America"/>
    <n v="39"/>
    <x v="0"/>
    <x v="1"/>
  </r>
  <r>
    <n v="13934"/>
    <x v="0"/>
    <x v="1"/>
    <n v="40000"/>
    <n v="4"/>
    <s v="High School"/>
    <s v="Skilled Manual"/>
    <s v="Yes"/>
    <n v="2"/>
    <x v="1"/>
    <s v="North America"/>
    <n v="46"/>
    <x v="0"/>
    <x v="0"/>
  </r>
  <r>
    <n v="13337"/>
    <x v="0"/>
    <x v="0"/>
    <n v="80000"/>
    <n v="5"/>
    <s v="Bachelors"/>
    <s v="Management"/>
    <s v="Yes"/>
    <n v="2"/>
    <x v="2"/>
    <s v="North America"/>
    <n v="64"/>
    <x v="1"/>
    <x v="0"/>
  </r>
  <r>
    <n v="27190"/>
    <x v="0"/>
    <x v="0"/>
    <n v="40000"/>
    <n v="3"/>
    <s v="Partial College"/>
    <s v="Clerical"/>
    <s v="Yes"/>
    <n v="1"/>
    <x v="3"/>
    <s v="North America"/>
    <n v="32"/>
    <x v="0"/>
    <x v="0"/>
  </r>
  <r>
    <n v="28657"/>
    <x v="1"/>
    <x v="1"/>
    <n v="60000"/>
    <n v="2"/>
    <s v="Bachelors"/>
    <s v="Skilled Manual"/>
    <s v="Yes"/>
    <n v="0"/>
    <x v="1"/>
    <s v="North America"/>
    <n v="36"/>
    <x v="0"/>
    <x v="1"/>
  </r>
  <r>
    <n v="21713"/>
    <x v="1"/>
    <x v="1"/>
    <n v="80000"/>
    <n v="5"/>
    <s v="Graduate Degree"/>
    <s v="Skilled Manual"/>
    <s v="No"/>
    <n v="0"/>
    <x v="0"/>
    <s v="North America"/>
    <n v="47"/>
    <x v="0"/>
    <x v="0"/>
  </r>
  <r>
    <n v="21752"/>
    <x v="0"/>
    <x v="1"/>
    <n v="60000"/>
    <n v="3"/>
    <s v="Graduate Degree"/>
    <s v="Management"/>
    <s v="Yes"/>
    <n v="2"/>
    <x v="4"/>
    <s v="North America"/>
    <n v="64"/>
    <x v="1"/>
    <x v="0"/>
  </r>
  <r>
    <n v="27273"/>
    <x v="1"/>
    <x v="1"/>
    <n v="70000"/>
    <n v="3"/>
    <s v="Graduate Degree"/>
    <s v="Professional"/>
    <s v="No"/>
    <n v="0"/>
    <x v="0"/>
    <s v="North America"/>
    <n v="35"/>
    <x v="0"/>
    <x v="1"/>
  </r>
  <r>
    <n v="22719"/>
    <x v="1"/>
    <x v="1"/>
    <n v="110000"/>
    <n v="3"/>
    <s v="Bachelors"/>
    <s v="Management"/>
    <s v="Yes"/>
    <n v="4"/>
    <x v="1"/>
    <s v="North America"/>
    <n v="40"/>
    <x v="0"/>
    <x v="1"/>
  </r>
  <r>
    <n v="22042"/>
    <x v="0"/>
    <x v="0"/>
    <n v="70000"/>
    <n v="0"/>
    <s v="Partial College"/>
    <s v="Skilled Manual"/>
    <s v="Yes"/>
    <n v="2"/>
    <x v="2"/>
    <s v="North America"/>
    <n v="34"/>
    <x v="0"/>
    <x v="1"/>
  </r>
  <r>
    <n v="21451"/>
    <x v="0"/>
    <x v="0"/>
    <n v="40000"/>
    <n v="4"/>
    <s v="High School"/>
    <s v="Professional"/>
    <s v="Yes"/>
    <n v="2"/>
    <x v="4"/>
    <s v="North America"/>
    <n v="61"/>
    <x v="1"/>
    <x v="0"/>
  </r>
  <r>
    <n v="20754"/>
    <x v="0"/>
    <x v="1"/>
    <n v="30000"/>
    <n v="2"/>
    <s v="High School"/>
    <s v="Skilled Manual"/>
    <s v="Yes"/>
    <n v="2"/>
    <x v="3"/>
    <s v="North America"/>
    <n v="51"/>
    <x v="0"/>
    <x v="0"/>
  </r>
  <r>
    <n v="12153"/>
    <x v="1"/>
    <x v="0"/>
    <n v="70000"/>
    <n v="3"/>
    <s v="Partial College"/>
    <s v="Professional"/>
    <s v="Yes"/>
    <n v="1"/>
    <x v="2"/>
    <s v="North America"/>
    <n v="49"/>
    <x v="0"/>
    <x v="1"/>
  </r>
  <r>
    <n v="16895"/>
    <x v="0"/>
    <x v="0"/>
    <n v="40000"/>
    <n v="3"/>
    <s v="Partial College"/>
    <s v="Professional"/>
    <s v="No"/>
    <n v="2"/>
    <x v="3"/>
    <s v="North America"/>
    <n v="54"/>
    <x v="0"/>
    <x v="1"/>
  </r>
  <r>
    <n v="26728"/>
    <x v="1"/>
    <x v="1"/>
    <n v="70000"/>
    <n v="3"/>
    <s v="Graduate Degree"/>
    <s v="Management"/>
    <s v="No"/>
    <n v="2"/>
    <x v="3"/>
    <s v="North America"/>
    <n v="53"/>
    <x v="0"/>
    <x v="1"/>
  </r>
  <r>
    <n v="11090"/>
    <x v="1"/>
    <x v="1"/>
    <n v="90000"/>
    <n v="2"/>
    <s v="Partial College"/>
    <s v="Professional"/>
    <s v="Yes"/>
    <n v="1"/>
    <x v="1"/>
    <s v="North America"/>
    <n v="48"/>
    <x v="0"/>
    <x v="1"/>
  </r>
  <r>
    <n v="15862"/>
    <x v="1"/>
    <x v="0"/>
    <n v="50000"/>
    <n v="0"/>
    <s v="Graduate Degree"/>
    <s v="Skilled Manual"/>
    <s v="Yes"/>
    <n v="0"/>
    <x v="3"/>
    <s v="North America"/>
    <n v="33"/>
    <x v="0"/>
    <x v="1"/>
  </r>
  <r>
    <n v="26495"/>
    <x v="1"/>
    <x v="0"/>
    <n v="40000"/>
    <n v="2"/>
    <s v="High School"/>
    <s v="Professional"/>
    <s v="Yes"/>
    <n v="2"/>
    <x v="4"/>
    <s v="North America"/>
    <n v="57"/>
    <x v="1"/>
    <x v="0"/>
  </r>
  <r>
    <n v="11823"/>
    <x v="0"/>
    <x v="0"/>
    <n v="70000"/>
    <n v="0"/>
    <s v="Graduate Degree"/>
    <s v="Professional"/>
    <s v="Yes"/>
    <n v="0"/>
    <x v="1"/>
    <s v="North America"/>
    <n v="39"/>
    <x v="0"/>
    <x v="0"/>
  </r>
  <r>
    <n v="23449"/>
    <x v="0"/>
    <x v="1"/>
    <n v="60000"/>
    <n v="2"/>
    <s v="High School"/>
    <s v="Professional"/>
    <s v="Yes"/>
    <n v="2"/>
    <x v="2"/>
    <s v="North America"/>
    <n v="48"/>
    <x v="0"/>
    <x v="0"/>
  </r>
  <r>
    <n v="23459"/>
    <x v="0"/>
    <x v="1"/>
    <n v="60000"/>
    <n v="2"/>
    <s v="High School"/>
    <s v="Professional"/>
    <s v="Yes"/>
    <n v="2"/>
    <x v="2"/>
    <s v="North America"/>
    <n v="50"/>
    <x v="0"/>
    <x v="0"/>
  </r>
  <r>
    <n v="19543"/>
    <x v="0"/>
    <x v="1"/>
    <n v="70000"/>
    <n v="5"/>
    <s v="Graduate Degree"/>
    <s v="Professional"/>
    <s v="No"/>
    <n v="3"/>
    <x v="4"/>
    <s v="North America"/>
    <n v="47"/>
    <x v="0"/>
    <x v="0"/>
  </r>
  <r>
    <n v="14914"/>
    <x v="0"/>
    <x v="0"/>
    <n v="40000"/>
    <n v="1"/>
    <s v="Partial College"/>
    <s v="Clerical"/>
    <s v="Yes"/>
    <n v="1"/>
    <x v="3"/>
    <s v="North America"/>
    <n v="49"/>
    <x v="0"/>
    <x v="1"/>
  </r>
  <r>
    <n v="12033"/>
    <x v="1"/>
    <x v="0"/>
    <n v="40000"/>
    <n v="0"/>
    <s v="High School"/>
    <s v="Skilled Manual"/>
    <s v="No"/>
    <n v="2"/>
    <x v="0"/>
    <s v="North America"/>
    <n v="27"/>
    <x v="2"/>
    <x v="1"/>
  </r>
  <r>
    <n v="11941"/>
    <x v="1"/>
    <x v="1"/>
    <n v="60000"/>
    <n v="0"/>
    <s v="Partial College"/>
    <s v="Skilled Manual"/>
    <s v="Yes"/>
    <n v="0"/>
    <x v="2"/>
    <s v="North America"/>
    <n v="29"/>
    <x v="2"/>
    <x v="0"/>
  </r>
  <r>
    <n v="14389"/>
    <x v="0"/>
    <x v="1"/>
    <n v="60000"/>
    <n v="2"/>
    <s v="Bachelors"/>
    <s v="Management"/>
    <s v="Yes"/>
    <n v="0"/>
    <x v="1"/>
    <s v="North America"/>
    <n v="59"/>
    <x v="1"/>
    <x v="0"/>
  </r>
  <r>
    <n v="18050"/>
    <x v="0"/>
    <x v="0"/>
    <n v="60000"/>
    <n v="1"/>
    <s v="Partial College"/>
    <s v="Skilled Manual"/>
    <s v="Yes"/>
    <n v="1"/>
    <x v="0"/>
    <s v="North America"/>
    <n v="45"/>
    <x v="0"/>
    <x v="1"/>
  </r>
  <r>
    <n v="19856"/>
    <x v="0"/>
    <x v="0"/>
    <n v="60000"/>
    <n v="4"/>
    <s v="Bachelors"/>
    <s v="Management"/>
    <s v="Yes"/>
    <n v="2"/>
    <x v="1"/>
    <s v="North America"/>
    <n v="60"/>
    <x v="1"/>
    <x v="0"/>
  </r>
  <r>
    <n v="11663"/>
    <x v="0"/>
    <x v="1"/>
    <n v="70000"/>
    <n v="4"/>
    <s v="Graduate Degree"/>
    <s v="Professional"/>
    <s v="Yes"/>
    <n v="0"/>
    <x v="0"/>
    <s v="North America"/>
    <n v="36"/>
    <x v="0"/>
    <x v="1"/>
  </r>
  <r>
    <n v="27740"/>
    <x v="0"/>
    <x v="0"/>
    <n v="40000"/>
    <n v="0"/>
    <s v="High School"/>
    <s v="Skilled Manual"/>
    <s v="Yes"/>
    <n v="2"/>
    <x v="2"/>
    <s v="North America"/>
    <n v="27"/>
    <x v="2"/>
    <x v="0"/>
  </r>
  <r>
    <n v="23455"/>
    <x v="1"/>
    <x v="1"/>
    <n v="80000"/>
    <n v="2"/>
    <s v="Partial High School"/>
    <s v="Skilled Manual"/>
    <s v="No"/>
    <n v="2"/>
    <x v="3"/>
    <s v="North America"/>
    <n v="50"/>
    <x v="0"/>
    <x v="0"/>
  </r>
  <r>
    <n v="15292"/>
    <x v="1"/>
    <x v="0"/>
    <n v="60000"/>
    <n v="1"/>
    <s v="Graduate Degree"/>
    <s v="Skilled Manual"/>
    <s v="Yes"/>
    <n v="0"/>
    <x v="3"/>
    <s v="North America"/>
    <n v="35"/>
    <x v="0"/>
    <x v="0"/>
  </r>
  <r>
    <n v="21587"/>
    <x v="0"/>
    <x v="0"/>
    <n v="60000"/>
    <n v="1"/>
    <s v="Graduate Degree"/>
    <s v="Skilled Manual"/>
    <s v="Yes"/>
    <n v="0"/>
    <x v="1"/>
    <s v="North America"/>
    <n v="34"/>
    <x v="0"/>
    <x v="1"/>
  </r>
  <r>
    <n v="23513"/>
    <x v="0"/>
    <x v="0"/>
    <n v="40000"/>
    <n v="3"/>
    <s v="Partial College"/>
    <s v="Professional"/>
    <s v="Yes"/>
    <n v="2"/>
    <x v="2"/>
    <s v="North America"/>
    <n v="54"/>
    <x v="0"/>
    <x v="0"/>
  </r>
  <r>
    <n v="24322"/>
    <x v="0"/>
    <x v="0"/>
    <n v="60000"/>
    <n v="4"/>
    <s v="Bachelors"/>
    <s v="Skilled Manual"/>
    <s v="No"/>
    <n v="2"/>
    <x v="0"/>
    <s v="North America"/>
    <n v="42"/>
    <x v="0"/>
    <x v="0"/>
  </r>
  <r>
    <n v="26298"/>
    <x v="0"/>
    <x v="0"/>
    <n v="50000"/>
    <n v="1"/>
    <s v="Bachelors"/>
    <s v="Skilled Manual"/>
    <s v="Yes"/>
    <n v="0"/>
    <x v="1"/>
    <s v="North America"/>
    <n v="34"/>
    <x v="0"/>
    <x v="1"/>
  </r>
  <r>
    <n v="25419"/>
    <x v="1"/>
    <x v="1"/>
    <n v="50000"/>
    <n v="2"/>
    <s v="Bachelors"/>
    <s v="Skilled Manual"/>
    <s v="No"/>
    <n v="1"/>
    <x v="0"/>
    <s v="North America"/>
    <n v="38"/>
    <x v="0"/>
    <x v="1"/>
  </r>
  <r>
    <n v="13343"/>
    <x v="0"/>
    <x v="0"/>
    <n v="90000"/>
    <n v="5"/>
    <s v="Bachelors"/>
    <s v="Management"/>
    <s v="Yes"/>
    <n v="2"/>
    <x v="3"/>
    <s v="North America"/>
    <n v="63"/>
    <x v="1"/>
    <x v="1"/>
  </r>
  <r>
    <n v="11303"/>
    <x v="1"/>
    <x v="0"/>
    <n v="90000"/>
    <n v="4"/>
    <s v="High School"/>
    <s v="Professional"/>
    <s v="No"/>
    <n v="3"/>
    <x v="3"/>
    <s v="North America"/>
    <n v="45"/>
    <x v="0"/>
    <x v="1"/>
  </r>
  <r>
    <n v="21693"/>
    <x v="1"/>
    <x v="0"/>
    <n v="60000"/>
    <n v="0"/>
    <s v="Graduate Degree"/>
    <s v="Skilled Manual"/>
    <s v="No"/>
    <n v="0"/>
    <x v="0"/>
    <s v="North America"/>
    <n v="40"/>
    <x v="0"/>
    <x v="0"/>
  </r>
  <r>
    <n v="28056"/>
    <x v="0"/>
    <x v="1"/>
    <n v="70000"/>
    <n v="2"/>
    <s v="Partial High School"/>
    <s v="Skilled Manual"/>
    <s v="Yes"/>
    <n v="2"/>
    <x v="4"/>
    <s v="North America"/>
    <n v="53"/>
    <x v="0"/>
    <x v="0"/>
  </r>
  <r>
    <n v="11788"/>
    <x v="1"/>
    <x v="0"/>
    <n v="70000"/>
    <n v="1"/>
    <s v="Graduate Degree"/>
    <s v="Professional"/>
    <s v="Yes"/>
    <n v="0"/>
    <x v="1"/>
    <s v="North America"/>
    <n v="34"/>
    <x v="0"/>
    <x v="0"/>
  </r>
  <r>
    <n v="22296"/>
    <x v="0"/>
    <x v="1"/>
    <n v="70000"/>
    <n v="0"/>
    <s v="Bachelors"/>
    <s v="Professional"/>
    <s v="No"/>
    <n v="1"/>
    <x v="0"/>
    <s v="North America"/>
    <n v="38"/>
    <x v="0"/>
    <x v="0"/>
  </r>
  <r>
    <n v="15319"/>
    <x v="0"/>
    <x v="0"/>
    <n v="70000"/>
    <n v="4"/>
    <s v="Bachelors"/>
    <s v="Management"/>
    <s v="No"/>
    <n v="1"/>
    <x v="3"/>
    <s v="North America"/>
    <n v="59"/>
    <x v="1"/>
    <x v="0"/>
  </r>
  <r>
    <n v="17654"/>
    <x v="1"/>
    <x v="0"/>
    <n v="40000"/>
    <n v="3"/>
    <s v="Partial College"/>
    <s v="Clerical"/>
    <s v="Yes"/>
    <n v="1"/>
    <x v="3"/>
    <s v="North America"/>
    <n v="30"/>
    <x v="2"/>
    <x v="1"/>
  </r>
  <r>
    <n v="14662"/>
    <x v="0"/>
    <x v="1"/>
    <n v="60000"/>
    <n v="1"/>
    <s v="Bachelors"/>
    <s v="Professional"/>
    <s v="Yes"/>
    <n v="1"/>
    <x v="0"/>
    <s v="North America"/>
    <n v="48"/>
    <x v="0"/>
    <x v="1"/>
  </r>
  <r>
    <n v="17541"/>
    <x v="0"/>
    <x v="0"/>
    <n v="40000"/>
    <n v="4"/>
    <s v="High School"/>
    <s v="Skilled Manual"/>
    <s v="Yes"/>
    <n v="2"/>
    <x v="1"/>
    <s v="North America"/>
    <n v="43"/>
    <x v="0"/>
    <x v="0"/>
  </r>
  <r>
    <n v="13886"/>
    <x v="0"/>
    <x v="0"/>
    <n v="70000"/>
    <n v="4"/>
    <s v="Graduate Degree"/>
    <s v="Professional"/>
    <s v="Yes"/>
    <n v="0"/>
    <x v="1"/>
    <s v="North America"/>
    <n v="35"/>
    <x v="0"/>
    <x v="1"/>
  </r>
  <r>
    <n v="13073"/>
    <x v="0"/>
    <x v="0"/>
    <n v="60000"/>
    <n v="0"/>
    <s v="Partial College"/>
    <s v="Professional"/>
    <s v="Yes"/>
    <n v="2"/>
    <x v="2"/>
    <s v="North America"/>
    <n v="30"/>
    <x v="2"/>
    <x v="0"/>
  </r>
  <r>
    <n v="21940"/>
    <x v="0"/>
    <x v="1"/>
    <n v="90000"/>
    <n v="5"/>
    <s v="Graduate Degree"/>
    <s v="Professional"/>
    <s v="Yes"/>
    <n v="0"/>
    <x v="0"/>
    <s v="North America"/>
    <n v="47"/>
    <x v="0"/>
    <x v="1"/>
  </r>
  <r>
    <n v="20196"/>
    <x v="0"/>
    <x v="1"/>
    <n v="60000"/>
    <n v="1"/>
    <s v="Partial College"/>
    <s v="Skilled Manual"/>
    <s v="Yes"/>
    <n v="1"/>
    <x v="1"/>
    <s v="North America"/>
    <n v="45"/>
    <x v="0"/>
    <x v="1"/>
  </r>
  <r>
    <n v="23491"/>
    <x v="1"/>
    <x v="1"/>
    <n v="100000"/>
    <n v="0"/>
    <s v="Partial College"/>
    <s v="Professional"/>
    <s v="No"/>
    <n v="4"/>
    <x v="3"/>
    <s v="North America"/>
    <n v="45"/>
    <x v="0"/>
    <x v="0"/>
  </r>
  <r>
    <n v="16651"/>
    <x v="0"/>
    <x v="0"/>
    <n v="120000"/>
    <n v="2"/>
    <s v="Bachelors"/>
    <s v="Management"/>
    <s v="Yes"/>
    <n v="3"/>
    <x v="2"/>
    <s v="North America"/>
    <n v="62"/>
    <x v="1"/>
    <x v="0"/>
  </r>
  <r>
    <n v="16813"/>
    <x v="0"/>
    <x v="1"/>
    <n v="60000"/>
    <n v="2"/>
    <s v="Partial College"/>
    <s v="Professional"/>
    <s v="Yes"/>
    <n v="2"/>
    <x v="4"/>
    <s v="North America"/>
    <n v="55"/>
    <x v="1"/>
    <x v="0"/>
  </r>
  <r>
    <n v="16007"/>
    <x v="0"/>
    <x v="0"/>
    <n v="90000"/>
    <n v="5"/>
    <s v="Bachelors"/>
    <s v="Management"/>
    <s v="Yes"/>
    <n v="2"/>
    <x v="3"/>
    <s v="North America"/>
    <n v="66"/>
    <x v="1"/>
    <x v="1"/>
  </r>
  <r>
    <n v="27434"/>
    <x v="1"/>
    <x v="1"/>
    <n v="70000"/>
    <n v="4"/>
    <s v="Partial College"/>
    <s v="Professional"/>
    <s v="Yes"/>
    <n v="1"/>
    <x v="4"/>
    <s v="North America"/>
    <n v="56"/>
    <x v="1"/>
    <x v="0"/>
  </r>
  <r>
    <n v="27756"/>
    <x v="1"/>
    <x v="0"/>
    <n v="50000"/>
    <n v="3"/>
    <s v="Bachelors"/>
    <s v="Skilled Manual"/>
    <s v="No"/>
    <n v="1"/>
    <x v="0"/>
    <s v="North America"/>
    <n v="40"/>
    <x v="0"/>
    <x v="0"/>
  </r>
  <r>
    <n v="23818"/>
    <x v="0"/>
    <x v="0"/>
    <n v="50000"/>
    <n v="0"/>
    <s v="Graduate Degree"/>
    <s v="Skilled Manual"/>
    <s v="Yes"/>
    <n v="0"/>
    <x v="3"/>
    <s v="North America"/>
    <n v="33"/>
    <x v="0"/>
    <x v="1"/>
  </r>
  <r>
    <n v="19012"/>
    <x v="0"/>
    <x v="1"/>
    <n v="80000"/>
    <n v="3"/>
    <s v="Bachelors"/>
    <s v="Management"/>
    <s v="Yes"/>
    <n v="1"/>
    <x v="3"/>
    <s v="North America"/>
    <n v="56"/>
    <x v="1"/>
    <x v="0"/>
  </r>
  <r>
    <n v="18329"/>
    <x v="1"/>
    <x v="1"/>
    <n v="30000"/>
    <n v="0"/>
    <s v="Partial High School"/>
    <s v="Clerical"/>
    <s v="No"/>
    <n v="2"/>
    <x v="2"/>
    <s v="North America"/>
    <n v="27"/>
    <x v="2"/>
    <x v="0"/>
  </r>
  <r>
    <n v="29037"/>
    <x v="0"/>
    <x v="1"/>
    <n v="60000"/>
    <n v="0"/>
    <s v="Graduate Degree"/>
    <s v="Professional"/>
    <s v="No"/>
    <n v="0"/>
    <x v="0"/>
    <s v="North America"/>
    <n v="39"/>
    <x v="0"/>
    <x v="0"/>
  </r>
  <r>
    <n v="26576"/>
    <x v="0"/>
    <x v="0"/>
    <n v="60000"/>
    <n v="0"/>
    <s v="Partial College"/>
    <s v="Skilled Manual"/>
    <s v="Yes"/>
    <n v="2"/>
    <x v="2"/>
    <s v="North America"/>
    <n v="31"/>
    <x v="0"/>
    <x v="0"/>
  </r>
  <r>
    <n v="12192"/>
    <x v="1"/>
    <x v="0"/>
    <n v="60000"/>
    <n v="2"/>
    <s v="Partial High School"/>
    <s v="Skilled Manual"/>
    <s v="No"/>
    <n v="2"/>
    <x v="3"/>
    <s v="North America"/>
    <n v="51"/>
    <x v="0"/>
    <x v="0"/>
  </r>
  <r>
    <n v="14887"/>
    <x v="0"/>
    <x v="0"/>
    <n v="30000"/>
    <n v="1"/>
    <s v="High School"/>
    <s v="Clerical"/>
    <s v="Yes"/>
    <n v="1"/>
    <x v="2"/>
    <s v="North America"/>
    <n v="52"/>
    <x v="0"/>
    <x v="0"/>
  </r>
  <r>
    <n v="11734"/>
    <x v="0"/>
    <x v="1"/>
    <n v="60000"/>
    <n v="1"/>
    <s v="Partial College"/>
    <s v="Skilled Manual"/>
    <s v="No"/>
    <n v="1"/>
    <x v="0"/>
    <s v="North America"/>
    <n v="47"/>
    <x v="0"/>
    <x v="0"/>
  </r>
  <r>
    <n v="17462"/>
    <x v="0"/>
    <x v="1"/>
    <n v="70000"/>
    <n v="3"/>
    <s v="Graduate Degree"/>
    <s v="Management"/>
    <s v="Yes"/>
    <n v="2"/>
    <x v="2"/>
    <s v="North America"/>
    <n v="53"/>
    <x v="0"/>
    <x v="1"/>
  </r>
  <r>
    <n v="20659"/>
    <x v="0"/>
    <x v="1"/>
    <n v="70000"/>
    <n v="3"/>
    <s v="Graduate Degree"/>
    <s v="Professional"/>
    <s v="Yes"/>
    <n v="0"/>
    <x v="0"/>
    <s v="North America"/>
    <n v="35"/>
    <x v="0"/>
    <x v="1"/>
  </r>
  <r>
    <n v="28004"/>
    <x v="0"/>
    <x v="0"/>
    <n v="60000"/>
    <n v="3"/>
    <s v="Bachelors"/>
    <s v="Management"/>
    <s v="Yes"/>
    <n v="2"/>
    <x v="4"/>
    <s v="North America"/>
    <n v="66"/>
    <x v="1"/>
    <x v="0"/>
  </r>
  <r>
    <n v="19741"/>
    <x v="1"/>
    <x v="0"/>
    <n v="80000"/>
    <n v="4"/>
    <s v="Graduate Degree"/>
    <s v="Management"/>
    <s v="Yes"/>
    <n v="2"/>
    <x v="2"/>
    <s v="North America"/>
    <n v="65"/>
    <x v="1"/>
    <x v="0"/>
  </r>
  <r>
    <n v="17450"/>
    <x v="0"/>
    <x v="1"/>
    <n v="80000"/>
    <n v="5"/>
    <s v="Partial College"/>
    <s v="Professional"/>
    <s v="Yes"/>
    <n v="3"/>
    <x v="2"/>
    <s v="North America"/>
    <n v="45"/>
    <x v="0"/>
    <x v="0"/>
  </r>
  <r>
    <n v="17337"/>
    <x v="1"/>
    <x v="1"/>
    <n v="40000"/>
    <n v="0"/>
    <s v="High School"/>
    <s v="Skilled Manual"/>
    <s v="Yes"/>
    <n v="1"/>
    <x v="2"/>
    <s v="North America"/>
    <n v="31"/>
    <x v="0"/>
    <x v="0"/>
  </r>
  <r>
    <n v="18594"/>
    <x v="1"/>
    <x v="0"/>
    <n v="80000"/>
    <n v="3"/>
    <s v="Bachelors"/>
    <s v="Skilled Manual"/>
    <s v="Yes"/>
    <n v="3"/>
    <x v="4"/>
    <s v="North America"/>
    <n v="40"/>
    <x v="0"/>
    <x v="1"/>
  </r>
  <r>
    <n v="15982"/>
    <x v="0"/>
    <x v="1"/>
    <n v="110000"/>
    <n v="5"/>
    <s v="Partial College"/>
    <s v="Professional"/>
    <s v="Yes"/>
    <n v="4"/>
    <x v="1"/>
    <s v="North America"/>
    <n v="46"/>
    <x v="0"/>
    <x v="0"/>
  </r>
  <r>
    <n v="28625"/>
    <x v="1"/>
    <x v="1"/>
    <n v="40000"/>
    <n v="2"/>
    <s v="Partial College"/>
    <s v="Clerical"/>
    <s v="No"/>
    <n v="1"/>
    <x v="3"/>
    <s v="North America"/>
    <n v="47"/>
    <x v="0"/>
    <x v="1"/>
  </r>
  <r>
    <n v="11269"/>
    <x v="0"/>
    <x v="1"/>
    <n v="130000"/>
    <n v="2"/>
    <s v="Graduate Degree"/>
    <s v="Management"/>
    <s v="Yes"/>
    <n v="2"/>
    <x v="0"/>
    <s v="North America"/>
    <n v="41"/>
    <x v="0"/>
    <x v="0"/>
  </r>
  <r>
    <n v="25148"/>
    <x v="0"/>
    <x v="1"/>
    <n v="60000"/>
    <n v="2"/>
    <s v="High School"/>
    <s v="Professional"/>
    <s v="No"/>
    <n v="2"/>
    <x v="3"/>
    <s v="North America"/>
    <n v="48"/>
    <x v="0"/>
    <x v="1"/>
  </r>
  <r>
    <n v="13920"/>
    <x v="1"/>
    <x v="0"/>
    <n v="50000"/>
    <n v="4"/>
    <s v="Bachelors"/>
    <s v="Skilled Manual"/>
    <s v="Yes"/>
    <n v="2"/>
    <x v="0"/>
    <s v="North America"/>
    <n v="42"/>
    <x v="0"/>
    <x v="0"/>
  </r>
  <r>
    <n v="23704"/>
    <x v="1"/>
    <x v="1"/>
    <n v="40000"/>
    <n v="5"/>
    <s v="High School"/>
    <s v="Professional"/>
    <s v="Yes"/>
    <n v="4"/>
    <x v="4"/>
    <s v="North America"/>
    <n v="60"/>
    <x v="1"/>
    <x v="1"/>
  </r>
  <r>
    <n v="28972"/>
    <x v="1"/>
    <x v="0"/>
    <n v="60000"/>
    <n v="3"/>
    <s v="Graduate Degree"/>
    <s v="Management"/>
    <s v="Yes"/>
    <n v="2"/>
    <x v="4"/>
    <s v="North America"/>
    <n v="66"/>
    <x v="1"/>
    <x v="0"/>
  </r>
  <r>
    <n v="22730"/>
    <x v="0"/>
    <x v="1"/>
    <n v="70000"/>
    <n v="5"/>
    <s v="Bachelors"/>
    <s v="Management"/>
    <s v="Yes"/>
    <n v="2"/>
    <x v="4"/>
    <s v="North America"/>
    <n v="63"/>
    <x v="1"/>
    <x v="0"/>
  </r>
  <r>
    <n v="29134"/>
    <x v="0"/>
    <x v="1"/>
    <n v="60000"/>
    <n v="4"/>
    <s v="Bachelors"/>
    <s v="Skilled Manual"/>
    <s v="No"/>
    <n v="3"/>
    <x v="4"/>
    <s v="North America"/>
    <n v="42"/>
    <x v="0"/>
    <x v="0"/>
  </r>
  <r>
    <n v="14332"/>
    <x v="1"/>
    <x v="0"/>
    <n v="30000"/>
    <n v="0"/>
    <s v="High School"/>
    <s v="Skilled Manual"/>
    <s v="No"/>
    <n v="2"/>
    <x v="2"/>
    <s v="North America"/>
    <n v="26"/>
    <x v="2"/>
    <x v="0"/>
  </r>
  <r>
    <n v="19117"/>
    <x v="1"/>
    <x v="0"/>
    <n v="60000"/>
    <n v="1"/>
    <s v="Graduate Degree"/>
    <s v="Professional"/>
    <s v="Yes"/>
    <n v="0"/>
    <x v="1"/>
    <s v="North America"/>
    <n v="36"/>
    <x v="0"/>
    <x v="1"/>
  </r>
  <r>
    <n v="22864"/>
    <x v="0"/>
    <x v="1"/>
    <n v="90000"/>
    <n v="2"/>
    <s v="Partial College"/>
    <s v="Professional"/>
    <s v="No"/>
    <n v="0"/>
    <x v="2"/>
    <s v="North America"/>
    <n v="49"/>
    <x v="0"/>
    <x v="1"/>
  </r>
  <r>
    <n v="11292"/>
    <x v="1"/>
    <x v="1"/>
    <n v="150000"/>
    <n v="1"/>
    <s v="Partial College"/>
    <s v="Professional"/>
    <s v="No"/>
    <n v="3"/>
    <x v="0"/>
    <s v="North America"/>
    <n v="44"/>
    <x v="0"/>
    <x v="1"/>
  </r>
  <r>
    <n v="13466"/>
    <x v="0"/>
    <x v="1"/>
    <n v="80000"/>
    <n v="5"/>
    <s v="Partial College"/>
    <s v="Professional"/>
    <s v="Yes"/>
    <n v="3"/>
    <x v="3"/>
    <s v="North America"/>
    <n v="46"/>
    <x v="0"/>
    <x v="0"/>
  </r>
  <r>
    <n v="23731"/>
    <x v="0"/>
    <x v="1"/>
    <n v="60000"/>
    <n v="2"/>
    <s v="High School"/>
    <s v="Professional"/>
    <s v="Yes"/>
    <n v="2"/>
    <x v="1"/>
    <s v="North America"/>
    <n v="54"/>
    <x v="0"/>
    <x v="1"/>
  </r>
  <r>
    <n v="28672"/>
    <x v="1"/>
    <x v="1"/>
    <n v="70000"/>
    <n v="4"/>
    <s v="Graduate Degree"/>
    <s v="Professional"/>
    <s v="Yes"/>
    <n v="0"/>
    <x v="1"/>
    <s v="North America"/>
    <n v="35"/>
    <x v="0"/>
    <x v="1"/>
  </r>
  <r>
    <n v="11809"/>
    <x v="0"/>
    <x v="1"/>
    <n v="60000"/>
    <n v="2"/>
    <s v="Bachelors"/>
    <s v="Skilled Manual"/>
    <s v="Yes"/>
    <n v="0"/>
    <x v="0"/>
    <s v="North America"/>
    <n v="38"/>
    <x v="0"/>
    <x v="1"/>
  </r>
  <r>
    <n v="19664"/>
    <x v="1"/>
    <x v="1"/>
    <n v="100000"/>
    <n v="3"/>
    <s v="Bachelors"/>
    <s v="Management"/>
    <s v="No"/>
    <n v="3"/>
    <x v="3"/>
    <s v="North America"/>
    <n v="38"/>
    <x v="0"/>
    <x v="0"/>
  </r>
  <r>
    <n v="12121"/>
    <x v="1"/>
    <x v="1"/>
    <n v="60000"/>
    <n v="3"/>
    <s v="High School"/>
    <s v="Professional"/>
    <s v="Yes"/>
    <n v="2"/>
    <x v="4"/>
    <s v="North America"/>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A172FD-EC56-44C0-A7D9-220E71E826F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1">
    <format dxfId="12">
      <pivotArea outline="0" collapsedLevelsAreSubtotals="1" fieldPosition="0"/>
    </format>
  </formats>
  <chartFormats count="4">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F9E205-8A03-431E-9807-60B91FD8341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6:D41" firstHeaderRow="1" firstDataRow="2" firstDataCol="1"/>
  <pivotFields count="14">
    <pivotField showAll="0"/>
    <pivotField showAll="0"/>
    <pivotField showAll="0"/>
    <pivotField numFmtId="164"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18">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2" format="2">
      <pivotArea type="data" outline="0" fieldPosition="0">
        <references count="3">
          <reference field="4294967294" count="1" selected="0">
            <x v="0"/>
          </reference>
          <reference field="12" count="1" selected="0">
            <x v="1"/>
          </reference>
          <reference field="13" count="1" selected="0">
            <x v="1"/>
          </reference>
        </references>
      </pivotArea>
    </chartFormat>
    <chartFormat chart="2" format="3">
      <pivotArea type="data" outline="0" fieldPosition="0">
        <references count="3">
          <reference field="4294967294" count="1" selected="0">
            <x v="0"/>
          </reference>
          <reference field="12" count="1" selected="0">
            <x v="1"/>
          </reference>
          <reference field="13" count="1" selected="0">
            <x v="0"/>
          </reference>
        </references>
      </pivotArea>
    </chartFormat>
    <chartFormat chart="2" format="4">
      <pivotArea type="data" outline="0" fieldPosition="0">
        <references count="3">
          <reference field="4294967294" count="1" selected="0">
            <x v="0"/>
          </reference>
          <reference field="12" count="1" selected="0">
            <x v="0"/>
          </reference>
          <reference field="13" count="1" selected="0">
            <x v="1"/>
          </reference>
        </references>
      </pivotArea>
    </chartFormat>
    <chartFormat chart="2" format="5">
      <pivotArea type="data" outline="0" fieldPosition="0">
        <references count="3">
          <reference field="4294967294" count="1" selected="0">
            <x v="0"/>
          </reference>
          <reference field="12" count="1" selected="0">
            <x v="0"/>
          </reference>
          <reference field="13" count="1" selected="0">
            <x v="0"/>
          </reference>
        </references>
      </pivotArea>
    </chartFormat>
    <chartFormat chart="4" format="6" series="1">
      <pivotArea type="data" outline="0" fieldPosition="0">
        <references count="2">
          <reference field="4294967294" count="1" selected="0">
            <x v="0"/>
          </reference>
          <reference field="13" count="1" selected="0">
            <x v="0"/>
          </reference>
        </references>
      </pivotArea>
    </chartFormat>
    <chartFormat chart="4" format="7">
      <pivotArea type="data" outline="0" fieldPosition="0">
        <references count="3">
          <reference field="4294967294" count="1" selected="0">
            <x v="0"/>
          </reference>
          <reference field="12" count="1" selected="0">
            <x v="0"/>
          </reference>
          <reference field="13" count="1" selected="0">
            <x v="0"/>
          </reference>
        </references>
      </pivotArea>
    </chartFormat>
    <chartFormat chart="4" format="8">
      <pivotArea type="data" outline="0" fieldPosition="0">
        <references count="3">
          <reference field="4294967294" count="1" selected="0">
            <x v="0"/>
          </reference>
          <reference field="12" count="1" selected="0">
            <x v="1"/>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 chart="4" format="10">
      <pivotArea type="data" outline="0" fieldPosition="0">
        <references count="3">
          <reference field="4294967294" count="1" selected="0">
            <x v="0"/>
          </reference>
          <reference field="12" count="1" selected="0">
            <x v="0"/>
          </reference>
          <reference field="13" count="1" selected="0">
            <x v="1"/>
          </reference>
        </references>
      </pivotArea>
    </chartFormat>
    <chartFormat chart="4" format="11">
      <pivotArea type="data" outline="0" fieldPosition="0">
        <references count="3">
          <reference field="4294967294" count="1" selected="0">
            <x v="0"/>
          </reference>
          <reference field="12" count="1" selected="0">
            <x v="1"/>
          </reference>
          <reference field="13" count="1" selected="0">
            <x v="1"/>
          </reference>
        </references>
      </pivotArea>
    </chartFormat>
    <chartFormat chart="5" format="12" series="1">
      <pivotArea type="data" outline="0" fieldPosition="0">
        <references count="2">
          <reference field="4294967294" count="1" selected="0">
            <x v="0"/>
          </reference>
          <reference field="13" count="1" selected="0">
            <x v="0"/>
          </reference>
        </references>
      </pivotArea>
    </chartFormat>
    <chartFormat chart="5" format="13">
      <pivotArea type="data" outline="0" fieldPosition="0">
        <references count="3">
          <reference field="4294967294" count="1" selected="0">
            <x v="0"/>
          </reference>
          <reference field="12" count="1" selected="0">
            <x v="0"/>
          </reference>
          <reference field="13" count="1" selected="0">
            <x v="0"/>
          </reference>
        </references>
      </pivotArea>
    </chartFormat>
    <chartFormat chart="5" format="14">
      <pivotArea type="data" outline="0" fieldPosition="0">
        <references count="3">
          <reference field="4294967294" count="1" selected="0">
            <x v="0"/>
          </reference>
          <reference field="12" count="1" selected="0">
            <x v="1"/>
          </reference>
          <reference field="13" count="1" selected="0">
            <x v="0"/>
          </reference>
        </references>
      </pivotArea>
    </chartFormat>
    <chartFormat chart="5" format="15" series="1">
      <pivotArea type="data" outline="0" fieldPosition="0">
        <references count="2">
          <reference field="4294967294" count="1" selected="0">
            <x v="0"/>
          </reference>
          <reference field="13" count="1" selected="0">
            <x v="1"/>
          </reference>
        </references>
      </pivotArea>
    </chartFormat>
    <chartFormat chart="5" format="16">
      <pivotArea type="data" outline="0" fieldPosition="0">
        <references count="3">
          <reference field="4294967294" count="1" selected="0">
            <x v="0"/>
          </reference>
          <reference field="12" count="1" selected="0">
            <x v="0"/>
          </reference>
          <reference field="13" count="1" selected="0">
            <x v="1"/>
          </reference>
        </references>
      </pivotArea>
    </chartFormat>
    <chartFormat chart="5" format="17">
      <pivotArea type="data" outline="0" fieldPosition="0">
        <references count="3">
          <reference field="4294967294" count="1" selected="0">
            <x v="0"/>
          </reference>
          <reference field="12" count="1" selected="0">
            <x v="1"/>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51F65A-9F82-4311-B93C-91222C161DC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18:G25" firstHeaderRow="1" firstDataRow="2" firstDataCol="1"/>
  <pivotFields count="14">
    <pivotField showAll="0"/>
    <pivotField showAll="0"/>
    <pivotField showAll="0"/>
    <pivotField numFmtId="164" showAll="0"/>
    <pivotField showAll="0"/>
    <pivotField showAll="0"/>
    <pivotField showAll="0"/>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B8521A4-6866-482A-885C-151A2C2246CE}" sourceName="Marital Status">
  <pivotTables>
    <pivotTable tabId="3" name="PivotTable3"/>
  </pivotTables>
  <data>
    <tabular pivotCacheId="58922381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877DD535-EF9F-4C81-83F1-A3DEA625AABD}" cache="Slicer_Marital_Status" caption="Marital Statu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73F8D2-8583-46FC-BF93-C025637BE8B6}" name="Table1" displayName="Table1" ref="A1:N1001" totalsRowShown="0">
  <tableColumns count="14">
    <tableColumn id="1" xr3:uid="{30B3F733-6805-4534-963B-F59CCC2AFA65}" name="ID"/>
    <tableColumn id="2" xr3:uid="{A576D75A-9594-4BCD-ADC6-33EF94138264}" name="Marital Status"/>
    <tableColumn id="3" xr3:uid="{3950C83D-E860-43C5-BD8F-C010B40A79EC}" name="Gender"/>
    <tableColumn id="4" xr3:uid="{BFC2B3DC-8342-44A9-A477-8C6F2262BA87}" name="Income" dataDxfId="0"/>
    <tableColumn id="5" xr3:uid="{F5481D67-3B2D-46BF-88C6-DEB56F1AA9A2}" name="Children"/>
    <tableColumn id="6" xr3:uid="{D93EA998-3BAF-430B-84DD-02834824A84F}" name="Education"/>
    <tableColumn id="7" xr3:uid="{25C0BEB9-6957-40BC-8B13-85935A9942DF}" name="Occupation"/>
    <tableColumn id="8" xr3:uid="{2FDDE9C0-CE78-4CBD-A70F-7FDE64BCA8E7}" name="Home Owner"/>
    <tableColumn id="9" xr3:uid="{13E125BB-FB3A-4AE7-A78E-F22E85E58180}" name="Cars"/>
    <tableColumn id="10" xr3:uid="{EAFA0768-1C5A-40D2-87EF-BD5BCAC4BA58}" name="Commute Distance"/>
    <tableColumn id="11" xr3:uid="{337401BB-634B-4489-95D1-217B92FDD259}" name="Region"/>
    <tableColumn id="12" xr3:uid="{26456B2F-E09B-4719-961D-487290A7E481}" name="Age"/>
    <tableColumn id="13" xr3:uid="{17BF4762-8759-4050-A49F-79BED8CC3E8D}" name="Age_group">
      <calculatedColumnFormula>IF(L2&gt; 54, "Old",IF(L2&gt;= 31, "MIddleAge",IF(L2&lt;31, "Adolescent", "Adult")))</calculatedColumnFormula>
    </tableColumn>
    <tableColumn id="14" xr3:uid="{8A458965-5EE7-44FB-9D73-6AC904471819}" name="Purchased Bik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S1001"/>
  <sheetViews>
    <sheetView tabSelected="1" workbookViewId="0">
      <selection activeCell="O11" sqref="O11"/>
    </sheetView>
  </sheetViews>
  <sheetFormatPr defaultColWidth="11.85546875" defaultRowHeight="15" x14ac:dyDescent="0.25"/>
  <cols>
    <col min="1" max="1" width="6" bestFit="1" customWidth="1"/>
    <col min="2" max="2" width="15.5703125" bestFit="1" customWidth="1"/>
    <col min="3" max="3" width="9.85546875" bestFit="1" customWidth="1"/>
    <col min="4" max="4" width="11.140625" style="11" bestFit="1" customWidth="1"/>
    <col min="5" max="5" width="10.85546875" bestFit="1" customWidth="1"/>
    <col min="6" max="6" width="17.7109375" bestFit="1" customWidth="1"/>
    <col min="7" max="7" width="14.140625" bestFit="1" customWidth="1"/>
    <col min="8" max="8" width="15" bestFit="1" customWidth="1"/>
    <col min="9" max="9" width="7" bestFit="1" customWidth="1"/>
    <col min="10" max="10" width="20.28515625" bestFit="1" customWidth="1"/>
    <col min="11" max="11" width="14" bestFit="1" customWidth="1"/>
    <col min="12" max="12" width="6.7109375" bestFit="1" customWidth="1"/>
    <col min="13" max="13" width="24.85546875" customWidth="1"/>
    <col min="14" max="14" width="16.85546875" bestFit="1" customWidth="1"/>
  </cols>
  <sheetData>
    <row r="1" spans="1:97" x14ac:dyDescent="0.25">
      <c r="A1" t="s">
        <v>0</v>
      </c>
      <c r="B1" t="s">
        <v>1</v>
      </c>
      <c r="C1" t="s">
        <v>2</v>
      </c>
      <c r="D1" s="11" t="s">
        <v>3</v>
      </c>
      <c r="E1" t="s">
        <v>4</v>
      </c>
      <c r="F1" t="s">
        <v>5</v>
      </c>
      <c r="G1" t="s">
        <v>6</v>
      </c>
      <c r="H1" t="s">
        <v>7</v>
      </c>
      <c r="I1" t="s">
        <v>8</v>
      </c>
      <c r="J1" t="s">
        <v>9</v>
      </c>
      <c r="K1" t="s">
        <v>10</v>
      </c>
      <c r="L1" t="s">
        <v>11</v>
      </c>
      <c r="M1" t="s">
        <v>39</v>
      </c>
      <c r="N1" t="s">
        <v>12</v>
      </c>
      <c r="R1" s="6" t="s">
        <v>0</v>
      </c>
      <c r="S1" s="7" t="s">
        <v>1</v>
      </c>
      <c r="T1" s="7" t="s">
        <v>2</v>
      </c>
      <c r="U1" s="10" t="s">
        <v>3</v>
      </c>
      <c r="V1" s="7" t="s">
        <v>4</v>
      </c>
      <c r="W1" s="7" t="s">
        <v>5</v>
      </c>
      <c r="X1" s="7" t="s">
        <v>6</v>
      </c>
      <c r="Y1" s="7" t="s">
        <v>7</v>
      </c>
      <c r="Z1" s="7" t="s">
        <v>8</v>
      </c>
      <c r="AA1" s="7" t="s">
        <v>9</v>
      </c>
      <c r="AB1" s="7" t="s">
        <v>10</v>
      </c>
      <c r="AC1" s="7" t="s">
        <v>11</v>
      </c>
      <c r="AD1" s="7" t="s">
        <v>39</v>
      </c>
      <c r="AE1" s="9" t="s">
        <v>12</v>
      </c>
      <c r="AG1" s="6" t="s">
        <v>0</v>
      </c>
      <c r="AH1" s="7" t="s">
        <v>1</v>
      </c>
      <c r="AI1" s="7" t="s">
        <v>2</v>
      </c>
      <c r="AJ1" s="10" t="s">
        <v>3</v>
      </c>
      <c r="AK1" s="7" t="s">
        <v>4</v>
      </c>
      <c r="AL1" s="7" t="s">
        <v>5</v>
      </c>
      <c r="AM1" s="7" t="s">
        <v>6</v>
      </c>
      <c r="AN1" s="7" t="s">
        <v>7</v>
      </c>
      <c r="AO1" s="7" t="s">
        <v>8</v>
      </c>
      <c r="AP1" s="7" t="s">
        <v>9</v>
      </c>
      <c r="AQ1" s="7" t="s">
        <v>10</v>
      </c>
      <c r="AR1" s="7" t="s">
        <v>11</v>
      </c>
      <c r="AS1" s="7" t="s">
        <v>39</v>
      </c>
      <c r="AT1" s="9" t="s">
        <v>12</v>
      </c>
      <c r="AV1" s="6" t="s">
        <v>0</v>
      </c>
      <c r="AW1" s="7" t="s">
        <v>1</v>
      </c>
      <c r="AX1" s="7" t="s">
        <v>2</v>
      </c>
      <c r="AY1" s="10" t="s">
        <v>3</v>
      </c>
      <c r="AZ1" s="10" t="s">
        <v>3</v>
      </c>
      <c r="BA1" s="7" t="s">
        <v>4</v>
      </c>
      <c r="BB1" s="7" t="s">
        <v>6</v>
      </c>
      <c r="BC1" s="7" t="s">
        <v>7</v>
      </c>
      <c r="BD1" s="7" t="s">
        <v>11</v>
      </c>
      <c r="BF1" s="7"/>
      <c r="BG1" s="7"/>
      <c r="BI1" s="7"/>
      <c r="BJ1" s="9"/>
      <c r="BL1" s="6" t="s">
        <v>0</v>
      </c>
      <c r="BM1" s="7" t="s">
        <v>1</v>
      </c>
      <c r="BN1" s="7" t="s">
        <v>2</v>
      </c>
      <c r="BO1" s="10" t="s">
        <v>3</v>
      </c>
      <c r="BP1" s="10" t="s">
        <v>3</v>
      </c>
      <c r="BQ1" s="7" t="s">
        <v>4</v>
      </c>
      <c r="BR1" s="7" t="s">
        <v>5</v>
      </c>
      <c r="BS1" s="7" t="s">
        <v>6</v>
      </c>
      <c r="BT1" s="7" t="s">
        <v>7</v>
      </c>
      <c r="BU1" s="7" t="s">
        <v>8</v>
      </c>
      <c r="BV1" s="7" t="s">
        <v>9</v>
      </c>
      <c r="BW1" s="7" t="s">
        <v>10</v>
      </c>
      <c r="BX1" s="7" t="s">
        <v>11</v>
      </c>
      <c r="BY1" s="7" t="s">
        <v>39</v>
      </c>
      <c r="BZ1" s="9" t="s">
        <v>12</v>
      </c>
      <c r="CB1" s="6" t="s">
        <v>0</v>
      </c>
      <c r="CC1" s="7" t="s">
        <v>1</v>
      </c>
      <c r="CD1" s="7" t="s">
        <v>2</v>
      </c>
      <c r="CE1" s="10" t="s">
        <v>3</v>
      </c>
      <c r="CF1" s="10" t="s">
        <v>3</v>
      </c>
      <c r="CG1" s="7" t="s">
        <v>4</v>
      </c>
      <c r="CH1" s="7" t="s">
        <v>5</v>
      </c>
      <c r="CI1" s="7" t="s">
        <v>6</v>
      </c>
      <c r="CJ1" s="7" t="s">
        <v>7</v>
      </c>
      <c r="CK1" s="7" t="s">
        <v>8</v>
      </c>
      <c r="CL1" s="7" t="s">
        <v>9</v>
      </c>
      <c r="CM1" s="7" t="s">
        <v>10</v>
      </c>
      <c r="CN1" s="7" t="s">
        <v>11</v>
      </c>
      <c r="CO1" s="7" t="s">
        <v>39</v>
      </c>
      <c r="CP1" s="9" t="s">
        <v>12</v>
      </c>
    </row>
    <row r="2" spans="1:97" x14ac:dyDescent="0.25">
      <c r="A2">
        <v>28380</v>
      </c>
      <c r="B2" t="s">
        <v>36</v>
      </c>
      <c r="C2" t="s">
        <v>37</v>
      </c>
      <c r="D2" s="11">
        <v>10000</v>
      </c>
      <c r="E2">
        <v>5</v>
      </c>
      <c r="F2" t="s">
        <v>29</v>
      </c>
      <c r="G2" t="s">
        <v>25</v>
      </c>
      <c r="H2" t="s">
        <v>18</v>
      </c>
      <c r="I2">
        <v>2</v>
      </c>
      <c r="J2" t="s">
        <v>16</v>
      </c>
      <c r="K2" t="s">
        <v>17</v>
      </c>
      <c r="L2">
        <v>41</v>
      </c>
      <c r="M2" t="str">
        <f t="shared" ref="M2:M65" si="0">IF(L2&gt; 54, "Old",IF(L2&gt;= 31, "MIddleAge",IF(L2&lt;31, "Adolescent", "Adult")))</f>
        <v>MIddleAge</v>
      </c>
      <c r="N2" t="s">
        <v>18</v>
      </c>
      <c r="T2" t="s">
        <v>37</v>
      </c>
      <c r="Y2" t="s">
        <v>18</v>
      </c>
      <c r="AI2" t="s">
        <v>37</v>
      </c>
      <c r="AL2" s="8" t="s">
        <v>13</v>
      </c>
      <c r="AN2" t="s">
        <v>18</v>
      </c>
      <c r="AY2" t="s">
        <v>47</v>
      </c>
      <c r="AZ2" t="s">
        <v>48</v>
      </c>
      <c r="BO2" t="s">
        <v>47</v>
      </c>
      <c r="BP2" t="s">
        <v>48</v>
      </c>
      <c r="CE2" t="s">
        <v>47</v>
      </c>
      <c r="CF2" t="s">
        <v>48</v>
      </c>
      <c r="CK2">
        <v>2</v>
      </c>
    </row>
    <row r="3" spans="1:97" x14ac:dyDescent="0.25">
      <c r="A3">
        <v>25906</v>
      </c>
      <c r="B3" t="s">
        <v>36</v>
      </c>
      <c r="C3" t="s">
        <v>37</v>
      </c>
      <c r="D3" s="11">
        <v>10000</v>
      </c>
      <c r="E3">
        <v>5</v>
      </c>
      <c r="F3" t="s">
        <v>27</v>
      </c>
      <c r="G3" t="s">
        <v>14</v>
      </c>
      <c r="H3" t="s">
        <v>18</v>
      </c>
      <c r="I3">
        <v>2</v>
      </c>
      <c r="J3" t="s">
        <v>26</v>
      </c>
      <c r="K3" t="s">
        <v>24</v>
      </c>
      <c r="L3">
        <v>62</v>
      </c>
      <c r="M3" t="str">
        <f t="shared" si="0"/>
        <v>Old</v>
      </c>
      <c r="N3" t="s">
        <v>18</v>
      </c>
      <c r="T3" t="s">
        <v>38</v>
      </c>
      <c r="Y3" t="s">
        <v>15</v>
      </c>
      <c r="AI3" t="s">
        <v>38</v>
      </c>
      <c r="AL3" s="8" t="s">
        <v>13</v>
      </c>
      <c r="AN3" t="s">
        <v>15</v>
      </c>
      <c r="CE3" t="s">
        <v>47</v>
      </c>
      <c r="CF3" t="s">
        <v>48</v>
      </c>
      <c r="CK3">
        <v>3</v>
      </c>
    </row>
    <row r="4" spans="1:97" x14ac:dyDescent="0.25">
      <c r="A4">
        <v>13981</v>
      </c>
      <c r="B4" t="s">
        <v>35</v>
      </c>
      <c r="C4" t="s">
        <v>37</v>
      </c>
      <c r="D4" s="11">
        <v>10000</v>
      </c>
      <c r="E4">
        <v>5</v>
      </c>
      <c r="F4" t="s">
        <v>27</v>
      </c>
      <c r="G4" t="s">
        <v>14</v>
      </c>
      <c r="H4" t="s">
        <v>18</v>
      </c>
      <c r="I4">
        <v>3</v>
      </c>
      <c r="J4" t="s">
        <v>26</v>
      </c>
      <c r="K4" t="s">
        <v>24</v>
      </c>
      <c r="L4">
        <v>62</v>
      </c>
      <c r="M4" t="str">
        <f t="shared" si="0"/>
        <v>Old</v>
      </c>
      <c r="N4" t="s">
        <v>18</v>
      </c>
      <c r="O4" t="s">
        <v>46</v>
      </c>
    </row>
    <row r="5" spans="1:97" x14ac:dyDescent="0.25">
      <c r="A5">
        <v>20927</v>
      </c>
      <c r="B5" t="s">
        <v>36</v>
      </c>
      <c r="C5" t="s">
        <v>37</v>
      </c>
      <c r="D5" s="11">
        <v>20000</v>
      </c>
      <c r="E5">
        <v>5</v>
      </c>
      <c r="F5" t="s">
        <v>27</v>
      </c>
      <c r="G5" t="s">
        <v>25</v>
      </c>
      <c r="H5" t="s">
        <v>15</v>
      </c>
      <c r="I5">
        <v>2</v>
      </c>
      <c r="J5" t="s">
        <v>16</v>
      </c>
      <c r="K5" t="s">
        <v>17</v>
      </c>
      <c r="L5">
        <v>27</v>
      </c>
      <c r="M5" t="str">
        <f t="shared" si="0"/>
        <v>Adolescent</v>
      </c>
      <c r="N5" t="s">
        <v>18</v>
      </c>
    </row>
    <row r="6" spans="1:97" x14ac:dyDescent="0.25">
      <c r="A6">
        <v>25693</v>
      </c>
      <c r="B6" t="s">
        <v>36</v>
      </c>
      <c r="C6" t="s">
        <v>37</v>
      </c>
      <c r="D6" s="11">
        <v>30000</v>
      </c>
      <c r="E6">
        <v>5</v>
      </c>
      <c r="F6" t="s">
        <v>30</v>
      </c>
      <c r="G6" t="s">
        <v>20</v>
      </c>
      <c r="H6" t="s">
        <v>15</v>
      </c>
      <c r="I6">
        <v>0</v>
      </c>
      <c r="J6" t="s">
        <v>16</v>
      </c>
      <c r="K6" t="s">
        <v>17</v>
      </c>
      <c r="L6">
        <v>44</v>
      </c>
      <c r="M6" t="str">
        <f t="shared" si="0"/>
        <v>MIddleAge</v>
      </c>
      <c r="N6" t="s">
        <v>15</v>
      </c>
      <c r="BL6" s="6" t="s">
        <v>0</v>
      </c>
      <c r="BM6" s="7" t="s">
        <v>1</v>
      </c>
      <c r="BN6" s="7" t="s">
        <v>2</v>
      </c>
      <c r="BO6" s="10" t="s">
        <v>3</v>
      </c>
      <c r="BP6" s="10" t="s">
        <v>3</v>
      </c>
      <c r="BQ6" s="7" t="s">
        <v>4</v>
      </c>
      <c r="BR6" s="7" t="s">
        <v>6</v>
      </c>
      <c r="BS6" s="7" t="s">
        <v>7</v>
      </c>
      <c r="BT6" s="7" t="s">
        <v>11</v>
      </c>
      <c r="CB6" s="6" t="s">
        <v>0</v>
      </c>
      <c r="CC6" s="7" t="s">
        <v>1</v>
      </c>
      <c r="CD6" s="7" t="s">
        <v>2</v>
      </c>
      <c r="CE6" s="10" t="s">
        <v>3</v>
      </c>
      <c r="CF6" s="7" t="s">
        <v>4</v>
      </c>
      <c r="CG6" s="7" t="s">
        <v>6</v>
      </c>
      <c r="CH6" s="7" t="s">
        <v>7</v>
      </c>
      <c r="CI6" s="7" t="s">
        <v>11</v>
      </c>
      <c r="CK6" s="6" t="s">
        <v>0</v>
      </c>
      <c r="CL6" s="7" t="s">
        <v>1</v>
      </c>
      <c r="CM6" s="7" t="s">
        <v>2</v>
      </c>
      <c r="CN6" s="10" t="s">
        <v>3</v>
      </c>
      <c r="CO6" s="7" t="s">
        <v>4</v>
      </c>
      <c r="CP6" s="7" t="s">
        <v>6</v>
      </c>
      <c r="CQ6" s="7" t="s">
        <v>7</v>
      </c>
      <c r="CR6" s="7" t="s">
        <v>11</v>
      </c>
      <c r="CS6" s="7" t="s">
        <v>8</v>
      </c>
    </row>
    <row r="7" spans="1:97" x14ac:dyDescent="0.25">
      <c r="A7">
        <v>24955</v>
      </c>
      <c r="B7" t="s">
        <v>36</v>
      </c>
      <c r="C7" t="s">
        <v>38</v>
      </c>
      <c r="D7" s="11">
        <v>30000</v>
      </c>
      <c r="E7">
        <v>5</v>
      </c>
      <c r="F7" t="s">
        <v>29</v>
      </c>
      <c r="G7" t="s">
        <v>14</v>
      </c>
      <c r="H7" t="s">
        <v>15</v>
      </c>
      <c r="I7">
        <v>3</v>
      </c>
      <c r="J7" t="s">
        <v>42</v>
      </c>
      <c r="K7" t="s">
        <v>31</v>
      </c>
      <c r="L7">
        <v>60</v>
      </c>
      <c r="M7" t="str">
        <f t="shared" si="0"/>
        <v>Old</v>
      </c>
      <c r="N7" t="s">
        <v>15</v>
      </c>
      <c r="BL7">
        <v>25101</v>
      </c>
      <c r="BM7" t="s">
        <v>35</v>
      </c>
      <c r="BN7" t="s">
        <v>38</v>
      </c>
      <c r="BO7" s="4">
        <v>60000</v>
      </c>
      <c r="BP7" s="4">
        <v>60000</v>
      </c>
      <c r="BQ7">
        <v>5</v>
      </c>
      <c r="BR7" t="s">
        <v>21</v>
      </c>
      <c r="BS7" t="s">
        <v>15</v>
      </c>
      <c r="BT7">
        <v>47</v>
      </c>
      <c r="CB7">
        <v>23368</v>
      </c>
      <c r="CC7" t="s">
        <v>35</v>
      </c>
      <c r="CD7" t="s">
        <v>37</v>
      </c>
      <c r="CE7" s="4">
        <v>60000</v>
      </c>
      <c r="CF7">
        <v>5</v>
      </c>
      <c r="CG7" t="s">
        <v>14</v>
      </c>
      <c r="CH7" t="s">
        <v>15</v>
      </c>
      <c r="CI7">
        <v>41</v>
      </c>
      <c r="CK7">
        <v>23368</v>
      </c>
      <c r="CL7" t="s">
        <v>35</v>
      </c>
      <c r="CM7" t="s">
        <v>37</v>
      </c>
      <c r="CN7" s="4">
        <v>60000</v>
      </c>
      <c r="CO7">
        <v>5</v>
      </c>
      <c r="CP7" t="s">
        <v>14</v>
      </c>
      <c r="CQ7" t="s">
        <v>15</v>
      </c>
      <c r="CR7">
        <v>41</v>
      </c>
      <c r="CS7">
        <v>3</v>
      </c>
    </row>
    <row r="8" spans="1:97" x14ac:dyDescent="0.25">
      <c r="A8">
        <v>24958</v>
      </c>
      <c r="B8" t="s">
        <v>36</v>
      </c>
      <c r="C8" t="s">
        <v>37</v>
      </c>
      <c r="D8" s="11">
        <v>40000</v>
      </c>
      <c r="E8">
        <v>5</v>
      </c>
      <c r="F8" t="s">
        <v>27</v>
      </c>
      <c r="G8" t="s">
        <v>21</v>
      </c>
      <c r="H8" t="s">
        <v>18</v>
      </c>
      <c r="I8">
        <v>3</v>
      </c>
      <c r="J8" t="s">
        <v>22</v>
      </c>
      <c r="K8" t="s">
        <v>31</v>
      </c>
      <c r="L8">
        <v>60</v>
      </c>
      <c r="M8" t="str">
        <f t="shared" si="0"/>
        <v>Old</v>
      </c>
      <c r="N8" t="s">
        <v>15</v>
      </c>
      <c r="R8" s="6" t="s">
        <v>0</v>
      </c>
      <c r="S8" s="7" t="s">
        <v>1</v>
      </c>
      <c r="T8" s="7" t="s">
        <v>2</v>
      </c>
      <c r="U8" s="10" t="s">
        <v>3</v>
      </c>
      <c r="V8" s="7" t="s">
        <v>4</v>
      </c>
      <c r="W8" s="7" t="s">
        <v>5</v>
      </c>
      <c r="X8" s="7" t="s">
        <v>6</v>
      </c>
      <c r="Y8" s="7" t="s">
        <v>7</v>
      </c>
      <c r="Z8" s="7" t="s">
        <v>8</v>
      </c>
      <c r="AA8" s="7" t="s">
        <v>9</v>
      </c>
      <c r="AB8" s="7" t="s">
        <v>10</v>
      </c>
      <c r="AC8" s="7" t="s">
        <v>11</v>
      </c>
      <c r="AD8" s="7" t="s">
        <v>39</v>
      </c>
      <c r="AE8" s="9" t="s">
        <v>12</v>
      </c>
      <c r="AG8" s="6" t="s">
        <v>0</v>
      </c>
      <c r="AH8" s="7" t="s">
        <v>2</v>
      </c>
      <c r="AI8" s="10" t="s">
        <v>3</v>
      </c>
      <c r="AJ8" s="7" t="s">
        <v>4</v>
      </c>
      <c r="AK8" s="7" t="s">
        <v>5</v>
      </c>
      <c r="AL8" s="7" t="s">
        <v>7</v>
      </c>
      <c r="AM8" s="7" t="s">
        <v>11</v>
      </c>
      <c r="AN8" s="7" t="s">
        <v>39</v>
      </c>
      <c r="AQ8" s="7"/>
      <c r="AT8" s="9"/>
      <c r="BL8">
        <v>23368</v>
      </c>
      <c r="BM8" t="s">
        <v>35</v>
      </c>
      <c r="BN8" t="s">
        <v>37</v>
      </c>
      <c r="BO8" s="4">
        <v>60000</v>
      </c>
      <c r="BP8" s="4">
        <v>60000</v>
      </c>
      <c r="BQ8">
        <v>5</v>
      </c>
      <c r="BR8" t="s">
        <v>14</v>
      </c>
      <c r="BS8" t="s">
        <v>15</v>
      </c>
      <c r="BT8">
        <v>41</v>
      </c>
      <c r="CB8">
        <v>16791</v>
      </c>
      <c r="CC8" t="s">
        <v>36</v>
      </c>
      <c r="CD8" t="s">
        <v>38</v>
      </c>
      <c r="CE8" s="4">
        <v>60000</v>
      </c>
      <c r="CF8">
        <v>5</v>
      </c>
      <c r="CG8" t="s">
        <v>28</v>
      </c>
      <c r="CH8" t="s">
        <v>15</v>
      </c>
      <c r="CI8">
        <v>59</v>
      </c>
      <c r="CK8">
        <v>16791</v>
      </c>
      <c r="CL8" t="s">
        <v>36</v>
      </c>
      <c r="CM8" t="s">
        <v>38</v>
      </c>
      <c r="CN8" s="4">
        <v>60000</v>
      </c>
      <c r="CO8">
        <v>5</v>
      </c>
      <c r="CP8" t="s">
        <v>28</v>
      </c>
      <c r="CQ8" t="s">
        <v>15</v>
      </c>
      <c r="CR8">
        <v>59</v>
      </c>
      <c r="CS8">
        <v>3</v>
      </c>
    </row>
    <row r="9" spans="1:97" x14ac:dyDescent="0.25">
      <c r="A9">
        <v>23704</v>
      </c>
      <c r="B9" t="s">
        <v>36</v>
      </c>
      <c r="C9" t="s">
        <v>38</v>
      </c>
      <c r="D9" s="11">
        <v>40000</v>
      </c>
      <c r="E9">
        <v>5</v>
      </c>
      <c r="F9" t="s">
        <v>27</v>
      </c>
      <c r="G9" t="s">
        <v>21</v>
      </c>
      <c r="H9" t="s">
        <v>15</v>
      </c>
      <c r="I9">
        <v>4</v>
      </c>
      <c r="J9" t="s">
        <v>42</v>
      </c>
      <c r="K9" t="s">
        <v>31</v>
      </c>
      <c r="L9">
        <v>60</v>
      </c>
      <c r="M9" t="str">
        <f t="shared" si="0"/>
        <v>Old</v>
      </c>
      <c r="N9" t="s">
        <v>15</v>
      </c>
      <c r="R9">
        <v>28380</v>
      </c>
      <c r="S9" t="s">
        <v>36</v>
      </c>
      <c r="T9" t="s">
        <v>37</v>
      </c>
      <c r="U9" s="4">
        <v>10000</v>
      </c>
      <c r="V9">
        <v>5</v>
      </c>
      <c r="W9" t="s">
        <v>29</v>
      </c>
      <c r="X9" t="s">
        <v>25</v>
      </c>
      <c r="Y9" t="s">
        <v>18</v>
      </c>
      <c r="Z9">
        <v>2</v>
      </c>
      <c r="AA9" t="s">
        <v>16</v>
      </c>
      <c r="AB9" t="s">
        <v>17</v>
      </c>
      <c r="AC9">
        <v>41</v>
      </c>
      <c r="AD9" t="s">
        <v>44</v>
      </c>
      <c r="AG9">
        <v>25101</v>
      </c>
      <c r="AH9" t="s">
        <v>38</v>
      </c>
      <c r="AI9" s="4">
        <v>60000</v>
      </c>
      <c r="AJ9">
        <v>5</v>
      </c>
      <c r="AK9" t="s">
        <v>13</v>
      </c>
      <c r="AL9" t="s">
        <v>15</v>
      </c>
      <c r="AM9">
        <v>47</v>
      </c>
      <c r="AN9" t="s">
        <v>44</v>
      </c>
      <c r="BL9">
        <v>16791</v>
      </c>
      <c r="BM9" t="s">
        <v>36</v>
      </c>
      <c r="BN9" t="s">
        <v>38</v>
      </c>
      <c r="BO9" s="4">
        <v>60000</v>
      </c>
      <c r="BP9" s="4">
        <v>60000</v>
      </c>
      <c r="BQ9">
        <v>5</v>
      </c>
      <c r="BR9" t="s">
        <v>28</v>
      </c>
      <c r="BS9" t="s">
        <v>15</v>
      </c>
      <c r="BT9">
        <v>59</v>
      </c>
      <c r="CB9">
        <v>13216</v>
      </c>
      <c r="CC9" t="s">
        <v>35</v>
      </c>
      <c r="CD9" t="s">
        <v>37</v>
      </c>
      <c r="CE9" s="4">
        <v>60000</v>
      </c>
      <c r="CF9">
        <v>5</v>
      </c>
      <c r="CG9" t="s">
        <v>28</v>
      </c>
      <c r="CH9" t="s">
        <v>15</v>
      </c>
      <c r="CI9">
        <v>59</v>
      </c>
      <c r="CK9">
        <v>13216</v>
      </c>
      <c r="CL9" t="s">
        <v>35</v>
      </c>
      <c r="CM9" t="s">
        <v>37</v>
      </c>
      <c r="CN9" s="4">
        <v>60000</v>
      </c>
      <c r="CO9">
        <v>5</v>
      </c>
      <c r="CP9" t="s">
        <v>28</v>
      </c>
      <c r="CQ9" t="s">
        <v>15</v>
      </c>
      <c r="CR9">
        <v>59</v>
      </c>
      <c r="CS9">
        <v>3</v>
      </c>
    </row>
    <row r="10" spans="1:97" x14ac:dyDescent="0.25">
      <c r="A10">
        <v>22743</v>
      </c>
      <c r="B10" t="s">
        <v>35</v>
      </c>
      <c r="C10" t="s">
        <v>37</v>
      </c>
      <c r="D10" s="11">
        <v>40000</v>
      </c>
      <c r="E10">
        <v>5</v>
      </c>
      <c r="F10" t="s">
        <v>27</v>
      </c>
      <c r="G10" t="s">
        <v>21</v>
      </c>
      <c r="H10" t="s">
        <v>15</v>
      </c>
      <c r="I10">
        <v>2</v>
      </c>
      <c r="J10" t="s">
        <v>42</v>
      </c>
      <c r="K10" t="s">
        <v>31</v>
      </c>
      <c r="L10">
        <v>60</v>
      </c>
      <c r="M10" t="str">
        <f t="shared" si="0"/>
        <v>Old</v>
      </c>
      <c r="N10" t="s">
        <v>18</v>
      </c>
      <c r="R10">
        <v>25906</v>
      </c>
      <c r="S10" t="s">
        <v>36</v>
      </c>
      <c r="T10" t="s">
        <v>37</v>
      </c>
      <c r="U10" s="4">
        <v>10000</v>
      </c>
      <c r="V10">
        <v>5</v>
      </c>
      <c r="W10" t="s">
        <v>27</v>
      </c>
      <c r="X10" t="s">
        <v>14</v>
      </c>
      <c r="Y10" t="s">
        <v>18</v>
      </c>
      <c r="Z10">
        <v>2</v>
      </c>
      <c r="AA10" t="s">
        <v>26</v>
      </c>
      <c r="AB10" t="s">
        <v>24</v>
      </c>
      <c r="AC10">
        <v>62</v>
      </c>
      <c r="AD10" t="s">
        <v>45</v>
      </c>
      <c r="AG10">
        <v>16791</v>
      </c>
      <c r="AH10" t="s">
        <v>38</v>
      </c>
      <c r="AI10" s="4">
        <v>60000</v>
      </c>
      <c r="AJ10">
        <v>5</v>
      </c>
      <c r="AK10" t="s">
        <v>13</v>
      </c>
      <c r="AL10" t="s">
        <v>15</v>
      </c>
      <c r="AM10">
        <v>59</v>
      </c>
      <c r="AN10" t="s">
        <v>45</v>
      </c>
      <c r="BL10">
        <v>15559</v>
      </c>
      <c r="BM10" t="s">
        <v>35</v>
      </c>
      <c r="BN10" t="s">
        <v>38</v>
      </c>
      <c r="BO10" s="4">
        <v>60000</v>
      </c>
      <c r="BP10" s="4">
        <v>60000</v>
      </c>
      <c r="BQ10">
        <v>5</v>
      </c>
      <c r="BR10" t="s">
        <v>21</v>
      </c>
      <c r="BS10" t="s">
        <v>15</v>
      </c>
      <c r="BT10">
        <v>47</v>
      </c>
      <c r="CB10">
        <v>28192</v>
      </c>
      <c r="CC10" t="s">
        <v>35</v>
      </c>
      <c r="CD10" t="s">
        <v>37</v>
      </c>
      <c r="CE10" s="4">
        <v>70000</v>
      </c>
      <c r="CF10">
        <v>5</v>
      </c>
      <c r="CG10" t="s">
        <v>21</v>
      </c>
      <c r="CH10" t="s">
        <v>15</v>
      </c>
      <c r="CI10">
        <v>46</v>
      </c>
      <c r="CK10">
        <v>28192</v>
      </c>
      <c r="CL10" t="s">
        <v>35</v>
      </c>
      <c r="CM10" t="s">
        <v>37</v>
      </c>
      <c r="CN10" s="4">
        <v>70000</v>
      </c>
      <c r="CO10">
        <v>5</v>
      </c>
      <c r="CP10" t="s">
        <v>21</v>
      </c>
      <c r="CQ10" t="s">
        <v>15</v>
      </c>
      <c r="CR10">
        <v>46</v>
      </c>
      <c r="CS10">
        <v>3</v>
      </c>
    </row>
    <row r="11" spans="1:97" x14ac:dyDescent="0.25">
      <c r="A11">
        <v>20505</v>
      </c>
      <c r="B11" t="s">
        <v>35</v>
      </c>
      <c r="C11" t="s">
        <v>37</v>
      </c>
      <c r="D11" s="11">
        <v>40000</v>
      </c>
      <c r="E11">
        <v>5</v>
      </c>
      <c r="F11" t="s">
        <v>27</v>
      </c>
      <c r="G11" t="s">
        <v>21</v>
      </c>
      <c r="H11" t="s">
        <v>18</v>
      </c>
      <c r="I11">
        <v>2</v>
      </c>
      <c r="J11" t="s">
        <v>42</v>
      </c>
      <c r="K11" t="s">
        <v>31</v>
      </c>
      <c r="L11">
        <v>61</v>
      </c>
      <c r="M11" t="str">
        <f t="shared" si="0"/>
        <v>Old</v>
      </c>
      <c r="N11" t="s">
        <v>18</v>
      </c>
      <c r="R11">
        <v>13981</v>
      </c>
      <c r="S11" t="s">
        <v>35</v>
      </c>
      <c r="T11" t="s">
        <v>37</v>
      </c>
      <c r="U11" s="4">
        <v>10000</v>
      </c>
      <c r="V11">
        <v>5</v>
      </c>
      <c r="W11" t="s">
        <v>27</v>
      </c>
      <c r="X11" t="s">
        <v>14</v>
      </c>
      <c r="Y11" t="s">
        <v>18</v>
      </c>
      <c r="Z11">
        <v>3</v>
      </c>
      <c r="AA11" t="s">
        <v>26</v>
      </c>
      <c r="AB11" t="s">
        <v>24</v>
      </c>
      <c r="AC11">
        <v>62</v>
      </c>
      <c r="AD11" t="s">
        <v>45</v>
      </c>
      <c r="AG11">
        <v>15559</v>
      </c>
      <c r="AH11" t="s">
        <v>38</v>
      </c>
      <c r="AI11" s="4">
        <v>60000</v>
      </c>
      <c r="AJ11">
        <v>5</v>
      </c>
      <c r="AK11" t="s">
        <v>13</v>
      </c>
      <c r="AL11" t="s">
        <v>15</v>
      </c>
      <c r="AM11">
        <v>47</v>
      </c>
      <c r="AN11" t="s">
        <v>44</v>
      </c>
      <c r="BL11">
        <v>13216</v>
      </c>
      <c r="BM11" t="s">
        <v>35</v>
      </c>
      <c r="BN11" t="s">
        <v>37</v>
      </c>
      <c r="BO11" s="4">
        <v>60000</v>
      </c>
      <c r="BP11" s="4">
        <v>60000</v>
      </c>
      <c r="BQ11">
        <v>5</v>
      </c>
      <c r="BR11" t="s">
        <v>28</v>
      </c>
      <c r="BS11" t="s">
        <v>15</v>
      </c>
      <c r="BT11">
        <v>59</v>
      </c>
      <c r="CB11">
        <v>27643</v>
      </c>
      <c r="CC11" t="s">
        <v>36</v>
      </c>
      <c r="CD11" t="s">
        <v>38</v>
      </c>
      <c r="CE11" s="4">
        <v>70000</v>
      </c>
      <c r="CF11">
        <v>5</v>
      </c>
      <c r="CG11" t="s">
        <v>21</v>
      </c>
      <c r="CH11" t="s">
        <v>15</v>
      </c>
      <c r="CI11">
        <v>44</v>
      </c>
      <c r="CK11">
        <v>27643</v>
      </c>
      <c r="CL11" t="s">
        <v>36</v>
      </c>
      <c r="CM11" t="s">
        <v>38</v>
      </c>
      <c r="CN11" s="4">
        <v>70000</v>
      </c>
      <c r="CO11">
        <v>5</v>
      </c>
      <c r="CP11" t="s">
        <v>21</v>
      </c>
      <c r="CQ11" t="s">
        <v>15</v>
      </c>
      <c r="CR11">
        <v>44</v>
      </c>
      <c r="CS11">
        <v>3</v>
      </c>
    </row>
    <row r="12" spans="1:97" x14ac:dyDescent="0.25">
      <c r="A12">
        <v>20504</v>
      </c>
      <c r="B12" t="s">
        <v>35</v>
      </c>
      <c r="C12" t="s">
        <v>37</v>
      </c>
      <c r="D12" s="11">
        <v>40000</v>
      </c>
      <c r="E12">
        <v>5</v>
      </c>
      <c r="F12" t="s">
        <v>27</v>
      </c>
      <c r="G12" t="s">
        <v>21</v>
      </c>
      <c r="H12" t="s">
        <v>18</v>
      </c>
      <c r="I12">
        <v>2</v>
      </c>
      <c r="J12" t="s">
        <v>22</v>
      </c>
      <c r="K12" t="s">
        <v>31</v>
      </c>
      <c r="L12">
        <v>60</v>
      </c>
      <c r="M12" t="str">
        <f t="shared" si="0"/>
        <v>Old</v>
      </c>
      <c r="N12" t="s">
        <v>18</v>
      </c>
      <c r="R12">
        <v>24955</v>
      </c>
      <c r="S12" t="s">
        <v>36</v>
      </c>
      <c r="T12" t="s">
        <v>38</v>
      </c>
      <c r="U12" s="4">
        <v>30000</v>
      </c>
      <c r="V12">
        <v>5</v>
      </c>
      <c r="W12" t="s">
        <v>29</v>
      </c>
      <c r="X12" t="s">
        <v>14</v>
      </c>
      <c r="Y12" t="s">
        <v>15</v>
      </c>
      <c r="Z12">
        <v>3</v>
      </c>
      <c r="AA12" t="s">
        <v>42</v>
      </c>
      <c r="AB12" t="s">
        <v>31</v>
      </c>
      <c r="AC12">
        <v>60</v>
      </c>
      <c r="AD12" t="s">
        <v>45</v>
      </c>
      <c r="AG12">
        <v>23707</v>
      </c>
      <c r="AH12" t="s">
        <v>38</v>
      </c>
      <c r="AI12" s="4">
        <v>70000</v>
      </c>
      <c r="AJ12">
        <v>5</v>
      </c>
      <c r="AK12" t="s">
        <v>13</v>
      </c>
      <c r="AL12" t="s">
        <v>15</v>
      </c>
      <c r="AM12">
        <v>60</v>
      </c>
      <c r="AN12" t="s">
        <v>45</v>
      </c>
      <c r="BL12">
        <v>28192</v>
      </c>
      <c r="BM12" t="s">
        <v>35</v>
      </c>
      <c r="BN12" t="s">
        <v>37</v>
      </c>
      <c r="BO12" s="4">
        <v>70000</v>
      </c>
      <c r="BP12" s="4">
        <v>70000</v>
      </c>
      <c r="BQ12">
        <v>5</v>
      </c>
      <c r="BR12" t="s">
        <v>21</v>
      </c>
      <c r="BS12" t="s">
        <v>15</v>
      </c>
      <c r="BT12">
        <v>46</v>
      </c>
      <c r="CB12">
        <v>26765</v>
      </c>
      <c r="CC12" t="s">
        <v>36</v>
      </c>
      <c r="CD12" t="s">
        <v>37</v>
      </c>
      <c r="CE12" s="4">
        <v>70000</v>
      </c>
      <c r="CF12">
        <v>5</v>
      </c>
      <c r="CG12" t="s">
        <v>14</v>
      </c>
      <c r="CH12" t="s">
        <v>15</v>
      </c>
      <c r="CI12">
        <v>45</v>
      </c>
      <c r="CK12">
        <v>26765</v>
      </c>
      <c r="CL12" t="s">
        <v>36</v>
      </c>
      <c r="CM12" t="s">
        <v>37</v>
      </c>
      <c r="CN12" s="4">
        <v>70000</v>
      </c>
      <c r="CO12">
        <v>5</v>
      </c>
      <c r="CP12" t="s">
        <v>14</v>
      </c>
      <c r="CQ12" t="s">
        <v>15</v>
      </c>
      <c r="CR12">
        <v>45</v>
      </c>
      <c r="CS12">
        <v>2</v>
      </c>
    </row>
    <row r="13" spans="1:97" x14ac:dyDescent="0.25">
      <c r="A13">
        <v>25101</v>
      </c>
      <c r="B13" t="s">
        <v>35</v>
      </c>
      <c r="C13" t="s">
        <v>38</v>
      </c>
      <c r="D13" s="11">
        <v>60000</v>
      </c>
      <c r="E13">
        <v>5</v>
      </c>
      <c r="F13" t="s">
        <v>13</v>
      </c>
      <c r="G13" t="s">
        <v>21</v>
      </c>
      <c r="H13" t="s">
        <v>15</v>
      </c>
      <c r="I13">
        <v>1</v>
      </c>
      <c r="J13" t="s">
        <v>22</v>
      </c>
      <c r="K13" t="s">
        <v>31</v>
      </c>
      <c r="L13">
        <v>47</v>
      </c>
      <c r="M13" t="str">
        <f t="shared" si="0"/>
        <v>MIddleAge</v>
      </c>
      <c r="N13" t="s">
        <v>18</v>
      </c>
      <c r="R13">
        <v>24958</v>
      </c>
      <c r="S13" t="s">
        <v>36</v>
      </c>
      <c r="T13" t="s">
        <v>37</v>
      </c>
      <c r="U13" s="4">
        <v>40000</v>
      </c>
      <c r="V13">
        <v>5</v>
      </c>
      <c r="W13" t="s">
        <v>27</v>
      </c>
      <c r="X13" t="s">
        <v>21</v>
      </c>
      <c r="Y13" t="s">
        <v>18</v>
      </c>
      <c r="Z13">
        <v>3</v>
      </c>
      <c r="AA13" t="s">
        <v>22</v>
      </c>
      <c r="AB13" t="s">
        <v>31</v>
      </c>
      <c r="AC13">
        <v>60</v>
      </c>
      <c r="AD13" t="s">
        <v>45</v>
      </c>
      <c r="AG13">
        <v>22730</v>
      </c>
      <c r="AH13" t="s">
        <v>38</v>
      </c>
      <c r="AI13" s="4">
        <v>70000</v>
      </c>
      <c r="AJ13">
        <v>5</v>
      </c>
      <c r="AK13" t="s">
        <v>13</v>
      </c>
      <c r="AL13" t="s">
        <v>15</v>
      </c>
      <c r="AM13">
        <v>63</v>
      </c>
      <c r="AN13" t="s">
        <v>45</v>
      </c>
      <c r="BL13">
        <v>27643</v>
      </c>
      <c r="BM13" t="s">
        <v>36</v>
      </c>
      <c r="BN13" t="s">
        <v>38</v>
      </c>
      <c r="BO13" s="4">
        <v>70000</v>
      </c>
      <c r="BP13" s="4">
        <v>70000</v>
      </c>
      <c r="BQ13">
        <v>5</v>
      </c>
      <c r="BR13" t="s">
        <v>21</v>
      </c>
      <c r="BS13" t="s">
        <v>15</v>
      </c>
      <c r="BT13">
        <v>44</v>
      </c>
      <c r="CB13">
        <v>26341</v>
      </c>
      <c r="CC13" t="s">
        <v>35</v>
      </c>
      <c r="CD13" t="s">
        <v>37</v>
      </c>
      <c r="CE13" s="4">
        <v>70000</v>
      </c>
      <c r="CF13">
        <v>5</v>
      </c>
      <c r="CG13" t="s">
        <v>21</v>
      </c>
      <c r="CH13" t="s">
        <v>15</v>
      </c>
      <c r="CI13">
        <v>37</v>
      </c>
      <c r="CK13">
        <v>26341</v>
      </c>
      <c r="CL13" t="s">
        <v>35</v>
      </c>
      <c r="CM13" t="s">
        <v>37</v>
      </c>
      <c r="CN13" s="4">
        <v>70000</v>
      </c>
      <c r="CO13">
        <v>5</v>
      </c>
      <c r="CP13" t="s">
        <v>21</v>
      </c>
      <c r="CQ13" t="s">
        <v>15</v>
      </c>
      <c r="CR13">
        <v>37</v>
      </c>
      <c r="CS13">
        <v>2</v>
      </c>
    </row>
    <row r="14" spans="1:97" x14ac:dyDescent="0.25">
      <c r="A14">
        <v>23368</v>
      </c>
      <c r="B14" t="s">
        <v>35</v>
      </c>
      <c r="C14" t="s">
        <v>37</v>
      </c>
      <c r="D14" s="11">
        <v>60000</v>
      </c>
      <c r="E14">
        <v>5</v>
      </c>
      <c r="F14" t="s">
        <v>13</v>
      </c>
      <c r="G14" t="s">
        <v>14</v>
      </c>
      <c r="H14" t="s">
        <v>15</v>
      </c>
      <c r="I14">
        <v>3</v>
      </c>
      <c r="J14" t="s">
        <v>42</v>
      </c>
      <c r="K14" t="s">
        <v>31</v>
      </c>
      <c r="L14">
        <v>41</v>
      </c>
      <c r="M14" t="str">
        <f t="shared" si="0"/>
        <v>MIddleAge</v>
      </c>
      <c r="N14" t="s">
        <v>18</v>
      </c>
      <c r="R14">
        <v>23704</v>
      </c>
      <c r="S14" t="s">
        <v>36</v>
      </c>
      <c r="T14" t="s">
        <v>38</v>
      </c>
      <c r="U14" s="4">
        <v>40000</v>
      </c>
      <c r="V14">
        <v>5</v>
      </c>
      <c r="W14" t="s">
        <v>27</v>
      </c>
      <c r="X14" t="s">
        <v>21</v>
      </c>
      <c r="Y14" t="s">
        <v>15</v>
      </c>
      <c r="Z14">
        <v>4</v>
      </c>
      <c r="AA14" t="s">
        <v>42</v>
      </c>
      <c r="AB14" t="s">
        <v>31</v>
      </c>
      <c r="AC14">
        <v>60</v>
      </c>
      <c r="AD14" t="s">
        <v>45</v>
      </c>
      <c r="AG14">
        <v>18069</v>
      </c>
      <c r="AH14" t="s">
        <v>38</v>
      </c>
      <c r="AI14" s="4">
        <v>70000</v>
      </c>
      <c r="AJ14">
        <v>5</v>
      </c>
      <c r="AK14" t="s">
        <v>13</v>
      </c>
      <c r="AL14" t="s">
        <v>15</v>
      </c>
      <c r="AM14">
        <v>60</v>
      </c>
      <c r="AN14" t="s">
        <v>45</v>
      </c>
      <c r="BL14">
        <v>26765</v>
      </c>
      <c r="BM14" t="s">
        <v>36</v>
      </c>
      <c r="BN14" t="s">
        <v>37</v>
      </c>
      <c r="BO14" s="4">
        <v>70000</v>
      </c>
      <c r="BP14" s="4">
        <v>70000</v>
      </c>
      <c r="BQ14">
        <v>5</v>
      </c>
      <c r="BR14" t="s">
        <v>14</v>
      </c>
      <c r="BS14" t="s">
        <v>15</v>
      </c>
      <c r="BT14">
        <v>45</v>
      </c>
      <c r="CB14">
        <v>23707</v>
      </c>
      <c r="CC14" t="s">
        <v>36</v>
      </c>
      <c r="CD14" t="s">
        <v>38</v>
      </c>
      <c r="CE14" s="4">
        <v>70000</v>
      </c>
      <c r="CF14">
        <v>5</v>
      </c>
      <c r="CG14" t="s">
        <v>28</v>
      </c>
      <c r="CH14" t="s">
        <v>15</v>
      </c>
      <c r="CI14">
        <v>60</v>
      </c>
      <c r="CK14">
        <v>23707</v>
      </c>
      <c r="CL14" t="s">
        <v>36</v>
      </c>
      <c r="CM14" t="s">
        <v>38</v>
      </c>
      <c r="CN14" s="4">
        <v>70000</v>
      </c>
      <c r="CO14">
        <v>5</v>
      </c>
      <c r="CP14" t="s">
        <v>28</v>
      </c>
      <c r="CQ14" t="s">
        <v>15</v>
      </c>
      <c r="CR14">
        <v>60</v>
      </c>
      <c r="CS14">
        <v>3</v>
      </c>
    </row>
    <row r="15" spans="1:97" x14ac:dyDescent="0.25">
      <c r="A15">
        <v>16791</v>
      </c>
      <c r="B15" t="s">
        <v>36</v>
      </c>
      <c r="C15" t="s">
        <v>38</v>
      </c>
      <c r="D15" s="11">
        <v>60000</v>
      </c>
      <c r="E15">
        <v>5</v>
      </c>
      <c r="F15" t="s">
        <v>13</v>
      </c>
      <c r="G15" t="s">
        <v>28</v>
      </c>
      <c r="H15" t="s">
        <v>15</v>
      </c>
      <c r="I15">
        <v>3</v>
      </c>
      <c r="J15" t="s">
        <v>42</v>
      </c>
      <c r="K15" t="s">
        <v>31</v>
      </c>
      <c r="L15">
        <v>59</v>
      </c>
      <c r="M15" t="str">
        <f t="shared" si="0"/>
        <v>Old</v>
      </c>
      <c r="N15" t="s">
        <v>15</v>
      </c>
      <c r="O15">
        <f>SUMIF(D2:D170,"&gt;70000")</f>
        <v>4650000</v>
      </c>
      <c r="R15">
        <v>20505</v>
      </c>
      <c r="S15" t="s">
        <v>35</v>
      </c>
      <c r="T15" t="s">
        <v>37</v>
      </c>
      <c r="U15" s="4">
        <v>40000</v>
      </c>
      <c r="V15">
        <v>5</v>
      </c>
      <c r="W15" t="s">
        <v>27</v>
      </c>
      <c r="X15" t="s">
        <v>21</v>
      </c>
      <c r="Y15" t="s">
        <v>18</v>
      </c>
      <c r="Z15">
        <v>2</v>
      </c>
      <c r="AA15" t="s">
        <v>42</v>
      </c>
      <c r="AB15" t="s">
        <v>31</v>
      </c>
      <c r="AC15">
        <v>61</v>
      </c>
      <c r="AD15" t="s">
        <v>45</v>
      </c>
      <c r="AG15">
        <v>18066</v>
      </c>
      <c r="AH15" t="s">
        <v>38</v>
      </c>
      <c r="AI15" s="4">
        <v>70000</v>
      </c>
      <c r="AJ15">
        <v>5</v>
      </c>
      <c r="AK15" t="s">
        <v>13</v>
      </c>
      <c r="AL15" t="s">
        <v>15</v>
      </c>
      <c r="AM15">
        <v>60</v>
      </c>
      <c r="AN15" t="s">
        <v>45</v>
      </c>
      <c r="BL15">
        <v>26341</v>
      </c>
      <c r="BM15" t="s">
        <v>35</v>
      </c>
      <c r="BN15" t="s">
        <v>37</v>
      </c>
      <c r="BO15" s="4">
        <v>70000</v>
      </c>
      <c r="BP15" s="4">
        <v>70000</v>
      </c>
      <c r="BQ15">
        <v>5</v>
      </c>
      <c r="BR15" t="s">
        <v>21</v>
      </c>
      <c r="BS15" t="s">
        <v>15</v>
      </c>
      <c r="BT15">
        <v>37</v>
      </c>
      <c r="CB15">
        <v>23419</v>
      </c>
      <c r="CC15" t="s">
        <v>36</v>
      </c>
      <c r="CD15" t="s">
        <v>37</v>
      </c>
      <c r="CE15" s="4">
        <v>70000</v>
      </c>
      <c r="CF15">
        <v>5</v>
      </c>
      <c r="CG15" t="s">
        <v>21</v>
      </c>
      <c r="CH15" t="s">
        <v>15</v>
      </c>
      <c r="CI15">
        <v>39</v>
      </c>
      <c r="CK15">
        <v>23419</v>
      </c>
      <c r="CL15" t="s">
        <v>36</v>
      </c>
      <c r="CM15" t="s">
        <v>37</v>
      </c>
      <c r="CN15" s="4">
        <v>70000</v>
      </c>
      <c r="CO15">
        <v>5</v>
      </c>
      <c r="CP15" t="s">
        <v>21</v>
      </c>
      <c r="CQ15" t="s">
        <v>15</v>
      </c>
      <c r="CR15">
        <v>39</v>
      </c>
      <c r="CS15">
        <v>3</v>
      </c>
    </row>
    <row r="16" spans="1:97" x14ac:dyDescent="0.25">
      <c r="A16">
        <v>15559</v>
      </c>
      <c r="B16" t="s">
        <v>35</v>
      </c>
      <c r="C16" t="s">
        <v>38</v>
      </c>
      <c r="D16" s="11">
        <v>60000</v>
      </c>
      <c r="E16">
        <v>5</v>
      </c>
      <c r="F16" t="s">
        <v>13</v>
      </c>
      <c r="G16" t="s">
        <v>21</v>
      </c>
      <c r="H16" t="s">
        <v>15</v>
      </c>
      <c r="I16">
        <v>1</v>
      </c>
      <c r="J16" t="s">
        <v>22</v>
      </c>
      <c r="K16" t="s">
        <v>31</v>
      </c>
      <c r="L16">
        <v>47</v>
      </c>
      <c r="M16" t="str">
        <f t="shared" si="0"/>
        <v>MIddleAge</v>
      </c>
      <c r="N16" t="s">
        <v>18</v>
      </c>
      <c r="O16" cm="1">
        <f t="array" ref="O16">SUMIF(D2:D36,C2=Male)</f>
        <v>0</v>
      </c>
      <c r="R16">
        <v>20504</v>
      </c>
      <c r="S16" t="s">
        <v>35</v>
      </c>
      <c r="T16" t="s">
        <v>37</v>
      </c>
      <c r="U16" s="4">
        <v>40000</v>
      </c>
      <c r="V16">
        <v>5</v>
      </c>
      <c r="W16" t="s">
        <v>27</v>
      </c>
      <c r="X16" t="s">
        <v>21</v>
      </c>
      <c r="Y16" t="s">
        <v>18</v>
      </c>
      <c r="Z16">
        <v>2</v>
      </c>
      <c r="AA16" t="s">
        <v>22</v>
      </c>
      <c r="AB16" t="s">
        <v>31</v>
      </c>
      <c r="AC16">
        <v>60</v>
      </c>
      <c r="AD16" t="s">
        <v>45</v>
      </c>
      <c r="AG16">
        <v>15879</v>
      </c>
      <c r="AH16" t="s">
        <v>38</v>
      </c>
      <c r="AI16" s="4">
        <v>70000</v>
      </c>
      <c r="AJ16">
        <v>5</v>
      </c>
      <c r="AK16" t="s">
        <v>13</v>
      </c>
      <c r="AL16" t="s">
        <v>15</v>
      </c>
      <c r="AM16">
        <v>61</v>
      </c>
      <c r="AN16" t="s">
        <v>45</v>
      </c>
      <c r="BL16">
        <v>26032</v>
      </c>
      <c r="BM16" t="s">
        <v>35</v>
      </c>
      <c r="BN16" t="s">
        <v>37</v>
      </c>
      <c r="BO16" s="4">
        <v>70000</v>
      </c>
      <c r="BP16" s="4">
        <v>70000</v>
      </c>
      <c r="BQ16">
        <v>5</v>
      </c>
      <c r="BR16" t="s">
        <v>21</v>
      </c>
      <c r="BS16" t="s">
        <v>15</v>
      </c>
      <c r="BT16">
        <v>41</v>
      </c>
      <c r="CB16">
        <v>22730</v>
      </c>
      <c r="CC16" t="s">
        <v>35</v>
      </c>
      <c r="CD16" t="s">
        <v>38</v>
      </c>
      <c r="CE16" s="4">
        <v>70000</v>
      </c>
      <c r="CF16">
        <v>5</v>
      </c>
      <c r="CG16" t="s">
        <v>28</v>
      </c>
      <c r="CH16" t="s">
        <v>15</v>
      </c>
      <c r="CI16">
        <v>63</v>
      </c>
      <c r="CK16">
        <v>22730</v>
      </c>
      <c r="CL16" t="s">
        <v>35</v>
      </c>
      <c r="CM16" t="s">
        <v>38</v>
      </c>
      <c r="CN16" s="4">
        <v>70000</v>
      </c>
      <c r="CO16">
        <v>5</v>
      </c>
      <c r="CP16" t="s">
        <v>28</v>
      </c>
      <c r="CQ16" t="s">
        <v>15</v>
      </c>
      <c r="CR16">
        <v>63</v>
      </c>
      <c r="CS16">
        <v>2</v>
      </c>
    </row>
    <row r="17" spans="1:97" x14ac:dyDescent="0.25">
      <c r="A17">
        <v>13216</v>
      </c>
      <c r="B17" t="s">
        <v>35</v>
      </c>
      <c r="C17" t="s">
        <v>37</v>
      </c>
      <c r="D17" s="11">
        <v>60000</v>
      </c>
      <c r="E17">
        <v>5</v>
      </c>
      <c r="F17" t="s">
        <v>13</v>
      </c>
      <c r="G17" t="s">
        <v>28</v>
      </c>
      <c r="H17" t="s">
        <v>15</v>
      </c>
      <c r="I17">
        <v>3</v>
      </c>
      <c r="J17" t="s">
        <v>42</v>
      </c>
      <c r="K17" t="s">
        <v>31</v>
      </c>
      <c r="L17">
        <v>59</v>
      </c>
      <c r="M17" t="str">
        <f t="shared" si="0"/>
        <v>Old</v>
      </c>
      <c r="N17" t="s">
        <v>18</v>
      </c>
      <c r="O17">
        <f>SUMIF(D2:D19,C7)</f>
        <v>0</v>
      </c>
      <c r="R17">
        <v>25101</v>
      </c>
      <c r="S17" t="s">
        <v>35</v>
      </c>
      <c r="T17" t="s">
        <v>38</v>
      </c>
      <c r="U17" s="4">
        <v>60000</v>
      </c>
      <c r="V17">
        <v>5</v>
      </c>
      <c r="W17" t="s">
        <v>13</v>
      </c>
      <c r="X17" t="s">
        <v>21</v>
      </c>
      <c r="Y17" t="s">
        <v>15</v>
      </c>
      <c r="Z17">
        <v>1</v>
      </c>
      <c r="AA17" t="s">
        <v>22</v>
      </c>
      <c r="AB17" t="s">
        <v>31</v>
      </c>
      <c r="AC17">
        <v>47</v>
      </c>
      <c r="AD17" t="s">
        <v>44</v>
      </c>
      <c r="AG17">
        <v>29301</v>
      </c>
      <c r="AH17" t="s">
        <v>38</v>
      </c>
      <c r="AI17" s="4">
        <v>80000</v>
      </c>
      <c r="AJ17">
        <v>5</v>
      </c>
      <c r="AK17" t="s">
        <v>13</v>
      </c>
      <c r="AL17" t="s">
        <v>15</v>
      </c>
      <c r="AM17">
        <v>40</v>
      </c>
      <c r="AN17" t="s">
        <v>44</v>
      </c>
      <c r="BL17">
        <v>23707</v>
      </c>
      <c r="BM17" t="s">
        <v>36</v>
      </c>
      <c r="BN17" t="s">
        <v>38</v>
      </c>
      <c r="BO17" s="4">
        <v>70000</v>
      </c>
      <c r="BP17" s="4">
        <v>70000</v>
      </c>
      <c r="BQ17">
        <v>5</v>
      </c>
      <c r="BR17" t="s">
        <v>28</v>
      </c>
      <c r="BS17" t="s">
        <v>15</v>
      </c>
      <c r="BT17">
        <v>60</v>
      </c>
      <c r="CB17">
        <v>22006</v>
      </c>
      <c r="CC17" t="s">
        <v>35</v>
      </c>
      <c r="CD17" t="s">
        <v>38</v>
      </c>
      <c r="CE17" s="4">
        <v>70000</v>
      </c>
      <c r="CF17">
        <v>5</v>
      </c>
      <c r="CG17" t="s">
        <v>14</v>
      </c>
      <c r="CH17" t="s">
        <v>15</v>
      </c>
      <c r="CI17">
        <v>46</v>
      </c>
      <c r="CK17">
        <v>22006</v>
      </c>
      <c r="CL17" t="s">
        <v>35</v>
      </c>
      <c r="CM17" t="s">
        <v>38</v>
      </c>
      <c r="CN17" s="4">
        <v>70000</v>
      </c>
      <c r="CO17">
        <v>5</v>
      </c>
      <c r="CP17" t="s">
        <v>14</v>
      </c>
      <c r="CQ17" t="s">
        <v>15</v>
      </c>
      <c r="CR17">
        <v>46</v>
      </c>
      <c r="CS17">
        <v>3</v>
      </c>
    </row>
    <row r="18" spans="1:97" x14ac:dyDescent="0.25">
      <c r="A18">
        <v>28192</v>
      </c>
      <c r="B18" t="s">
        <v>35</v>
      </c>
      <c r="C18" t="s">
        <v>37</v>
      </c>
      <c r="D18" s="11">
        <v>70000</v>
      </c>
      <c r="E18">
        <v>5</v>
      </c>
      <c r="F18" t="s">
        <v>30</v>
      </c>
      <c r="G18" t="s">
        <v>21</v>
      </c>
      <c r="H18" t="s">
        <v>15</v>
      </c>
      <c r="I18">
        <v>3</v>
      </c>
      <c r="J18" t="s">
        <v>42</v>
      </c>
      <c r="K18" t="s">
        <v>31</v>
      </c>
      <c r="L18">
        <v>46</v>
      </c>
      <c r="M18" t="str">
        <f t="shared" si="0"/>
        <v>MIddleAge</v>
      </c>
      <c r="N18" t="s">
        <v>18</v>
      </c>
      <c r="O18">
        <f>SUMIF(Table1[[#Headers],[Gender]], "Male", D2:D19)</f>
        <v>0</v>
      </c>
      <c r="R18">
        <v>16791</v>
      </c>
      <c r="S18" t="s">
        <v>36</v>
      </c>
      <c r="T18" t="s">
        <v>38</v>
      </c>
      <c r="U18" s="4">
        <v>60000</v>
      </c>
      <c r="V18">
        <v>5</v>
      </c>
      <c r="W18" t="s">
        <v>13</v>
      </c>
      <c r="X18" t="s">
        <v>28</v>
      </c>
      <c r="Y18" t="s">
        <v>15</v>
      </c>
      <c r="Z18">
        <v>3</v>
      </c>
      <c r="AA18" t="s">
        <v>42</v>
      </c>
      <c r="AB18" t="s">
        <v>31</v>
      </c>
      <c r="AC18">
        <v>59</v>
      </c>
      <c r="AD18" t="s">
        <v>45</v>
      </c>
      <c r="AG18">
        <v>19914</v>
      </c>
      <c r="AH18" t="s">
        <v>38</v>
      </c>
      <c r="AI18" s="4">
        <v>80000</v>
      </c>
      <c r="AJ18">
        <v>5</v>
      </c>
      <c r="AK18" t="s">
        <v>13</v>
      </c>
      <c r="AL18" t="s">
        <v>15</v>
      </c>
      <c r="AM18">
        <v>62</v>
      </c>
      <c r="AN18" t="s">
        <v>45</v>
      </c>
      <c r="BL18">
        <v>23419</v>
      </c>
      <c r="BM18" t="s">
        <v>36</v>
      </c>
      <c r="BN18" t="s">
        <v>37</v>
      </c>
      <c r="BO18" s="4">
        <v>70000</v>
      </c>
      <c r="BP18" s="4">
        <v>70000</v>
      </c>
      <c r="BQ18">
        <v>5</v>
      </c>
      <c r="BR18" t="s">
        <v>21</v>
      </c>
      <c r="BS18" t="s">
        <v>15</v>
      </c>
      <c r="BT18">
        <v>39</v>
      </c>
      <c r="CB18">
        <v>22005</v>
      </c>
      <c r="CC18" t="s">
        <v>35</v>
      </c>
      <c r="CD18" t="s">
        <v>37</v>
      </c>
      <c r="CE18" s="4">
        <v>70000</v>
      </c>
      <c r="CF18">
        <v>5</v>
      </c>
      <c r="CG18" t="s">
        <v>14</v>
      </c>
      <c r="CH18" t="s">
        <v>18</v>
      </c>
      <c r="CI18">
        <v>46</v>
      </c>
      <c r="CK18">
        <v>22005</v>
      </c>
      <c r="CL18" t="s">
        <v>35</v>
      </c>
      <c r="CM18" t="s">
        <v>37</v>
      </c>
      <c r="CN18" s="4">
        <v>70000</v>
      </c>
      <c r="CO18">
        <v>5</v>
      </c>
      <c r="CP18" t="s">
        <v>14</v>
      </c>
      <c r="CQ18" t="s">
        <v>18</v>
      </c>
      <c r="CR18">
        <v>46</v>
      </c>
      <c r="CS18">
        <v>3</v>
      </c>
    </row>
    <row r="19" spans="1:97" x14ac:dyDescent="0.25">
      <c r="A19">
        <v>27643</v>
      </c>
      <c r="B19" t="s">
        <v>36</v>
      </c>
      <c r="C19" t="s">
        <v>38</v>
      </c>
      <c r="D19" s="11">
        <v>70000</v>
      </c>
      <c r="E19">
        <v>5</v>
      </c>
      <c r="F19" t="s">
        <v>19</v>
      </c>
      <c r="G19" t="s">
        <v>21</v>
      </c>
      <c r="H19" t="s">
        <v>15</v>
      </c>
      <c r="I19">
        <v>3</v>
      </c>
      <c r="J19" t="s">
        <v>22</v>
      </c>
      <c r="K19" t="s">
        <v>31</v>
      </c>
      <c r="L19">
        <v>44</v>
      </c>
      <c r="M19" t="str">
        <f t="shared" si="0"/>
        <v>MIddleAge</v>
      </c>
      <c r="N19" t="s">
        <v>18</v>
      </c>
      <c r="O19">
        <f>SUMIF(D2:D18,"&gt;50000,SUMIF(C2:C18, ""Male",D2:D18)</f>
        <v>0</v>
      </c>
      <c r="R19">
        <v>15559</v>
      </c>
      <c r="S19" t="s">
        <v>35</v>
      </c>
      <c r="T19" t="s">
        <v>38</v>
      </c>
      <c r="U19" s="4">
        <v>60000</v>
      </c>
      <c r="V19">
        <v>5</v>
      </c>
      <c r="W19" t="s">
        <v>13</v>
      </c>
      <c r="X19" t="s">
        <v>21</v>
      </c>
      <c r="Y19" t="s">
        <v>15</v>
      </c>
      <c r="Z19">
        <v>1</v>
      </c>
      <c r="AA19" t="s">
        <v>22</v>
      </c>
      <c r="AB19" t="s">
        <v>31</v>
      </c>
      <c r="AC19">
        <v>47</v>
      </c>
      <c r="AD19" t="s">
        <v>44</v>
      </c>
      <c r="AG19">
        <v>19608</v>
      </c>
      <c r="AH19" t="s">
        <v>38</v>
      </c>
      <c r="AI19" s="4">
        <v>80000</v>
      </c>
      <c r="AJ19">
        <v>5</v>
      </c>
      <c r="AK19" t="s">
        <v>13</v>
      </c>
      <c r="AL19" t="s">
        <v>15</v>
      </c>
      <c r="AM19">
        <v>40</v>
      </c>
      <c r="AN19" t="s">
        <v>44</v>
      </c>
      <c r="BL19">
        <v>22730</v>
      </c>
      <c r="BM19" t="s">
        <v>35</v>
      </c>
      <c r="BN19" t="s">
        <v>38</v>
      </c>
      <c r="BO19" s="4">
        <v>70000</v>
      </c>
      <c r="BP19" s="4">
        <v>70000</v>
      </c>
      <c r="BQ19">
        <v>5</v>
      </c>
      <c r="BR19" t="s">
        <v>28</v>
      </c>
      <c r="BS19" t="s">
        <v>15</v>
      </c>
      <c r="BT19">
        <v>63</v>
      </c>
      <c r="CB19">
        <v>19626</v>
      </c>
      <c r="CC19" t="s">
        <v>35</v>
      </c>
      <c r="CD19" t="s">
        <v>38</v>
      </c>
      <c r="CE19" s="4">
        <v>70000</v>
      </c>
      <c r="CF19">
        <v>5</v>
      </c>
      <c r="CG19" t="s">
        <v>14</v>
      </c>
      <c r="CH19" t="s">
        <v>15</v>
      </c>
      <c r="CI19">
        <v>45</v>
      </c>
      <c r="CK19">
        <v>19626</v>
      </c>
      <c r="CL19" t="s">
        <v>35</v>
      </c>
      <c r="CM19" t="s">
        <v>38</v>
      </c>
      <c r="CN19" s="4">
        <v>70000</v>
      </c>
      <c r="CO19">
        <v>5</v>
      </c>
      <c r="CP19" t="s">
        <v>14</v>
      </c>
      <c r="CQ19" t="s">
        <v>15</v>
      </c>
      <c r="CR19">
        <v>45</v>
      </c>
      <c r="CS19">
        <v>3</v>
      </c>
    </row>
    <row r="20" spans="1:97" x14ac:dyDescent="0.25">
      <c r="A20">
        <v>26765</v>
      </c>
      <c r="B20" t="s">
        <v>36</v>
      </c>
      <c r="C20" t="s">
        <v>37</v>
      </c>
      <c r="D20" s="11">
        <v>70000</v>
      </c>
      <c r="E20">
        <v>5</v>
      </c>
      <c r="F20" t="s">
        <v>19</v>
      </c>
      <c r="G20" t="s">
        <v>14</v>
      </c>
      <c r="H20" t="s">
        <v>15</v>
      </c>
      <c r="I20">
        <v>2</v>
      </c>
      <c r="J20" t="s">
        <v>23</v>
      </c>
      <c r="K20" t="s">
        <v>24</v>
      </c>
      <c r="L20">
        <v>45</v>
      </c>
      <c r="M20" t="str">
        <f t="shared" si="0"/>
        <v>MIddleAge</v>
      </c>
      <c r="N20" t="s">
        <v>18</v>
      </c>
      <c r="R20">
        <v>27643</v>
      </c>
      <c r="S20" t="s">
        <v>36</v>
      </c>
      <c r="T20" t="s">
        <v>38</v>
      </c>
      <c r="U20" s="4">
        <v>70000</v>
      </c>
      <c r="V20">
        <v>5</v>
      </c>
      <c r="W20" t="s">
        <v>19</v>
      </c>
      <c r="X20" t="s">
        <v>21</v>
      </c>
      <c r="Y20" t="s">
        <v>15</v>
      </c>
      <c r="Z20">
        <v>3</v>
      </c>
      <c r="AA20" t="s">
        <v>22</v>
      </c>
      <c r="AB20" t="s">
        <v>31</v>
      </c>
      <c r="AC20">
        <v>44</v>
      </c>
      <c r="AD20" t="s">
        <v>44</v>
      </c>
      <c r="AG20">
        <v>15740</v>
      </c>
      <c r="AH20" t="s">
        <v>38</v>
      </c>
      <c r="AI20" s="4">
        <v>80000</v>
      </c>
      <c r="AJ20">
        <v>5</v>
      </c>
      <c r="AK20" t="s">
        <v>13</v>
      </c>
      <c r="AL20" t="s">
        <v>15</v>
      </c>
      <c r="AM20">
        <v>64</v>
      </c>
      <c r="AN20" t="s">
        <v>45</v>
      </c>
      <c r="BL20">
        <v>22006</v>
      </c>
      <c r="BM20" t="s">
        <v>35</v>
      </c>
      <c r="BN20" t="s">
        <v>38</v>
      </c>
      <c r="BO20" s="4">
        <v>70000</v>
      </c>
      <c r="BP20" s="4">
        <v>70000</v>
      </c>
      <c r="BQ20">
        <v>5</v>
      </c>
      <c r="BR20" t="s">
        <v>14</v>
      </c>
      <c r="BS20" t="s">
        <v>15</v>
      </c>
      <c r="BT20">
        <v>46</v>
      </c>
      <c r="CB20">
        <v>19618</v>
      </c>
      <c r="CC20" t="s">
        <v>35</v>
      </c>
      <c r="CD20" t="s">
        <v>38</v>
      </c>
      <c r="CE20" s="4">
        <v>70000</v>
      </c>
      <c r="CF20">
        <v>5</v>
      </c>
      <c r="CG20" t="s">
        <v>14</v>
      </c>
      <c r="CH20" t="s">
        <v>15</v>
      </c>
      <c r="CI20">
        <v>44</v>
      </c>
      <c r="CK20">
        <v>19618</v>
      </c>
      <c r="CL20" t="s">
        <v>35</v>
      </c>
      <c r="CM20" t="s">
        <v>38</v>
      </c>
      <c r="CN20" s="4">
        <v>70000</v>
      </c>
      <c r="CO20">
        <v>5</v>
      </c>
      <c r="CP20" t="s">
        <v>14</v>
      </c>
      <c r="CQ20" t="s">
        <v>15</v>
      </c>
      <c r="CR20">
        <v>44</v>
      </c>
      <c r="CS20">
        <v>2</v>
      </c>
    </row>
    <row r="21" spans="1:97" x14ac:dyDescent="0.25">
      <c r="A21">
        <v>26341</v>
      </c>
      <c r="B21" t="s">
        <v>35</v>
      </c>
      <c r="C21" t="s">
        <v>37</v>
      </c>
      <c r="D21" s="11">
        <v>70000</v>
      </c>
      <c r="E21">
        <v>5</v>
      </c>
      <c r="F21" t="s">
        <v>30</v>
      </c>
      <c r="G21" t="s">
        <v>21</v>
      </c>
      <c r="H21" t="s">
        <v>15</v>
      </c>
      <c r="I21">
        <v>2</v>
      </c>
      <c r="J21" t="s">
        <v>16</v>
      </c>
      <c r="K21" t="s">
        <v>31</v>
      </c>
      <c r="L21">
        <v>37</v>
      </c>
      <c r="M21" t="str">
        <f t="shared" si="0"/>
        <v>MIddleAge</v>
      </c>
      <c r="N21" t="s">
        <v>18</v>
      </c>
      <c r="O21">
        <f>SUMIFS(D2:D18,C2:C18,"Male",D2:D18,"&gt;50000")</f>
        <v>180000</v>
      </c>
      <c r="R21">
        <v>23707</v>
      </c>
      <c r="S21" t="s">
        <v>36</v>
      </c>
      <c r="T21" t="s">
        <v>38</v>
      </c>
      <c r="U21" s="4">
        <v>70000</v>
      </c>
      <c r="V21">
        <v>5</v>
      </c>
      <c r="W21" t="s">
        <v>13</v>
      </c>
      <c r="X21" t="s">
        <v>28</v>
      </c>
      <c r="Y21" t="s">
        <v>15</v>
      </c>
      <c r="Z21">
        <v>3</v>
      </c>
      <c r="AA21" t="s">
        <v>42</v>
      </c>
      <c r="AB21" t="s">
        <v>31</v>
      </c>
      <c r="AC21">
        <v>60</v>
      </c>
      <c r="AD21" t="s">
        <v>45</v>
      </c>
      <c r="AG21">
        <v>13133</v>
      </c>
      <c r="AH21" t="s">
        <v>38</v>
      </c>
      <c r="AI21" s="4">
        <v>100000</v>
      </c>
      <c r="AJ21">
        <v>5</v>
      </c>
      <c r="AK21" t="s">
        <v>13</v>
      </c>
      <c r="AL21" t="s">
        <v>15</v>
      </c>
      <c r="AM21">
        <v>47</v>
      </c>
      <c r="AN21" t="s">
        <v>44</v>
      </c>
      <c r="BL21">
        <v>22005</v>
      </c>
      <c r="BM21" t="s">
        <v>35</v>
      </c>
      <c r="BN21" t="s">
        <v>37</v>
      </c>
      <c r="BO21" s="4">
        <v>70000</v>
      </c>
      <c r="BP21" s="4">
        <v>70000</v>
      </c>
      <c r="BQ21">
        <v>5</v>
      </c>
      <c r="BR21" t="s">
        <v>14</v>
      </c>
      <c r="BS21" t="s">
        <v>18</v>
      </c>
      <c r="BT21">
        <v>46</v>
      </c>
      <c r="CB21">
        <v>19543</v>
      </c>
      <c r="CC21" t="s">
        <v>35</v>
      </c>
      <c r="CD21" t="s">
        <v>38</v>
      </c>
      <c r="CE21" s="4">
        <v>70000</v>
      </c>
      <c r="CF21">
        <v>5</v>
      </c>
      <c r="CG21" t="s">
        <v>21</v>
      </c>
      <c r="CH21" t="s">
        <v>18</v>
      </c>
      <c r="CI21">
        <v>47</v>
      </c>
      <c r="CK21">
        <v>19543</v>
      </c>
      <c r="CL21" t="s">
        <v>35</v>
      </c>
      <c r="CM21" t="s">
        <v>38</v>
      </c>
      <c r="CN21" s="4">
        <v>70000</v>
      </c>
      <c r="CO21">
        <v>5</v>
      </c>
      <c r="CP21" t="s">
        <v>21</v>
      </c>
      <c r="CQ21" t="s">
        <v>18</v>
      </c>
      <c r="CR21">
        <v>47</v>
      </c>
      <c r="CS21">
        <v>3</v>
      </c>
    </row>
    <row r="22" spans="1:97" x14ac:dyDescent="0.25">
      <c r="A22">
        <v>26032</v>
      </c>
      <c r="B22" t="s">
        <v>35</v>
      </c>
      <c r="C22" t="s">
        <v>37</v>
      </c>
      <c r="D22" s="11">
        <v>70000</v>
      </c>
      <c r="E22">
        <v>5</v>
      </c>
      <c r="F22" t="s">
        <v>13</v>
      </c>
      <c r="G22" t="s">
        <v>21</v>
      </c>
      <c r="H22" t="s">
        <v>15</v>
      </c>
      <c r="I22">
        <v>4</v>
      </c>
      <c r="J22" t="s">
        <v>42</v>
      </c>
      <c r="K22" t="s">
        <v>24</v>
      </c>
      <c r="L22">
        <v>41</v>
      </c>
      <c r="M22" t="str">
        <f t="shared" si="0"/>
        <v>MIddleAge</v>
      </c>
      <c r="N22" t="s">
        <v>18</v>
      </c>
      <c r="O22">
        <f>SUMIFS(D2:D18, C2:C18, "Female", D2:D18, "&gt;50000")</f>
        <v>190000</v>
      </c>
      <c r="R22">
        <v>22730</v>
      </c>
      <c r="S22" t="s">
        <v>35</v>
      </c>
      <c r="T22" t="s">
        <v>38</v>
      </c>
      <c r="U22" s="4">
        <v>70000</v>
      </c>
      <c r="V22">
        <v>5</v>
      </c>
      <c r="W22" t="s">
        <v>13</v>
      </c>
      <c r="X22" t="s">
        <v>28</v>
      </c>
      <c r="Y22" t="s">
        <v>15</v>
      </c>
      <c r="Z22">
        <v>2</v>
      </c>
      <c r="AA22" t="s">
        <v>42</v>
      </c>
      <c r="AB22" t="s">
        <v>31</v>
      </c>
      <c r="AC22">
        <v>63</v>
      </c>
      <c r="AD22" t="s">
        <v>45</v>
      </c>
      <c r="AG22">
        <v>18494</v>
      </c>
      <c r="AH22" t="s">
        <v>38</v>
      </c>
      <c r="AI22" s="4">
        <v>110000</v>
      </c>
      <c r="AJ22">
        <v>5</v>
      </c>
      <c r="AK22" t="s">
        <v>13</v>
      </c>
      <c r="AL22" t="s">
        <v>15</v>
      </c>
      <c r="AM22">
        <v>48</v>
      </c>
      <c r="AN22" t="s">
        <v>44</v>
      </c>
      <c r="BL22">
        <v>19626</v>
      </c>
      <c r="BM22" t="s">
        <v>35</v>
      </c>
      <c r="BN22" t="s">
        <v>38</v>
      </c>
      <c r="BO22" s="4">
        <v>70000</v>
      </c>
      <c r="BP22" s="4">
        <v>70000</v>
      </c>
      <c r="BQ22">
        <v>5</v>
      </c>
      <c r="BR22" t="s">
        <v>14</v>
      </c>
      <c r="BS22" t="s">
        <v>15</v>
      </c>
      <c r="BT22">
        <v>45</v>
      </c>
      <c r="CB22">
        <v>18435</v>
      </c>
      <c r="CC22" t="s">
        <v>36</v>
      </c>
      <c r="CD22" t="s">
        <v>37</v>
      </c>
      <c r="CE22" s="4">
        <v>70000</v>
      </c>
      <c r="CF22">
        <v>5</v>
      </c>
      <c r="CG22" t="s">
        <v>28</v>
      </c>
      <c r="CH22" t="s">
        <v>15</v>
      </c>
      <c r="CI22">
        <v>67</v>
      </c>
      <c r="CK22">
        <v>18435</v>
      </c>
      <c r="CL22" t="s">
        <v>36</v>
      </c>
      <c r="CM22" t="s">
        <v>37</v>
      </c>
      <c r="CN22" s="4">
        <v>70000</v>
      </c>
      <c r="CO22">
        <v>5</v>
      </c>
      <c r="CP22" t="s">
        <v>28</v>
      </c>
      <c r="CQ22" t="s">
        <v>15</v>
      </c>
      <c r="CR22">
        <v>67</v>
      </c>
      <c r="CS22">
        <v>2</v>
      </c>
    </row>
    <row r="23" spans="1:97" x14ac:dyDescent="0.25">
      <c r="A23">
        <v>23707</v>
      </c>
      <c r="B23" t="s">
        <v>36</v>
      </c>
      <c r="C23" t="s">
        <v>38</v>
      </c>
      <c r="D23" s="11">
        <v>70000</v>
      </c>
      <c r="E23">
        <v>5</v>
      </c>
      <c r="F23" t="s">
        <v>13</v>
      </c>
      <c r="G23" t="s">
        <v>28</v>
      </c>
      <c r="H23" t="s">
        <v>15</v>
      </c>
      <c r="I23">
        <v>3</v>
      </c>
      <c r="J23" t="s">
        <v>42</v>
      </c>
      <c r="K23" t="s">
        <v>31</v>
      </c>
      <c r="L23">
        <v>60</v>
      </c>
      <c r="M23" t="str">
        <f t="shared" si="0"/>
        <v>Old</v>
      </c>
      <c r="N23" t="s">
        <v>15</v>
      </c>
      <c r="R23">
        <v>22006</v>
      </c>
      <c r="S23" t="s">
        <v>35</v>
      </c>
      <c r="T23" t="s">
        <v>38</v>
      </c>
      <c r="U23" s="4">
        <v>70000</v>
      </c>
      <c r="V23">
        <v>5</v>
      </c>
      <c r="W23" t="s">
        <v>19</v>
      </c>
      <c r="X23" t="s">
        <v>14</v>
      </c>
      <c r="Y23" t="s">
        <v>15</v>
      </c>
      <c r="Z23">
        <v>3</v>
      </c>
      <c r="AA23" t="s">
        <v>23</v>
      </c>
      <c r="AB23" t="s">
        <v>24</v>
      </c>
      <c r="AC23">
        <v>46</v>
      </c>
      <c r="AD23" t="s">
        <v>44</v>
      </c>
      <c r="AG23">
        <v>21441</v>
      </c>
      <c r="AH23" t="s">
        <v>38</v>
      </c>
      <c r="AI23" s="4">
        <v>50000</v>
      </c>
      <c r="AJ23">
        <v>4</v>
      </c>
      <c r="AK23" t="s">
        <v>13</v>
      </c>
      <c r="AL23" t="s">
        <v>15</v>
      </c>
      <c r="AM23">
        <v>64</v>
      </c>
      <c r="AN23" t="s">
        <v>45</v>
      </c>
      <c r="BL23">
        <v>19618</v>
      </c>
      <c r="BM23" t="s">
        <v>35</v>
      </c>
      <c r="BN23" t="s">
        <v>38</v>
      </c>
      <c r="BO23" s="4">
        <v>70000</v>
      </c>
      <c r="BP23" s="4">
        <v>70000</v>
      </c>
      <c r="BQ23">
        <v>5</v>
      </c>
      <c r="BR23" t="s">
        <v>14</v>
      </c>
      <c r="BS23" t="s">
        <v>15</v>
      </c>
      <c r="BT23">
        <v>44</v>
      </c>
      <c r="CB23">
        <v>18299</v>
      </c>
      <c r="CC23" t="s">
        <v>35</v>
      </c>
      <c r="CD23" t="s">
        <v>38</v>
      </c>
      <c r="CE23" s="4">
        <v>70000</v>
      </c>
      <c r="CF23">
        <v>5</v>
      </c>
      <c r="CG23" t="s">
        <v>14</v>
      </c>
      <c r="CH23" t="s">
        <v>15</v>
      </c>
      <c r="CI23">
        <v>44</v>
      </c>
      <c r="CK23">
        <v>18299</v>
      </c>
      <c r="CL23" t="s">
        <v>35</v>
      </c>
      <c r="CM23" t="s">
        <v>38</v>
      </c>
      <c r="CN23" s="4">
        <v>70000</v>
      </c>
      <c r="CO23">
        <v>5</v>
      </c>
      <c r="CP23" t="s">
        <v>14</v>
      </c>
      <c r="CQ23" t="s">
        <v>15</v>
      </c>
      <c r="CR23">
        <v>44</v>
      </c>
      <c r="CS23">
        <v>2</v>
      </c>
    </row>
    <row r="24" spans="1:97" x14ac:dyDescent="0.25">
      <c r="A24">
        <v>23419</v>
      </c>
      <c r="B24" t="s">
        <v>36</v>
      </c>
      <c r="C24" t="s">
        <v>37</v>
      </c>
      <c r="D24" s="11">
        <v>70000</v>
      </c>
      <c r="E24">
        <v>5</v>
      </c>
      <c r="F24" t="s">
        <v>13</v>
      </c>
      <c r="G24" t="s">
        <v>21</v>
      </c>
      <c r="H24" t="s">
        <v>15</v>
      </c>
      <c r="I24">
        <v>3</v>
      </c>
      <c r="J24" t="s">
        <v>42</v>
      </c>
      <c r="K24" t="s">
        <v>24</v>
      </c>
      <c r="L24">
        <v>39</v>
      </c>
      <c r="M24" t="str">
        <f t="shared" si="0"/>
        <v>MIddleAge</v>
      </c>
      <c r="N24" t="s">
        <v>18</v>
      </c>
      <c r="O24">
        <f>SUMIF(F2:F18, "Bachelors", D2:D18)</f>
        <v>300000</v>
      </c>
      <c r="R24">
        <v>22005</v>
      </c>
      <c r="S24" t="s">
        <v>35</v>
      </c>
      <c r="T24" t="s">
        <v>37</v>
      </c>
      <c r="U24" s="4">
        <v>70000</v>
      </c>
      <c r="V24">
        <v>5</v>
      </c>
      <c r="W24" t="s">
        <v>19</v>
      </c>
      <c r="X24" t="s">
        <v>14</v>
      </c>
      <c r="Y24" t="s">
        <v>18</v>
      </c>
      <c r="Z24">
        <v>3</v>
      </c>
      <c r="AA24" t="s">
        <v>23</v>
      </c>
      <c r="AB24" t="s">
        <v>24</v>
      </c>
      <c r="AC24">
        <v>46</v>
      </c>
      <c r="AD24" t="s">
        <v>44</v>
      </c>
      <c r="AG24">
        <v>19747</v>
      </c>
      <c r="AH24" t="s">
        <v>38</v>
      </c>
      <c r="AI24" s="4">
        <v>50000</v>
      </c>
      <c r="AJ24">
        <v>4</v>
      </c>
      <c r="AK24" t="s">
        <v>13</v>
      </c>
      <c r="AL24" t="s">
        <v>15</v>
      </c>
      <c r="AM24">
        <v>63</v>
      </c>
      <c r="AN24" t="s">
        <v>45</v>
      </c>
      <c r="BL24">
        <v>19543</v>
      </c>
      <c r="BM24" t="s">
        <v>35</v>
      </c>
      <c r="BN24" t="s">
        <v>38</v>
      </c>
      <c r="BO24" s="4">
        <v>70000</v>
      </c>
      <c r="BP24" s="4">
        <v>70000</v>
      </c>
      <c r="BQ24">
        <v>5</v>
      </c>
      <c r="BR24" t="s">
        <v>21</v>
      </c>
      <c r="BS24" t="s">
        <v>18</v>
      </c>
      <c r="BT24">
        <v>47</v>
      </c>
      <c r="CB24">
        <v>18066</v>
      </c>
      <c r="CC24" t="s">
        <v>36</v>
      </c>
      <c r="CD24" t="s">
        <v>38</v>
      </c>
      <c r="CE24" s="4">
        <v>70000</v>
      </c>
      <c r="CF24">
        <v>5</v>
      </c>
      <c r="CG24" t="s">
        <v>28</v>
      </c>
      <c r="CH24" t="s">
        <v>15</v>
      </c>
      <c r="CI24">
        <v>60</v>
      </c>
      <c r="CK24">
        <v>18066</v>
      </c>
      <c r="CL24" t="s">
        <v>36</v>
      </c>
      <c r="CM24" t="s">
        <v>38</v>
      </c>
      <c r="CN24" s="4">
        <v>70000</v>
      </c>
      <c r="CO24">
        <v>5</v>
      </c>
      <c r="CP24" t="s">
        <v>28</v>
      </c>
      <c r="CQ24" t="s">
        <v>15</v>
      </c>
      <c r="CR24">
        <v>60</v>
      </c>
      <c r="CS24">
        <v>3</v>
      </c>
    </row>
    <row r="25" spans="1:97" x14ac:dyDescent="0.25">
      <c r="A25">
        <v>22730</v>
      </c>
      <c r="B25" t="s">
        <v>35</v>
      </c>
      <c r="C25" t="s">
        <v>38</v>
      </c>
      <c r="D25" s="11">
        <v>70000</v>
      </c>
      <c r="E25">
        <v>5</v>
      </c>
      <c r="F25" t="s">
        <v>13</v>
      </c>
      <c r="G25" t="s">
        <v>28</v>
      </c>
      <c r="H25" t="s">
        <v>15</v>
      </c>
      <c r="I25">
        <v>2</v>
      </c>
      <c r="J25" t="s">
        <v>42</v>
      </c>
      <c r="K25" t="s">
        <v>31</v>
      </c>
      <c r="L25">
        <v>63</v>
      </c>
      <c r="M25" t="str">
        <f t="shared" si="0"/>
        <v>Old</v>
      </c>
      <c r="N25" t="s">
        <v>18</v>
      </c>
      <c r="R25">
        <v>19626</v>
      </c>
      <c r="S25" t="s">
        <v>35</v>
      </c>
      <c r="T25" t="s">
        <v>38</v>
      </c>
      <c r="U25" s="4">
        <v>70000</v>
      </c>
      <c r="V25">
        <v>5</v>
      </c>
      <c r="W25" t="s">
        <v>19</v>
      </c>
      <c r="X25" t="s">
        <v>14</v>
      </c>
      <c r="Y25" t="s">
        <v>15</v>
      </c>
      <c r="Z25">
        <v>3</v>
      </c>
      <c r="AA25" t="s">
        <v>23</v>
      </c>
      <c r="AB25" t="s">
        <v>24</v>
      </c>
      <c r="AC25">
        <v>45</v>
      </c>
      <c r="AD25" t="s">
        <v>44</v>
      </c>
      <c r="AG25">
        <v>14608</v>
      </c>
      <c r="AH25" t="s">
        <v>38</v>
      </c>
      <c r="AI25" s="4">
        <v>50000</v>
      </c>
      <c r="AJ25">
        <v>4</v>
      </c>
      <c r="AK25" t="s">
        <v>13</v>
      </c>
      <c r="AL25" t="s">
        <v>15</v>
      </c>
      <c r="AM25">
        <v>42</v>
      </c>
      <c r="AN25" t="s">
        <v>44</v>
      </c>
      <c r="BL25">
        <v>18711</v>
      </c>
      <c r="BM25" t="s">
        <v>36</v>
      </c>
      <c r="BN25" t="s">
        <v>37</v>
      </c>
      <c r="BO25" s="4">
        <v>70000</v>
      </c>
      <c r="BP25" s="4">
        <v>70000</v>
      </c>
      <c r="BQ25">
        <v>5</v>
      </c>
      <c r="BR25" t="s">
        <v>21</v>
      </c>
      <c r="BS25" t="s">
        <v>15</v>
      </c>
      <c r="BT25">
        <v>39</v>
      </c>
      <c r="CB25">
        <v>16154</v>
      </c>
      <c r="CC25" t="s">
        <v>35</v>
      </c>
      <c r="CD25" t="s">
        <v>37</v>
      </c>
      <c r="CE25" s="4">
        <v>70000</v>
      </c>
      <c r="CF25">
        <v>5</v>
      </c>
      <c r="CG25" t="s">
        <v>21</v>
      </c>
      <c r="CH25" t="s">
        <v>15</v>
      </c>
      <c r="CI25">
        <v>47</v>
      </c>
      <c r="CK25">
        <v>16154</v>
      </c>
      <c r="CL25" t="s">
        <v>35</v>
      </c>
      <c r="CM25" t="s">
        <v>37</v>
      </c>
      <c r="CN25" s="4">
        <v>70000</v>
      </c>
      <c r="CO25">
        <v>5</v>
      </c>
      <c r="CP25" t="s">
        <v>21</v>
      </c>
      <c r="CQ25" t="s">
        <v>15</v>
      </c>
      <c r="CR25">
        <v>47</v>
      </c>
      <c r="CS25">
        <v>2</v>
      </c>
    </row>
    <row r="26" spans="1:97" x14ac:dyDescent="0.25">
      <c r="A26">
        <v>22006</v>
      </c>
      <c r="B26" t="s">
        <v>35</v>
      </c>
      <c r="C26" t="s">
        <v>38</v>
      </c>
      <c r="D26" s="11">
        <v>70000</v>
      </c>
      <c r="E26">
        <v>5</v>
      </c>
      <c r="F26" t="s">
        <v>19</v>
      </c>
      <c r="G26" t="s">
        <v>14</v>
      </c>
      <c r="H26" t="s">
        <v>15</v>
      </c>
      <c r="I26">
        <v>3</v>
      </c>
      <c r="J26" t="s">
        <v>23</v>
      </c>
      <c r="K26" t="s">
        <v>24</v>
      </c>
      <c r="L26">
        <v>46</v>
      </c>
      <c r="M26" t="str">
        <f t="shared" si="0"/>
        <v>MIddleAge</v>
      </c>
      <c r="N26" t="s">
        <v>18</v>
      </c>
      <c r="O26" t="s">
        <v>49</v>
      </c>
      <c r="R26">
        <v>19618</v>
      </c>
      <c r="S26" t="s">
        <v>35</v>
      </c>
      <c r="T26" t="s">
        <v>38</v>
      </c>
      <c r="U26" s="4">
        <v>70000</v>
      </c>
      <c r="V26">
        <v>5</v>
      </c>
      <c r="W26" t="s">
        <v>19</v>
      </c>
      <c r="X26" t="s">
        <v>14</v>
      </c>
      <c r="Y26" t="s">
        <v>15</v>
      </c>
      <c r="Z26">
        <v>2</v>
      </c>
      <c r="AA26" t="s">
        <v>16</v>
      </c>
      <c r="AB26" t="s">
        <v>24</v>
      </c>
      <c r="AC26">
        <v>44</v>
      </c>
      <c r="AD26" t="s">
        <v>44</v>
      </c>
      <c r="AG26">
        <v>29133</v>
      </c>
      <c r="AH26" t="s">
        <v>37</v>
      </c>
      <c r="AI26" s="4">
        <v>60000</v>
      </c>
      <c r="AJ26">
        <v>4</v>
      </c>
      <c r="AK26" t="s">
        <v>13</v>
      </c>
      <c r="AL26" t="s">
        <v>18</v>
      </c>
      <c r="AM26">
        <v>42</v>
      </c>
      <c r="AN26" t="s">
        <v>44</v>
      </c>
      <c r="BL26">
        <v>18435</v>
      </c>
      <c r="BM26" t="s">
        <v>36</v>
      </c>
      <c r="BN26" t="s">
        <v>37</v>
      </c>
      <c r="BO26" s="4">
        <v>70000</v>
      </c>
      <c r="BP26" s="4">
        <v>70000</v>
      </c>
      <c r="BQ26">
        <v>5</v>
      </c>
      <c r="BR26" t="s">
        <v>28</v>
      </c>
      <c r="BS26" t="s">
        <v>15</v>
      </c>
      <c r="BT26">
        <v>67</v>
      </c>
      <c r="CB26">
        <v>16145</v>
      </c>
      <c r="CC26" t="s">
        <v>36</v>
      </c>
      <c r="CD26" t="s">
        <v>37</v>
      </c>
      <c r="CE26" s="4">
        <v>70000</v>
      </c>
      <c r="CF26">
        <v>5</v>
      </c>
      <c r="CG26" t="s">
        <v>21</v>
      </c>
      <c r="CH26" t="s">
        <v>15</v>
      </c>
      <c r="CI26">
        <v>46</v>
      </c>
      <c r="CK26">
        <v>16145</v>
      </c>
      <c r="CL26" t="s">
        <v>36</v>
      </c>
      <c r="CM26" t="s">
        <v>37</v>
      </c>
      <c r="CN26" s="4">
        <v>70000</v>
      </c>
      <c r="CO26">
        <v>5</v>
      </c>
      <c r="CP26" t="s">
        <v>21</v>
      </c>
      <c r="CQ26" t="s">
        <v>15</v>
      </c>
      <c r="CR26">
        <v>46</v>
      </c>
      <c r="CS26">
        <v>3</v>
      </c>
    </row>
    <row r="27" spans="1:97" x14ac:dyDescent="0.25">
      <c r="A27">
        <v>22005</v>
      </c>
      <c r="B27" t="s">
        <v>35</v>
      </c>
      <c r="C27" t="s">
        <v>37</v>
      </c>
      <c r="D27" s="11">
        <v>70000</v>
      </c>
      <c r="E27">
        <v>5</v>
      </c>
      <c r="F27" t="s">
        <v>19</v>
      </c>
      <c r="G27" t="s">
        <v>14</v>
      </c>
      <c r="H27" t="s">
        <v>18</v>
      </c>
      <c r="I27">
        <v>3</v>
      </c>
      <c r="J27" t="s">
        <v>23</v>
      </c>
      <c r="K27" t="s">
        <v>24</v>
      </c>
      <c r="L27">
        <v>46</v>
      </c>
      <c r="M27" t="str">
        <f t="shared" si="0"/>
        <v>MIddleAge</v>
      </c>
      <c r="N27" t="s">
        <v>18</v>
      </c>
      <c r="O27" t="s">
        <v>50</v>
      </c>
      <c r="R27">
        <v>18299</v>
      </c>
      <c r="S27" t="s">
        <v>35</v>
      </c>
      <c r="T27" t="s">
        <v>38</v>
      </c>
      <c r="U27" s="4">
        <v>70000</v>
      </c>
      <c r="V27">
        <v>5</v>
      </c>
      <c r="W27" t="s">
        <v>19</v>
      </c>
      <c r="X27" t="s">
        <v>14</v>
      </c>
      <c r="Y27" t="s">
        <v>15</v>
      </c>
      <c r="Z27">
        <v>2</v>
      </c>
      <c r="AA27" t="s">
        <v>23</v>
      </c>
      <c r="AB27" t="s">
        <v>24</v>
      </c>
      <c r="AC27">
        <v>44</v>
      </c>
      <c r="AD27" t="s">
        <v>44</v>
      </c>
      <c r="AG27">
        <v>26597</v>
      </c>
      <c r="AH27" t="s">
        <v>37</v>
      </c>
      <c r="AI27" s="4">
        <v>60000</v>
      </c>
      <c r="AJ27">
        <v>4</v>
      </c>
      <c r="AK27" t="s">
        <v>13</v>
      </c>
      <c r="AL27" t="s">
        <v>18</v>
      </c>
      <c r="AM27">
        <v>42</v>
      </c>
      <c r="AN27" t="s">
        <v>44</v>
      </c>
      <c r="BL27">
        <v>18299</v>
      </c>
      <c r="BM27" t="s">
        <v>35</v>
      </c>
      <c r="BN27" t="s">
        <v>38</v>
      </c>
      <c r="BO27" s="4">
        <v>70000</v>
      </c>
      <c r="BP27" s="4">
        <v>70000</v>
      </c>
      <c r="BQ27">
        <v>5</v>
      </c>
      <c r="BR27" t="s">
        <v>14</v>
      </c>
      <c r="BS27" t="s">
        <v>15</v>
      </c>
      <c r="BT27">
        <v>44</v>
      </c>
      <c r="CB27">
        <v>15879</v>
      </c>
      <c r="CC27" t="s">
        <v>35</v>
      </c>
      <c r="CD27" t="s">
        <v>38</v>
      </c>
      <c r="CE27" s="4">
        <v>70000</v>
      </c>
      <c r="CF27">
        <v>5</v>
      </c>
      <c r="CG27" t="s">
        <v>28</v>
      </c>
      <c r="CH27" t="s">
        <v>15</v>
      </c>
      <c r="CI27">
        <v>61</v>
      </c>
      <c r="CK27">
        <v>15879</v>
      </c>
      <c r="CL27" t="s">
        <v>35</v>
      </c>
      <c r="CM27" t="s">
        <v>38</v>
      </c>
      <c r="CN27" s="4">
        <v>70000</v>
      </c>
      <c r="CO27">
        <v>5</v>
      </c>
      <c r="CP27" t="s">
        <v>28</v>
      </c>
      <c r="CQ27" t="s">
        <v>15</v>
      </c>
      <c r="CR27">
        <v>61</v>
      </c>
      <c r="CS27">
        <v>2</v>
      </c>
    </row>
    <row r="28" spans="1:97" x14ac:dyDescent="0.25">
      <c r="A28">
        <v>19626</v>
      </c>
      <c r="B28" t="s">
        <v>35</v>
      </c>
      <c r="C28" t="s">
        <v>38</v>
      </c>
      <c r="D28" s="11">
        <v>70000</v>
      </c>
      <c r="E28">
        <v>5</v>
      </c>
      <c r="F28" t="s">
        <v>19</v>
      </c>
      <c r="G28" t="s">
        <v>14</v>
      </c>
      <c r="H28" t="s">
        <v>15</v>
      </c>
      <c r="I28">
        <v>3</v>
      </c>
      <c r="J28" t="s">
        <v>23</v>
      </c>
      <c r="K28" t="s">
        <v>24</v>
      </c>
      <c r="L28">
        <v>45</v>
      </c>
      <c r="M28" t="str">
        <f t="shared" si="0"/>
        <v>MIddleAge</v>
      </c>
      <c r="N28" t="s">
        <v>18</v>
      </c>
      <c r="R28">
        <v>18069</v>
      </c>
      <c r="S28" t="s">
        <v>35</v>
      </c>
      <c r="T28" t="s">
        <v>38</v>
      </c>
      <c r="U28" s="4">
        <v>70000</v>
      </c>
      <c r="V28">
        <v>5</v>
      </c>
      <c r="W28" t="s">
        <v>13</v>
      </c>
      <c r="X28" t="s">
        <v>28</v>
      </c>
      <c r="Y28" t="s">
        <v>15</v>
      </c>
      <c r="Z28">
        <v>4</v>
      </c>
      <c r="AA28" t="s">
        <v>42</v>
      </c>
      <c r="AB28" t="s">
        <v>31</v>
      </c>
      <c r="AC28">
        <v>60</v>
      </c>
      <c r="AD28" t="s">
        <v>45</v>
      </c>
      <c r="AG28">
        <v>25970</v>
      </c>
      <c r="AH28" t="s">
        <v>37</v>
      </c>
      <c r="AI28" s="4">
        <v>60000</v>
      </c>
      <c r="AJ28">
        <v>4</v>
      </c>
      <c r="AK28" t="s">
        <v>13</v>
      </c>
      <c r="AL28" t="s">
        <v>18</v>
      </c>
      <c r="AM28">
        <v>41</v>
      </c>
      <c r="AN28" t="s">
        <v>44</v>
      </c>
      <c r="BL28">
        <v>18069</v>
      </c>
      <c r="BM28" t="s">
        <v>35</v>
      </c>
      <c r="BN28" t="s">
        <v>38</v>
      </c>
      <c r="BO28" s="4">
        <v>70000</v>
      </c>
      <c r="BP28" s="4">
        <v>70000</v>
      </c>
      <c r="BQ28">
        <v>5</v>
      </c>
      <c r="BR28" t="s">
        <v>28</v>
      </c>
      <c r="BS28" t="s">
        <v>15</v>
      </c>
      <c r="BT28">
        <v>60</v>
      </c>
      <c r="CB28">
        <v>13382</v>
      </c>
      <c r="CC28" t="s">
        <v>35</v>
      </c>
      <c r="CD28" t="s">
        <v>38</v>
      </c>
      <c r="CE28" s="4">
        <v>70000</v>
      </c>
      <c r="CF28">
        <v>5</v>
      </c>
      <c r="CG28" t="s">
        <v>21</v>
      </c>
      <c r="CH28" t="s">
        <v>15</v>
      </c>
      <c r="CI28">
        <v>57</v>
      </c>
      <c r="CK28">
        <v>13382</v>
      </c>
      <c r="CL28" t="s">
        <v>35</v>
      </c>
      <c r="CM28" t="s">
        <v>38</v>
      </c>
      <c r="CN28" s="4">
        <v>70000</v>
      </c>
      <c r="CO28">
        <v>5</v>
      </c>
      <c r="CP28" t="s">
        <v>21</v>
      </c>
      <c r="CQ28" t="s">
        <v>15</v>
      </c>
      <c r="CR28">
        <v>57</v>
      </c>
      <c r="CS28">
        <v>2</v>
      </c>
    </row>
    <row r="29" spans="1:97" x14ac:dyDescent="0.25">
      <c r="A29">
        <v>19618</v>
      </c>
      <c r="B29" t="s">
        <v>35</v>
      </c>
      <c r="C29" t="s">
        <v>38</v>
      </c>
      <c r="D29" s="11">
        <v>70000</v>
      </c>
      <c r="E29">
        <v>5</v>
      </c>
      <c r="F29" t="s">
        <v>19</v>
      </c>
      <c r="G29" t="s">
        <v>14</v>
      </c>
      <c r="H29" t="s">
        <v>15</v>
      </c>
      <c r="I29">
        <v>2</v>
      </c>
      <c r="J29" t="s">
        <v>16</v>
      </c>
      <c r="K29" t="s">
        <v>24</v>
      </c>
      <c r="L29">
        <v>44</v>
      </c>
      <c r="M29" t="str">
        <f t="shared" si="0"/>
        <v>MIddleAge</v>
      </c>
      <c r="N29" t="s">
        <v>18</v>
      </c>
      <c r="O29">
        <f>SUMIFS(D2:D18, F2:F18, "High School", D2:D18, "&gt;20000")</f>
        <v>200000</v>
      </c>
      <c r="R29">
        <v>18066</v>
      </c>
      <c r="S29" t="s">
        <v>36</v>
      </c>
      <c r="T29" t="s">
        <v>38</v>
      </c>
      <c r="U29" s="4">
        <v>70000</v>
      </c>
      <c r="V29">
        <v>5</v>
      </c>
      <c r="W29" t="s">
        <v>13</v>
      </c>
      <c r="X29" t="s">
        <v>28</v>
      </c>
      <c r="Y29" t="s">
        <v>15</v>
      </c>
      <c r="Z29">
        <v>3</v>
      </c>
      <c r="AA29" t="s">
        <v>42</v>
      </c>
      <c r="AB29" t="s">
        <v>31</v>
      </c>
      <c r="AC29">
        <v>60</v>
      </c>
      <c r="AD29" t="s">
        <v>45</v>
      </c>
      <c r="AG29">
        <v>24322</v>
      </c>
      <c r="AH29" t="s">
        <v>37</v>
      </c>
      <c r="AI29" s="4">
        <v>60000</v>
      </c>
      <c r="AJ29">
        <v>4</v>
      </c>
      <c r="AK29" t="s">
        <v>13</v>
      </c>
      <c r="AL29" t="s">
        <v>18</v>
      </c>
      <c r="AM29">
        <v>42</v>
      </c>
      <c r="AN29" t="s">
        <v>44</v>
      </c>
      <c r="BL29">
        <v>18066</v>
      </c>
      <c r="BM29" t="s">
        <v>36</v>
      </c>
      <c r="BN29" t="s">
        <v>38</v>
      </c>
      <c r="BO29" s="4">
        <v>70000</v>
      </c>
      <c r="BP29" s="4">
        <v>70000</v>
      </c>
      <c r="BQ29">
        <v>5</v>
      </c>
      <c r="BR29" t="s">
        <v>28</v>
      </c>
      <c r="BS29" t="s">
        <v>15</v>
      </c>
      <c r="BT29">
        <v>60</v>
      </c>
      <c r="CB29">
        <v>11287</v>
      </c>
      <c r="CC29" t="s">
        <v>35</v>
      </c>
      <c r="CD29" t="s">
        <v>38</v>
      </c>
      <c r="CE29" s="4">
        <v>70000</v>
      </c>
      <c r="CF29">
        <v>5</v>
      </c>
      <c r="CG29" t="s">
        <v>21</v>
      </c>
      <c r="CH29" t="s">
        <v>18</v>
      </c>
      <c r="CI29">
        <v>45</v>
      </c>
      <c r="CK29">
        <v>11287</v>
      </c>
      <c r="CL29" t="s">
        <v>35</v>
      </c>
      <c r="CM29" t="s">
        <v>38</v>
      </c>
      <c r="CN29" s="4">
        <v>70000</v>
      </c>
      <c r="CO29">
        <v>5</v>
      </c>
      <c r="CP29" t="s">
        <v>21</v>
      </c>
      <c r="CQ29" t="s">
        <v>18</v>
      </c>
      <c r="CR29">
        <v>45</v>
      </c>
      <c r="CS29">
        <v>3</v>
      </c>
    </row>
    <row r="30" spans="1:97" x14ac:dyDescent="0.25">
      <c r="A30">
        <v>19543</v>
      </c>
      <c r="B30" t="s">
        <v>35</v>
      </c>
      <c r="C30" t="s">
        <v>38</v>
      </c>
      <c r="D30" s="11">
        <v>70000</v>
      </c>
      <c r="E30">
        <v>5</v>
      </c>
      <c r="F30" t="s">
        <v>30</v>
      </c>
      <c r="G30" t="s">
        <v>21</v>
      </c>
      <c r="H30" t="s">
        <v>18</v>
      </c>
      <c r="I30">
        <v>3</v>
      </c>
      <c r="J30" t="s">
        <v>42</v>
      </c>
      <c r="K30" t="s">
        <v>31</v>
      </c>
      <c r="L30">
        <v>47</v>
      </c>
      <c r="M30" t="str">
        <f t="shared" si="0"/>
        <v>MIddleAge</v>
      </c>
      <c r="N30" t="s">
        <v>18</v>
      </c>
      <c r="O30" t="s">
        <v>51</v>
      </c>
      <c r="R30">
        <v>15879</v>
      </c>
      <c r="S30" t="s">
        <v>35</v>
      </c>
      <c r="T30" t="s">
        <v>38</v>
      </c>
      <c r="U30" s="4">
        <v>70000</v>
      </c>
      <c r="V30">
        <v>5</v>
      </c>
      <c r="W30" t="s">
        <v>13</v>
      </c>
      <c r="X30" t="s">
        <v>28</v>
      </c>
      <c r="Y30" t="s">
        <v>15</v>
      </c>
      <c r="Z30">
        <v>2</v>
      </c>
      <c r="AA30" t="s">
        <v>22</v>
      </c>
      <c r="AB30" t="s">
        <v>31</v>
      </c>
      <c r="AC30">
        <v>61</v>
      </c>
      <c r="AD30" t="s">
        <v>45</v>
      </c>
      <c r="AG30">
        <v>21770</v>
      </c>
      <c r="AH30" t="s">
        <v>38</v>
      </c>
      <c r="AI30" s="4">
        <v>60000</v>
      </c>
      <c r="AJ30">
        <v>4</v>
      </c>
      <c r="AK30" t="s">
        <v>13</v>
      </c>
      <c r="AL30" t="s">
        <v>15</v>
      </c>
      <c r="AM30">
        <v>60</v>
      </c>
      <c r="AN30" t="s">
        <v>45</v>
      </c>
      <c r="BL30">
        <v>16154</v>
      </c>
      <c r="BM30" t="s">
        <v>35</v>
      </c>
      <c r="BN30" t="s">
        <v>37</v>
      </c>
      <c r="BO30" s="4">
        <v>70000</v>
      </c>
      <c r="BP30" s="4">
        <v>70000</v>
      </c>
      <c r="BQ30">
        <v>5</v>
      </c>
      <c r="BR30" t="s">
        <v>21</v>
      </c>
      <c r="BS30" t="s">
        <v>15</v>
      </c>
      <c r="BT30">
        <v>47</v>
      </c>
      <c r="CB30">
        <v>11116</v>
      </c>
      <c r="CC30" t="s">
        <v>35</v>
      </c>
      <c r="CD30" t="s">
        <v>38</v>
      </c>
      <c r="CE30" s="4">
        <v>70000</v>
      </c>
      <c r="CF30">
        <v>5</v>
      </c>
      <c r="CG30" t="s">
        <v>14</v>
      </c>
      <c r="CH30" t="s">
        <v>15</v>
      </c>
      <c r="CI30">
        <v>43</v>
      </c>
      <c r="CK30">
        <v>11116</v>
      </c>
      <c r="CL30" t="s">
        <v>35</v>
      </c>
      <c r="CM30" t="s">
        <v>38</v>
      </c>
      <c r="CN30" s="4">
        <v>70000</v>
      </c>
      <c r="CO30">
        <v>5</v>
      </c>
      <c r="CP30" t="s">
        <v>14</v>
      </c>
      <c r="CQ30" t="s">
        <v>15</v>
      </c>
      <c r="CR30">
        <v>43</v>
      </c>
      <c r="CS30">
        <v>2</v>
      </c>
    </row>
    <row r="31" spans="1:97" x14ac:dyDescent="0.25">
      <c r="A31">
        <v>18711</v>
      </c>
      <c r="B31" t="s">
        <v>36</v>
      </c>
      <c r="C31" t="s">
        <v>37</v>
      </c>
      <c r="D31" s="11">
        <v>70000</v>
      </c>
      <c r="E31">
        <v>5</v>
      </c>
      <c r="F31" t="s">
        <v>13</v>
      </c>
      <c r="G31" t="s">
        <v>21</v>
      </c>
      <c r="H31" t="s">
        <v>15</v>
      </c>
      <c r="I31">
        <v>4</v>
      </c>
      <c r="J31" t="s">
        <v>42</v>
      </c>
      <c r="K31" t="s">
        <v>24</v>
      </c>
      <c r="L31">
        <v>39</v>
      </c>
      <c r="M31" t="str">
        <f t="shared" si="0"/>
        <v>MIddleAge</v>
      </c>
      <c r="N31" t="s">
        <v>18</v>
      </c>
      <c r="O31" t="s">
        <v>52</v>
      </c>
      <c r="R31">
        <v>13382</v>
      </c>
      <c r="S31" t="s">
        <v>35</v>
      </c>
      <c r="T31" t="s">
        <v>38</v>
      </c>
      <c r="U31" s="4">
        <v>70000</v>
      </c>
      <c r="V31">
        <v>5</v>
      </c>
      <c r="W31" t="s">
        <v>19</v>
      </c>
      <c r="X31" t="s">
        <v>21</v>
      </c>
      <c r="Y31" t="s">
        <v>15</v>
      </c>
      <c r="Z31">
        <v>2</v>
      </c>
      <c r="AA31" t="s">
        <v>26</v>
      </c>
      <c r="AB31" t="s">
        <v>31</v>
      </c>
      <c r="AC31">
        <v>57</v>
      </c>
      <c r="AD31" t="s">
        <v>45</v>
      </c>
      <c r="AG31">
        <v>20698</v>
      </c>
      <c r="AH31" t="s">
        <v>38</v>
      </c>
      <c r="AI31" s="4">
        <v>60000</v>
      </c>
      <c r="AJ31">
        <v>4</v>
      </c>
      <c r="AK31" t="s">
        <v>13</v>
      </c>
      <c r="AL31" t="s">
        <v>15</v>
      </c>
      <c r="AM31">
        <v>42</v>
      </c>
      <c r="AN31" t="s">
        <v>44</v>
      </c>
      <c r="BL31">
        <v>16145</v>
      </c>
      <c r="BM31" t="s">
        <v>36</v>
      </c>
      <c r="BN31" t="s">
        <v>37</v>
      </c>
      <c r="BO31" s="4">
        <v>70000</v>
      </c>
      <c r="BP31" s="4">
        <v>70000</v>
      </c>
      <c r="BQ31">
        <v>5</v>
      </c>
      <c r="BR31" t="s">
        <v>21</v>
      </c>
      <c r="BS31" t="s">
        <v>15</v>
      </c>
      <c r="BT31">
        <v>46</v>
      </c>
      <c r="CB31">
        <v>28915</v>
      </c>
      <c r="CC31" t="s">
        <v>36</v>
      </c>
      <c r="CD31" t="s">
        <v>38</v>
      </c>
      <c r="CE31" s="4">
        <v>80000</v>
      </c>
      <c r="CF31">
        <v>5</v>
      </c>
      <c r="CG31" t="s">
        <v>28</v>
      </c>
      <c r="CH31" t="s">
        <v>15</v>
      </c>
      <c r="CI31">
        <v>57</v>
      </c>
      <c r="CK31">
        <v>28915</v>
      </c>
      <c r="CL31" t="s">
        <v>36</v>
      </c>
      <c r="CM31" t="s">
        <v>38</v>
      </c>
      <c r="CN31" s="4">
        <v>80000</v>
      </c>
      <c r="CO31">
        <v>5</v>
      </c>
      <c r="CP31" t="s">
        <v>28</v>
      </c>
      <c r="CQ31" t="s">
        <v>15</v>
      </c>
      <c r="CR31">
        <v>57</v>
      </c>
      <c r="CS31">
        <v>3</v>
      </c>
    </row>
    <row r="32" spans="1:97" x14ac:dyDescent="0.25">
      <c r="A32">
        <v>18435</v>
      </c>
      <c r="B32" t="s">
        <v>36</v>
      </c>
      <c r="C32" t="s">
        <v>37</v>
      </c>
      <c r="D32" s="11">
        <v>70000</v>
      </c>
      <c r="E32">
        <v>5</v>
      </c>
      <c r="F32" t="s">
        <v>30</v>
      </c>
      <c r="G32" t="s">
        <v>28</v>
      </c>
      <c r="H32" t="s">
        <v>15</v>
      </c>
      <c r="I32">
        <v>2</v>
      </c>
      <c r="J32" t="s">
        <v>42</v>
      </c>
      <c r="K32" t="s">
        <v>31</v>
      </c>
      <c r="L32">
        <v>67</v>
      </c>
      <c r="M32" t="str">
        <f t="shared" si="0"/>
        <v>Old</v>
      </c>
      <c r="N32" t="s">
        <v>15</v>
      </c>
      <c r="O32">
        <f>COUNTIF(F2:F18, "High School")</f>
        <v>8</v>
      </c>
      <c r="R32">
        <v>11116</v>
      </c>
      <c r="S32" t="s">
        <v>35</v>
      </c>
      <c r="T32" t="s">
        <v>38</v>
      </c>
      <c r="U32" s="4">
        <v>70000</v>
      </c>
      <c r="V32">
        <v>5</v>
      </c>
      <c r="W32" t="s">
        <v>19</v>
      </c>
      <c r="X32" t="s">
        <v>14</v>
      </c>
      <c r="Y32" t="s">
        <v>15</v>
      </c>
      <c r="Z32">
        <v>2</v>
      </c>
      <c r="AA32" t="s">
        <v>23</v>
      </c>
      <c r="AB32" t="s">
        <v>24</v>
      </c>
      <c r="AC32">
        <v>43</v>
      </c>
      <c r="AD32" t="s">
        <v>44</v>
      </c>
      <c r="AG32">
        <v>16185</v>
      </c>
      <c r="AH32" t="s">
        <v>38</v>
      </c>
      <c r="AI32" s="4">
        <v>60000</v>
      </c>
      <c r="AJ32">
        <v>4</v>
      </c>
      <c r="AK32" t="s">
        <v>13</v>
      </c>
      <c r="AL32" t="s">
        <v>15</v>
      </c>
      <c r="AM32">
        <v>41</v>
      </c>
      <c r="AN32" t="s">
        <v>44</v>
      </c>
      <c r="BL32">
        <v>15879</v>
      </c>
      <c r="BM32" t="s">
        <v>35</v>
      </c>
      <c r="BN32" t="s">
        <v>38</v>
      </c>
      <c r="BO32" s="4">
        <v>70000</v>
      </c>
      <c r="BP32" s="4">
        <v>70000</v>
      </c>
      <c r="BQ32">
        <v>5</v>
      </c>
      <c r="BR32" t="s">
        <v>28</v>
      </c>
      <c r="BS32" t="s">
        <v>15</v>
      </c>
      <c r="BT32">
        <v>61</v>
      </c>
      <c r="CB32">
        <v>26412</v>
      </c>
      <c r="CC32" t="s">
        <v>35</v>
      </c>
      <c r="CD32" t="s">
        <v>37</v>
      </c>
      <c r="CE32" s="4">
        <v>80000</v>
      </c>
      <c r="CF32">
        <v>5</v>
      </c>
      <c r="CG32" t="s">
        <v>28</v>
      </c>
      <c r="CH32" t="s">
        <v>18</v>
      </c>
      <c r="CI32">
        <v>56</v>
      </c>
      <c r="CK32">
        <v>26412</v>
      </c>
      <c r="CL32" t="s">
        <v>35</v>
      </c>
      <c r="CM32" t="s">
        <v>37</v>
      </c>
      <c r="CN32" s="4">
        <v>80000</v>
      </c>
      <c r="CO32">
        <v>5</v>
      </c>
      <c r="CP32" t="s">
        <v>28</v>
      </c>
      <c r="CQ32" t="s">
        <v>18</v>
      </c>
      <c r="CR32">
        <v>56</v>
      </c>
      <c r="CS32">
        <v>3</v>
      </c>
    </row>
    <row r="33" spans="1:97" x14ac:dyDescent="0.25">
      <c r="A33">
        <v>18299</v>
      </c>
      <c r="B33" t="s">
        <v>35</v>
      </c>
      <c r="C33" t="s">
        <v>38</v>
      </c>
      <c r="D33" s="11">
        <v>70000</v>
      </c>
      <c r="E33">
        <v>5</v>
      </c>
      <c r="F33" t="s">
        <v>19</v>
      </c>
      <c r="G33" t="s">
        <v>14</v>
      </c>
      <c r="H33" t="s">
        <v>15</v>
      </c>
      <c r="I33">
        <v>2</v>
      </c>
      <c r="J33" t="s">
        <v>23</v>
      </c>
      <c r="K33" t="s">
        <v>24</v>
      </c>
      <c r="L33">
        <v>44</v>
      </c>
      <c r="M33" t="str">
        <f t="shared" si="0"/>
        <v>MIddleAge</v>
      </c>
      <c r="N33" t="s">
        <v>18</v>
      </c>
      <c r="O33">
        <f>COUNTIFS(F2:F18, "High School", D2:D18, "&gt;30000")</f>
        <v>5</v>
      </c>
      <c r="R33">
        <v>29301</v>
      </c>
      <c r="S33" t="s">
        <v>35</v>
      </c>
      <c r="T33" t="s">
        <v>38</v>
      </c>
      <c r="U33" s="4">
        <v>80000</v>
      </c>
      <c r="V33">
        <v>5</v>
      </c>
      <c r="W33" t="s">
        <v>13</v>
      </c>
      <c r="X33" t="s">
        <v>21</v>
      </c>
      <c r="Y33" t="s">
        <v>15</v>
      </c>
      <c r="Z33">
        <v>4</v>
      </c>
      <c r="AA33" t="s">
        <v>26</v>
      </c>
      <c r="AB33" t="s">
        <v>24</v>
      </c>
      <c r="AC33">
        <v>40</v>
      </c>
      <c r="AD33" t="s">
        <v>44</v>
      </c>
      <c r="AG33">
        <v>15532</v>
      </c>
      <c r="AH33" t="s">
        <v>38</v>
      </c>
      <c r="AI33" s="4">
        <v>60000</v>
      </c>
      <c r="AJ33">
        <v>4</v>
      </c>
      <c r="AK33" t="s">
        <v>13</v>
      </c>
      <c r="AL33" t="s">
        <v>15</v>
      </c>
      <c r="AM33">
        <v>43</v>
      </c>
      <c r="AN33" t="s">
        <v>44</v>
      </c>
      <c r="BL33">
        <v>13382</v>
      </c>
      <c r="BM33" t="s">
        <v>35</v>
      </c>
      <c r="BN33" t="s">
        <v>38</v>
      </c>
      <c r="BO33" s="4">
        <v>70000</v>
      </c>
      <c r="BP33" s="4">
        <v>70000</v>
      </c>
      <c r="BQ33">
        <v>5</v>
      </c>
      <c r="BR33" t="s">
        <v>21</v>
      </c>
      <c r="BS33" t="s">
        <v>15</v>
      </c>
      <c r="BT33">
        <v>57</v>
      </c>
      <c r="CB33">
        <v>24369</v>
      </c>
      <c r="CC33" t="s">
        <v>35</v>
      </c>
      <c r="CD33" t="s">
        <v>38</v>
      </c>
      <c r="CE33" s="4">
        <v>80000</v>
      </c>
      <c r="CF33">
        <v>5</v>
      </c>
      <c r="CG33" t="s">
        <v>28</v>
      </c>
      <c r="CH33" t="s">
        <v>18</v>
      </c>
      <c r="CI33">
        <v>39</v>
      </c>
      <c r="CK33">
        <v>24369</v>
      </c>
      <c r="CL33" t="s">
        <v>35</v>
      </c>
      <c r="CM33" t="s">
        <v>38</v>
      </c>
      <c r="CN33" s="4">
        <v>80000</v>
      </c>
      <c r="CO33">
        <v>5</v>
      </c>
      <c r="CP33" t="s">
        <v>28</v>
      </c>
      <c r="CQ33" t="s">
        <v>18</v>
      </c>
      <c r="CR33">
        <v>39</v>
      </c>
      <c r="CS33">
        <v>2</v>
      </c>
    </row>
    <row r="34" spans="1:97" x14ac:dyDescent="0.25">
      <c r="A34">
        <v>18069</v>
      </c>
      <c r="B34" t="s">
        <v>35</v>
      </c>
      <c r="C34" t="s">
        <v>38</v>
      </c>
      <c r="D34" s="11">
        <v>70000</v>
      </c>
      <c r="E34">
        <v>5</v>
      </c>
      <c r="F34" t="s">
        <v>13</v>
      </c>
      <c r="G34" t="s">
        <v>28</v>
      </c>
      <c r="H34" t="s">
        <v>15</v>
      </c>
      <c r="I34">
        <v>4</v>
      </c>
      <c r="J34" t="s">
        <v>42</v>
      </c>
      <c r="K34" t="s">
        <v>31</v>
      </c>
      <c r="L34">
        <v>60</v>
      </c>
      <c r="M34" t="str">
        <f t="shared" si="0"/>
        <v>Old</v>
      </c>
      <c r="N34" t="s">
        <v>18</v>
      </c>
      <c r="R34">
        <v>28915</v>
      </c>
      <c r="S34" t="s">
        <v>36</v>
      </c>
      <c r="T34" t="s">
        <v>38</v>
      </c>
      <c r="U34" s="4">
        <v>80000</v>
      </c>
      <c r="V34">
        <v>5</v>
      </c>
      <c r="W34" t="s">
        <v>27</v>
      </c>
      <c r="X34" t="s">
        <v>28</v>
      </c>
      <c r="Y34" t="s">
        <v>15</v>
      </c>
      <c r="Z34">
        <v>3</v>
      </c>
      <c r="AA34" t="s">
        <v>42</v>
      </c>
      <c r="AB34" t="s">
        <v>17</v>
      </c>
      <c r="AC34">
        <v>57</v>
      </c>
      <c r="AD34" t="s">
        <v>45</v>
      </c>
      <c r="AG34">
        <v>15529</v>
      </c>
      <c r="AH34" t="s">
        <v>38</v>
      </c>
      <c r="AI34" s="4">
        <v>60000</v>
      </c>
      <c r="AJ34">
        <v>4</v>
      </c>
      <c r="AK34" t="s">
        <v>13</v>
      </c>
      <c r="AL34" t="s">
        <v>15</v>
      </c>
      <c r="AM34">
        <v>43</v>
      </c>
      <c r="AN34" t="s">
        <v>44</v>
      </c>
      <c r="BL34">
        <v>11890</v>
      </c>
      <c r="BM34" t="s">
        <v>35</v>
      </c>
      <c r="BN34" t="s">
        <v>37</v>
      </c>
      <c r="BO34" s="4">
        <v>70000</v>
      </c>
      <c r="BP34" s="4">
        <v>70000</v>
      </c>
      <c r="BQ34">
        <v>5</v>
      </c>
      <c r="BR34" t="s">
        <v>21</v>
      </c>
      <c r="BS34" t="s">
        <v>15</v>
      </c>
      <c r="BT34">
        <v>47</v>
      </c>
      <c r="CB34">
        <v>23426</v>
      </c>
      <c r="CC34" t="s">
        <v>36</v>
      </c>
      <c r="CD34" t="s">
        <v>38</v>
      </c>
      <c r="CE34" s="4">
        <v>80000</v>
      </c>
      <c r="CF34">
        <v>5</v>
      </c>
      <c r="CG34" t="s">
        <v>28</v>
      </c>
      <c r="CH34" t="s">
        <v>15</v>
      </c>
      <c r="CI34">
        <v>40</v>
      </c>
      <c r="CK34">
        <v>23426</v>
      </c>
      <c r="CL34" t="s">
        <v>36</v>
      </c>
      <c r="CM34" t="s">
        <v>38</v>
      </c>
      <c r="CN34" s="4">
        <v>80000</v>
      </c>
      <c r="CO34">
        <v>5</v>
      </c>
      <c r="CP34" t="s">
        <v>28</v>
      </c>
      <c r="CQ34" t="s">
        <v>15</v>
      </c>
      <c r="CR34">
        <v>40</v>
      </c>
      <c r="CS34">
        <v>3</v>
      </c>
    </row>
    <row r="35" spans="1:97" x14ac:dyDescent="0.25">
      <c r="A35">
        <v>18066</v>
      </c>
      <c r="B35" t="s">
        <v>36</v>
      </c>
      <c r="C35" t="s">
        <v>38</v>
      </c>
      <c r="D35" s="11">
        <v>70000</v>
      </c>
      <c r="E35">
        <v>5</v>
      </c>
      <c r="F35" t="s">
        <v>13</v>
      </c>
      <c r="G35" t="s">
        <v>28</v>
      </c>
      <c r="H35" t="s">
        <v>15</v>
      </c>
      <c r="I35">
        <v>3</v>
      </c>
      <c r="J35" t="s">
        <v>42</v>
      </c>
      <c r="K35" t="s">
        <v>31</v>
      </c>
      <c r="L35">
        <v>60</v>
      </c>
      <c r="M35" t="str">
        <f t="shared" si="0"/>
        <v>Old</v>
      </c>
      <c r="N35" t="s">
        <v>15</v>
      </c>
      <c r="R35">
        <v>26412</v>
      </c>
      <c r="S35" t="s">
        <v>35</v>
      </c>
      <c r="T35" t="s">
        <v>37</v>
      </c>
      <c r="U35" s="4">
        <v>80000</v>
      </c>
      <c r="V35">
        <v>5</v>
      </c>
      <c r="W35" t="s">
        <v>27</v>
      </c>
      <c r="X35" t="s">
        <v>28</v>
      </c>
      <c r="Y35" t="s">
        <v>18</v>
      </c>
      <c r="Z35">
        <v>3</v>
      </c>
      <c r="AA35" t="s">
        <v>23</v>
      </c>
      <c r="AB35" t="s">
        <v>17</v>
      </c>
      <c r="AC35">
        <v>56</v>
      </c>
      <c r="AD35" t="s">
        <v>45</v>
      </c>
      <c r="AG35">
        <v>15313</v>
      </c>
      <c r="AH35" t="s">
        <v>38</v>
      </c>
      <c r="AI35" s="4">
        <v>60000</v>
      </c>
      <c r="AJ35">
        <v>4</v>
      </c>
      <c r="AK35" t="s">
        <v>13</v>
      </c>
      <c r="AL35" t="s">
        <v>15</v>
      </c>
      <c r="AM35">
        <v>59</v>
      </c>
      <c r="AN35" t="s">
        <v>45</v>
      </c>
      <c r="BL35">
        <v>11287</v>
      </c>
      <c r="BM35" t="s">
        <v>35</v>
      </c>
      <c r="BN35" t="s">
        <v>38</v>
      </c>
      <c r="BO35" s="4">
        <v>70000</v>
      </c>
      <c r="BP35" s="4">
        <v>70000</v>
      </c>
      <c r="BQ35">
        <v>5</v>
      </c>
      <c r="BR35" t="s">
        <v>21</v>
      </c>
      <c r="BS35" t="s">
        <v>18</v>
      </c>
      <c r="BT35">
        <v>45</v>
      </c>
      <c r="CB35">
        <v>22918</v>
      </c>
      <c r="CC35" t="s">
        <v>36</v>
      </c>
      <c r="CD35" t="s">
        <v>38</v>
      </c>
      <c r="CE35" s="4">
        <v>80000</v>
      </c>
      <c r="CF35">
        <v>5</v>
      </c>
      <c r="CG35" t="s">
        <v>28</v>
      </c>
      <c r="CH35" t="s">
        <v>15</v>
      </c>
      <c r="CI35">
        <v>50</v>
      </c>
      <c r="CK35">
        <v>22918</v>
      </c>
      <c r="CL35" t="s">
        <v>36</v>
      </c>
      <c r="CM35" t="s">
        <v>38</v>
      </c>
      <c r="CN35" s="4">
        <v>80000</v>
      </c>
      <c r="CO35">
        <v>5</v>
      </c>
      <c r="CP35" t="s">
        <v>28</v>
      </c>
      <c r="CQ35" t="s">
        <v>15</v>
      </c>
      <c r="CR35">
        <v>50</v>
      </c>
      <c r="CS35">
        <v>3</v>
      </c>
    </row>
    <row r="36" spans="1:97" x14ac:dyDescent="0.25">
      <c r="A36">
        <v>16154</v>
      </c>
      <c r="B36" t="s">
        <v>35</v>
      </c>
      <c r="C36" t="s">
        <v>37</v>
      </c>
      <c r="D36" s="11">
        <v>70000</v>
      </c>
      <c r="E36">
        <v>5</v>
      </c>
      <c r="F36" t="s">
        <v>13</v>
      </c>
      <c r="G36" t="s">
        <v>21</v>
      </c>
      <c r="H36" t="s">
        <v>15</v>
      </c>
      <c r="I36">
        <v>2</v>
      </c>
      <c r="J36" t="s">
        <v>22</v>
      </c>
      <c r="K36" t="s">
        <v>31</v>
      </c>
      <c r="L36">
        <v>47</v>
      </c>
      <c r="M36" t="str">
        <f t="shared" si="0"/>
        <v>MIddleAge</v>
      </c>
      <c r="N36" t="s">
        <v>18</v>
      </c>
      <c r="R36">
        <v>23426</v>
      </c>
      <c r="S36" t="s">
        <v>36</v>
      </c>
      <c r="T36" t="s">
        <v>38</v>
      </c>
      <c r="U36" s="4">
        <v>80000</v>
      </c>
      <c r="V36">
        <v>5</v>
      </c>
      <c r="W36" t="s">
        <v>30</v>
      </c>
      <c r="X36" t="s">
        <v>28</v>
      </c>
      <c r="Y36" t="s">
        <v>15</v>
      </c>
      <c r="Z36">
        <v>3</v>
      </c>
      <c r="AA36" t="s">
        <v>16</v>
      </c>
      <c r="AB36" t="s">
        <v>24</v>
      </c>
      <c r="AC36">
        <v>40</v>
      </c>
      <c r="AD36" t="s">
        <v>44</v>
      </c>
      <c r="AG36">
        <v>11738</v>
      </c>
      <c r="AH36" t="s">
        <v>38</v>
      </c>
      <c r="AI36" s="4">
        <v>60000</v>
      </c>
      <c r="AJ36">
        <v>4</v>
      </c>
      <c r="AK36" t="s">
        <v>13</v>
      </c>
      <c r="AL36" t="s">
        <v>15</v>
      </c>
      <c r="AM36">
        <v>46</v>
      </c>
      <c r="AN36" t="s">
        <v>44</v>
      </c>
      <c r="BL36">
        <v>11116</v>
      </c>
      <c r="BM36" t="s">
        <v>35</v>
      </c>
      <c r="BN36" t="s">
        <v>38</v>
      </c>
      <c r="BO36" s="4">
        <v>70000</v>
      </c>
      <c r="BP36" s="4">
        <v>70000</v>
      </c>
      <c r="BQ36">
        <v>5</v>
      </c>
      <c r="BR36" t="s">
        <v>14</v>
      </c>
      <c r="BS36" t="s">
        <v>15</v>
      </c>
      <c r="BT36">
        <v>43</v>
      </c>
      <c r="CB36">
        <v>19914</v>
      </c>
      <c r="CC36" t="s">
        <v>35</v>
      </c>
      <c r="CD36" t="s">
        <v>38</v>
      </c>
      <c r="CE36" s="4">
        <v>80000</v>
      </c>
      <c r="CF36">
        <v>5</v>
      </c>
      <c r="CG36" t="s">
        <v>28</v>
      </c>
      <c r="CH36" t="s">
        <v>15</v>
      </c>
      <c r="CI36">
        <v>62</v>
      </c>
      <c r="CK36">
        <v>19914</v>
      </c>
      <c r="CL36" t="s">
        <v>35</v>
      </c>
      <c r="CM36" t="s">
        <v>38</v>
      </c>
      <c r="CN36" s="4">
        <v>80000</v>
      </c>
      <c r="CO36">
        <v>5</v>
      </c>
      <c r="CP36" t="s">
        <v>28</v>
      </c>
      <c r="CQ36" t="s">
        <v>15</v>
      </c>
      <c r="CR36">
        <v>62</v>
      </c>
      <c r="CS36">
        <v>2</v>
      </c>
    </row>
    <row r="37" spans="1:97" x14ac:dyDescent="0.25">
      <c r="A37">
        <v>16145</v>
      </c>
      <c r="B37" t="s">
        <v>36</v>
      </c>
      <c r="C37" t="s">
        <v>37</v>
      </c>
      <c r="D37" s="11">
        <v>70000</v>
      </c>
      <c r="E37">
        <v>5</v>
      </c>
      <c r="F37" t="s">
        <v>30</v>
      </c>
      <c r="G37" t="s">
        <v>21</v>
      </c>
      <c r="H37" t="s">
        <v>15</v>
      </c>
      <c r="I37">
        <v>3</v>
      </c>
      <c r="J37" t="s">
        <v>42</v>
      </c>
      <c r="K37" t="s">
        <v>31</v>
      </c>
      <c r="L37">
        <v>46</v>
      </c>
      <c r="M37" t="str">
        <f t="shared" si="0"/>
        <v>MIddleAge</v>
      </c>
      <c r="N37" t="s">
        <v>15</v>
      </c>
      <c r="R37">
        <v>22918</v>
      </c>
      <c r="S37" t="s">
        <v>36</v>
      </c>
      <c r="T37" t="s">
        <v>38</v>
      </c>
      <c r="U37" s="4">
        <v>80000</v>
      </c>
      <c r="V37">
        <v>5</v>
      </c>
      <c r="W37" t="s">
        <v>30</v>
      </c>
      <c r="X37" t="s">
        <v>28</v>
      </c>
      <c r="Y37" t="s">
        <v>15</v>
      </c>
      <c r="Z37">
        <v>3</v>
      </c>
      <c r="AA37" t="s">
        <v>16</v>
      </c>
      <c r="AB37" t="s">
        <v>24</v>
      </c>
      <c r="AC37">
        <v>50</v>
      </c>
      <c r="AD37" t="s">
        <v>44</v>
      </c>
      <c r="AG37">
        <v>16112</v>
      </c>
      <c r="AH37" t="s">
        <v>38</v>
      </c>
      <c r="AI37" s="4">
        <v>70000</v>
      </c>
      <c r="AJ37">
        <v>4</v>
      </c>
      <c r="AK37" t="s">
        <v>13</v>
      </c>
      <c r="AL37" t="s">
        <v>15</v>
      </c>
      <c r="AM37">
        <v>43</v>
      </c>
      <c r="AN37" t="s">
        <v>44</v>
      </c>
      <c r="BL37">
        <v>29301</v>
      </c>
      <c r="BM37" t="s">
        <v>35</v>
      </c>
      <c r="BN37" t="s">
        <v>38</v>
      </c>
      <c r="BO37" s="4">
        <v>80000</v>
      </c>
      <c r="BP37" s="4">
        <v>80000</v>
      </c>
      <c r="BQ37">
        <v>5</v>
      </c>
      <c r="BR37" t="s">
        <v>21</v>
      </c>
      <c r="BS37" t="s">
        <v>15</v>
      </c>
      <c r="BT37">
        <v>40</v>
      </c>
      <c r="CB37">
        <v>18391</v>
      </c>
      <c r="CC37" t="s">
        <v>36</v>
      </c>
      <c r="CD37" t="s">
        <v>37</v>
      </c>
      <c r="CE37" s="4">
        <v>80000</v>
      </c>
      <c r="CF37">
        <v>5</v>
      </c>
      <c r="CG37" t="s">
        <v>21</v>
      </c>
      <c r="CH37" t="s">
        <v>15</v>
      </c>
      <c r="CI37">
        <v>44</v>
      </c>
      <c r="CK37">
        <v>18391</v>
      </c>
      <c r="CL37" t="s">
        <v>36</v>
      </c>
      <c r="CM37" t="s">
        <v>37</v>
      </c>
      <c r="CN37" s="4">
        <v>80000</v>
      </c>
      <c r="CO37">
        <v>5</v>
      </c>
      <c r="CP37" t="s">
        <v>21</v>
      </c>
      <c r="CQ37" t="s">
        <v>15</v>
      </c>
      <c r="CR37">
        <v>44</v>
      </c>
      <c r="CS37">
        <v>2</v>
      </c>
    </row>
    <row r="38" spans="1:97" x14ac:dyDescent="0.25">
      <c r="A38">
        <v>15879</v>
      </c>
      <c r="B38" t="s">
        <v>35</v>
      </c>
      <c r="C38" t="s">
        <v>38</v>
      </c>
      <c r="D38" s="11">
        <v>70000</v>
      </c>
      <c r="E38">
        <v>5</v>
      </c>
      <c r="F38" t="s">
        <v>13</v>
      </c>
      <c r="G38" t="s">
        <v>28</v>
      </c>
      <c r="H38" t="s">
        <v>15</v>
      </c>
      <c r="I38">
        <v>2</v>
      </c>
      <c r="J38" t="s">
        <v>22</v>
      </c>
      <c r="K38" t="s">
        <v>31</v>
      </c>
      <c r="L38">
        <v>61</v>
      </c>
      <c r="M38" t="str">
        <f t="shared" si="0"/>
        <v>Old</v>
      </c>
      <c r="N38" t="s">
        <v>18</v>
      </c>
      <c r="R38">
        <v>21714</v>
      </c>
      <c r="S38" t="s">
        <v>36</v>
      </c>
      <c r="T38" t="s">
        <v>37</v>
      </c>
      <c r="U38" s="4">
        <v>80000</v>
      </c>
      <c r="V38">
        <v>5</v>
      </c>
      <c r="W38" t="s">
        <v>30</v>
      </c>
      <c r="X38" t="s">
        <v>14</v>
      </c>
      <c r="Y38" t="s">
        <v>18</v>
      </c>
      <c r="Z38">
        <v>0</v>
      </c>
      <c r="AA38" t="s">
        <v>16</v>
      </c>
      <c r="AB38" t="s">
        <v>31</v>
      </c>
      <c r="AC38">
        <v>47</v>
      </c>
      <c r="AD38" t="s">
        <v>44</v>
      </c>
      <c r="AG38">
        <v>15319</v>
      </c>
      <c r="AH38" t="s">
        <v>37</v>
      </c>
      <c r="AI38" s="4">
        <v>70000</v>
      </c>
      <c r="AJ38">
        <v>4</v>
      </c>
      <c r="AK38" t="s">
        <v>13</v>
      </c>
      <c r="AL38" t="s">
        <v>18</v>
      </c>
      <c r="AM38">
        <v>59</v>
      </c>
      <c r="AN38" t="s">
        <v>45</v>
      </c>
      <c r="BL38">
        <v>28915</v>
      </c>
      <c r="BM38" t="s">
        <v>36</v>
      </c>
      <c r="BN38" t="s">
        <v>38</v>
      </c>
      <c r="BO38" s="4">
        <v>80000</v>
      </c>
      <c r="BP38" s="4">
        <v>80000</v>
      </c>
      <c r="BQ38">
        <v>5</v>
      </c>
      <c r="BR38" t="s">
        <v>28</v>
      </c>
      <c r="BS38" t="s">
        <v>15</v>
      </c>
      <c r="BT38">
        <v>57</v>
      </c>
      <c r="CB38">
        <v>18390</v>
      </c>
      <c r="CC38" t="s">
        <v>35</v>
      </c>
      <c r="CD38" t="s">
        <v>38</v>
      </c>
      <c r="CE38" s="4">
        <v>80000</v>
      </c>
      <c r="CF38">
        <v>5</v>
      </c>
      <c r="CG38" t="s">
        <v>21</v>
      </c>
      <c r="CH38" t="s">
        <v>15</v>
      </c>
      <c r="CI38">
        <v>44</v>
      </c>
      <c r="CK38">
        <v>18390</v>
      </c>
      <c r="CL38" t="s">
        <v>35</v>
      </c>
      <c r="CM38" t="s">
        <v>38</v>
      </c>
      <c r="CN38" s="4">
        <v>80000</v>
      </c>
      <c r="CO38">
        <v>5</v>
      </c>
      <c r="CP38" t="s">
        <v>21</v>
      </c>
      <c r="CQ38" t="s">
        <v>15</v>
      </c>
      <c r="CR38">
        <v>44</v>
      </c>
      <c r="CS38">
        <v>2</v>
      </c>
    </row>
    <row r="39" spans="1:97" x14ac:dyDescent="0.25">
      <c r="A39">
        <v>13382</v>
      </c>
      <c r="B39" t="s">
        <v>35</v>
      </c>
      <c r="C39" t="s">
        <v>38</v>
      </c>
      <c r="D39" s="11">
        <v>70000</v>
      </c>
      <c r="E39">
        <v>5</v>
      </c>
      <c r="F39" t="s">
        <v>19</v>
      </c>
      <c r="G39" t="s">
        <v>21</v>
      </c>
      <c r="H39" t="s">
        <v>15</v>
      </c>
      <c r="I39">
        <v>2</v>
      </c>
      <c r="J39" t="s">
        <v>26</v>
      </c>
      <c r="K39" t="s">
        <v>31</v>
      </c>
      <c r="L39">
        <v>57</v>
      </c>
      <c r="M39" t="str">
        <f t="shared" si="0"/>
        <v>Old</v>
      </c>
      <c r="N39" t="s">
        <v>15</v>
      </c>
      <c r="R39">
        <v>19914</v>
      </c>
      <c r="S39" t="s">
        <v>35</v>
      </c>
      <c r="T39" t="s">
        <v>38</v>
      </c>
      <c r="U39" s="4">
        <v>80000</v>
      </c>
      <c r="V39">
        <v>5</v>
      </c>
      <c r="W39" t="s">
        <v>13</v>
      </c>
      <c r="X39" t="s">
        <v>28</v>
      </c>
      <c r="Y39" t="s">
        <v>15</v>
      </c>
      <c r="Z39">
        <v>2</v>
      </c>
      <c r="AA39" t="s">
        <v>22</v>
      </c>
      <c r="AB39" t="s">
        <v>17</v>
      </c>
      <c r="AC39">
        <v>62</v>
      </c>
      <c r="AD39" t="s">
        <v>45</v>
      </c>
      <c r="AG39">
        <v>11200</v>
      </c>
      <c r="AH39" t="s">
        <v>38</v>
      </c>
      <c r="AI39" s="4">
        <v>70000</v>
      </c>
      <c r="AJ39">
        <v>4</v>
      </c>
      <c r="AK39" t="s">
        <v>13</v>
      </c>
      <c r="AL39" t="s">
        <v>15</v>
      </c>
      <c r="AM39">
        <v>58</v>
      </c>
      <c r="AN39" t="s">
        <v>45</v>
      </c>
      <c r="BL39">
        <v>26412</v>
      </c>
      <c r="BM39" t="s">
        <v>35</v>
      </c>
      <c r="BN39" t="s">
        <v>37</v>
      </c>
      <c r="BO39" s="4">
        <v>80000</v>
      </c>
      <c r="BP39" s="4">
        <v>80000</v>
      </c>
      <c r="BQ39">
        <v>5</v>
      </c>
      <c r="BR39" t="s">
        <v>28</v>
      </c>
      <c r="BS39" t="s">
        <v>18</v>
      </c>
      <c r="BT39">
        <v>56</v>
      </c>
      <c r="CB39">
        <v>18253</v>
      </c>
      <c r="CC39" t="s">
        <v>35</v>
      </c>
      <c r="CD39" t="s">
        <v>37</v>
      </c>
      <c r="CE39" s="4">
        <v>80000</v>
      </c>
      <c r="CF39">
        <v>5</v>
      </c>
      <c r="CG39" t="s">
        <v>28</v>
      </c>
      <c r="CH39" t="s">
        <v>15</v>
      </c>
      <c r="CI39">
        <v>40</v>
      </c>
      <c r="CK39">
        <v>18253</v>
      </c>
      <c r="CL39" t="s">
        <v>35</v>
      </c>
      <c r="CM39" t="s">
        <v>37</v>
      </c>
      <c r="CN39" s="4">
        <v>80000</v>
      </c>
      <c r="CO39">
        <v>5</v>
      </c>
      <c r="CP39" t="s">
        <v>28</v>
      </c>
      <c r="CQ39" t="s">
        <v>15</v>
      </c>
      <c r="CR39">
        <v>40</v>
      </c>
      <c r="CS39">
        <v>3</v>
      </c>
    </row>
    <row r="40" spans="1:97" x14ac:dyDescent="0.25">
      <c r="A40">
        <v>11890</v>
      </c>
      <c r="B40" t="s">
        <v>35</v>
      </c>
      <c r="C40" t="s">
        <v>37</v>
      </c>
      <c r="D40" s="11">
        <v>70000</v>
      </c>
      <c r="E40">
        <v>5</v>
      </c>
      <c r="F40" t="s">
        <v>30</v>
      </c>
      <c r="G40" t="s">
        <v>21</v>
      </c>
      <c r="H40" t="s">
        <v>15</v>
      </c>
      <c r="I40">
        <v>1</v>
      </c>
      <c r="J40" t="s">
        <v>16</v>
      </c>
      <c r="K40" t="s">
        <v>31</v>
      </c>
      <c r="L40">
        <v>47</v>
      </c>
      <c r="M40" t="str">
        <f t="shared" si="0"/>
        <v>MIddleAge</v>
      </c>
      <c r="N40" t="s">
        <v>18</v>
      </c>
      <c r="R40">
        <v>19608</v>
      </c>
      <c r="S40" t="s">
        <v>35</v>
      </c>
      <c r="T40" t="s">
        <v>38</v>
      </c>
      <c r="U40" s="4">
        <v>80000</v>
      </c>
      <c r="V40">
        <v>5</v>
      </c>
      <c r="W40" t="s">
        <v>13</v>
      </c>
      <c r="X40" t="s">
        <v>21</v>
      </c>
      <c r="Y40" t="s">
        <v>15</v>
      </c>
      <c r="Z40">
        <v>4</v>
      </c>
      <c r="AA40" t="s">
        <v>26</v>
      </c>
      <c r="AB40" t="s">
        <v>24</v>
      </c>
      <c r="AC40">
        <v>40</v>
      </c>
      <c r="AD40" t="s">
        <v>44</v>
      </c>
      <c r="AG40">
        <v>25293</v>
      </c>
      <c r="AH40" t="s">
        <v>38</v>
      </c>
      <c r="AI40" s="4">
        <v>80000</v>
      </c>
      <c r="AJ40">
        <v>4</v>
      </c>
      <c r="AK40" t="s">
        <v>13</v>
      </c>
      <c r="AL40" t="s">
        <v>15</v>
      </c>
      <c r="AM40">
        <v>42</v>
      </c>
      <c r="AN40" t="s">
        <v>44</v>
      </c>
      <c r="BL40">
        <v>24369</v>
      </c>
      <c r="BM40" t="s">
        <v>35</v>
      </c>
      <c r="BN40" t="s">
        <v>38</v>
      </c>
      <c r="BO40" s="4">
        <v>80000</v>
      </c>
      <c r="BP40" s="4">
        <v>80000</v>
      </c>
      <c r="BQ40">
        <v>5</v>
      </c>
      <c r="BR40" t="s">
        <v>28</v>
      </c>
      <c r="BS40" t="s">
        <v>18</v>
      </c>
      <c r="BT40">
        <v>39</v>
      </c>
      <c r="CB40">
        <v>18151</v>
      </c>
      <c r="CC40" t="s">
        <v>36</v>
      </c>
      <c r="CD40" t="s">
        <v>38</v>
      </c>
      <c r="CE40" s="4">
        <v>80000</v>
      </c>
      <c r="CF40">
        <v>5</v>
      </c>
      <c r="CG40" t="s">
        <v>21</v>
      </c>
      <c r="CH40" t="s">
        <v>18</v>
      </c>
      <c r="CI40">
        <v>59</v>
      </c>
      <c r="CK40">
        <v>18151</v>
      </c>
      <c r="CL40" t="s">
        <v>36</v>
      </c>
      <c r="CM40" t="s">
        <v>38</v>
      </c>
      <c r="CN40" s="4">
        <v>80000</v>
      </c>
      <c r="CO40">
        <v>5</v>
      </c>
      <c r="CP40" t="s">
        <v>21</v>
      </c>
      <c r="CQ40" t="s">
        <v>18</v>
      </c>
      <c r="CR40">
        <v>59</v>
      </c>
      <c r="CS40">
        <v>2</v>
      </c>
    </row>
    <row r="41" spans="1:97" x14ac:dyDescent="0.25">
      <c r="A41">
        <v>11287</v>
      </c>
      <c r="B41" t="s">
        <v>35</v>
      </c>
      <c r="C41" t="s">
        <v>38</v>
      </c>
      <c r="D41" s="11">
        <v>70000</v>
      </c>
      <c r="E41">
        <v>5</v>
      </c>
      <c r="F41" t="s">
        <v>19</v>
      </c>
      <c r="G41" t="s">
        <v>21</v>
      </c>
      <c r="H41" t="s">
        <v>18</v>
      </c>
      <c r="I41">
        <v>3</v>
      </c>
      <c r="J41" t="s">
        <v>23</v>
      </c>
      <c r="K41" t="s">
        <v>31</v>
      </c>
      <c r="L41">
        <v>45</v>
      </c>
      <c r="M41" t="str">
        <f t="shared" si="0"/>
        <v>MIddleAge</v>
      </c>
      <c r="N41" t="s">
        <v>18</v>
      </c>
      <c r="R41">
        <v>18390</v>
      </c>
      <c r="S41" t="s">
        <v>35</v>
      </c>
      <c r="T41" t="s">
        <v>38</v>
      </c>
      <c r="U41" s="4">
        <v>80000</v>
      </c>
      <c r="V41">
        <v>5</v>
      </c>
      <c r="W41" t="s">
        <v>19</v>
      </c>
      <c r="X41" t="s">
        <v>21</v>
      </c>
      <c r="Y41" t="s">
        <v>15</v>
      </c>
      <c r="Z41">
        <v>2</v>
      </c>
      <c r="AA41" t="s">
        <v>16</v>
      </c>
      <c r="AB41" t="s">
        <v>31</v>
      </c>
      <c r="AC41">
        <v>44</v>
      </c>
      <c r="AD41" t="s">
        <v>44</v>
      </c>
      <c r="AG41">
        <v>19660</v>
      </c>
      <c r="AH41" t="s">
        <v>38</v>
      </c>
      <c r="AI41" s="4">
        <v>80000</v>
      </c>
      <c r="AJ41">
        <v>4</v>
      </c>
      <c r="AK41" t="s">
        <v>13</v>
      </c>
      <c r="AL41" t="s">
        <v>15</v>
      </c>
      <c r="AM41">
        <v>43</v>
      </c>
      <c r="AN41" t="s">
        <v>44</v>
      </c>
      <c r="BL41">
        <v>23426</v>
      </c>
      <c r="BM41" t="s">
        <v>36</v>
      </c>
      <c r="BN41" t="s">
        <v>38</v>
      </c>
      <c r="BO41" s="4">
        <v>80000</v>
      </c>
      <c r="BP41" s="4">
        <v>80000</v>
      </c>
      <c r="BQ41">
        <v>5</v>
      </c>
      <c r="BR41" t="s">
        <v>28</v>
      </c>
      <c r="BS41" t="s">
        <v>15</v>
      </c>
      <c r="BT41">
        <v>40</v>
      </c>
      <c r="CB41">
        <v>18145</v>
      </c>
      <c r="CC41" t="s">
        <v>35</v>
      </c>
      <c r="CD41" t="s">
        <v>38</v>
      </c>
      <c r="CE41" s="4">
        <v>80000</v>
      </c>
      <c r="CF41">
        <v>5</v>
      </c>
      <c r="CG41" t="s">
        <v>28</v>
      </c>
      <c r="CH41" t="s">
        <v>18</v>
      </c>
      <c r="CI41">
        <v>62</v>
      </c>
      <c r="CK41">
        <v>18145</v>
      </c>
      <c r="CL41" t="s">
        <v>35</v>
      </c>
      <c r="CM41" t="s">
        <v>38</v>
      </c>
      <c r="CN41" s="4">
        <v>80000</v>
      </c>
      <c r="CO41">
        <v>5</v>
      </c>
      <c r="CP41" t="s">
        <v>28</v>
      </c>
      <c r="CQ41" t="s">
        <v>18</v>
      </c>
      <c r="CR41">
        <v>62</v>
      </c>
      <c r="CS41">
        <v>2</v>
      </c>
    </row>
    <row r="42" spans="1:97" x14ac:dyDescent="0.25">
      <c r="A42">
        <v>11116</v>
      </c>
      <c r="B42" t="s">
        <v>35</v>
      </c>
      <c r="C42" t="s">
        <v>38</v>
      </c>
      <c r="D42" s="11">
        <v>70000</v>
      </c>
      <c r="E42">
        <v>5</v>
      </c>
      <c r="F42" t="s">
        <v>19</v>
      </c>
      <c r="G42" t="s">
        <v>14</v>
      </c>
      <c r="H42" t="s">
        <v>15</v>
      </c>
      <c r="I42">
        <v>2</v>
      </c>
      <c r="J42" t="s">
        <v>23</v>
      </c>
      <c r="K42" t="s">
        <v>24</v>
      </c>
      <c r="L42">
        <v>43</v>
      </c>
      <c r="M42" t="str">
        <f t="shared" si="0"/>
        <v>MIddleAge</v>
      </c>
      <c r="N42" t="s">
        <v>18</v>
      </c>
      <c r="R42">
        <v>17450</v>
      </c>
      <c r="S42" t="s">
        <v>35</v>
      </c>
      <c r="T42" t="s">
        <v>38</v>
      </c>
      <c r="U42" s="4">
        <v>80000</v>
      </c>
      <c r="V42">
        <v>5</v>
      </c>
      <c r="W42" t="s">
        <v>19</v>
      </c>
      <c r="X42" t="s">
        <v>21</v>
      </c>
      <c r="Y42" t="s">
        <v>15</v>
      </c>
      <c r="Z42">
        <v>3</v>
      </c>
      <c r="AA42" t="s">
        <v>23</v>
      </c>
      <c r="AB42" t="s">
        <v>31</v>
      </c>
      <c r="AC42">
        <v>45</v>
      </c>
      <c r="AD42" t="s">
        <v>44</v>
      </c>
      <c r="AG42">
        <v>12207</v>
      </c>
      <c r="AH42" t="s">
        <v>38</v>
      </c>
      <c r="AI42" s="4">
        <v>80000</v>
      </c>
      <c r="AJ42">
        <v>4</v>
      </c>
      <c r="AK42" t="s">
        <v>13</v>
      </c>
      <c r="AL42" t="s">
        <v>15</v>
      </c>
      <c r="AM42">
        <v>66</v>
      </c>
      <c r="AN42" t="s">
        <v>45</v>
      </c>
      <c r="BL42">
        <v>22918</v>
      </c>
      <c r="BM42" t="s">
        <v>36</v>
      </c>
      <c r="BN42" t="s">
        <v>38</v>
      </c>
      <c r="BO42" s="4">
        <v>80000</v>
      </c>
      <c r="BP42" s="4">
        <v>80000</v>
      </c>
      <c r="BQ42">
        <v>5</v>
      </c>
      <c r="BR42" t="s">
        <v>28</v>
      </c>
      <c r="BS42" t="s">
        <v>15</v>
      </c>
      <c r="BT42">
        <v>50</v>
      </c>
      <c r="CB42">
        <v>18144</v>
      </c>
      <c r="CC42" t="s">
        <v>35</v>
      </c>
      <c r="CD42" t="s">
        <v>37</v>
      </c>
      <c r="CE42" s="4">
        <v>80000</v>
      </c>
      <c r="CF42">
        <v>5</v>
      </c>
      <c r="CG42" t="s">
        <v>28</v>
      </c>
      <c r="CH42" t="s">
        <v>15</v>
      </c>
      <c r="CI42">
        <v>61</v>
      </c>
      <c r="CK42">
        <v>18144</v>
      </c>
      <c r="CL42" t="s">
        <v>35</v>
      </c>
      <c r="CM42" t="s">
        <v>37</v>
      </c>
      <c r="CN42" s="4">
        <v>80000</v>
      </c>
      <c r="CO42">
        <v>5</v>
      </c>
      <c r="CP42" t="s">
        <v>28</v>
      </c>
      <c r="CQ42" t="s">
        <v>15</v>
      </c>
      <c r="CR42">
        <v>61</v>
      </c>
      <c r="CS42">
        <v>2</v>
      </c>
    </row>
    <row r="43" spans="1:97" x14ac:dyDescent="0.25">
      <c r="A43">
        <v>29301</v>
      </c>
      <c r="B43" t="s">
        <v>35</v>
      </c>
      <c r="C43" t="s">
        <v>38</v>
      </c>
      <c r="D43" s="11">
        <v>80000</v>
      </c>
      <c r="E43">
        <v>5</v>
      </c>
      <c r="F43" t="s">
        <v>13</v>
      </c>
      <c r="G43" t="s">
        <v>21</v>
      </c>
      <c r="H43" t="s">
        <v>15</v>
      </c>
      <c r="I43">
        <v>4</v>
      </c>
      <c r="J43" t="s">
        <v>26</v>
      </c>
      <c r="K43" t="s">
        <v>24</v>
      </c>
      <c r="L43">
        <v>40</v>
      </c>
      <c r="M43" t="str">
        <f t="shared" si="0"/>
        <v>MIddleAge</v>
      </c>
      <c r="N43" t="s">
        <v>18</v>
      </c>
      <c r="R43">
        <v>15740</v>
      </c>
      <c r="S43" t="s">
        <v>35</v>
      </c>
      <c r="T43" t="s">
        <v>38</v>
      </c>
      <c r="U43" s="4">
        <v>80000</v>
      </c>
      <c r="V43">
        <v>5</v>
      </c>
      <c r="W43" t="s">
        <v>13</v>
      </c>
      <c r="X43" t="s">
        <v>28</v>
      </c>
      <c r="Y43" t="s">
        <v>15</v>
      </c>
      <c r="Z43">
        <v>2</v>
      </c>
      <c r="AA43" t="s">
        <v>26</v>
      </c>
      <c r="AB43" t="s">
        <v>31</v>
      </c>
      <c r="AC43">
        <v>64</v>
      </c>
      <c r="AD43" t="s">
        <v>45</v>
      </c>
      <c r="AG43">
        <v>22930</v>
      </c>
      <c r="AH43" t="s">
        <v>38</v>
      </c>
      <c r="AI43" s="4">
        <v>90000</v>
      </c>
      <c r="AJ43">
        <v>4</v>
      </c>
      <c r="AK43" t="s">
        <v>13</v>
      </c>
      <c r="AL43" t="s">
        <v>15</v>
      </c>
      <c r="AM43">
        <v>38</v>
      </c>
      <c r="AN43" t="s">
        <v>44</v>
      </c>
      <c r="BL43">
        <v>21714</v>
      </c>
      <c r="BM43" t="s">
        <v>36</v>
      </c>
      <c r="BN43" t="s">
        <v>37</v>
      </c>
      <c r="BO43" s="4">
        <v>80000</v>
      </c>
      <c r="BP43" s="4">
        <v>80000</v>
      </c>
      <c r="BQ43">
        <v>5</v>
      </c>
      <c r="BR43" t="s">
        <v>14</v>
      </c>
      <c r="BS43" t="s">
        <v>18</v>
      </c>
      <c r="BT43">
        <v>47</v>
      </c>
      <c r="CB43">
        <v>17450</v>
      </c>
      <c r="CC43" t="s">
        <v>35</v>
      </c>
      <c r="CD43" t="s">
        <v>38</v>
      </c>
      <c r="CE43" s="4">
        <v>80000</v>
      </c>
      <c r="CF43">
        <v>5</v>
      </c>
      <c r="CG43" t="s">
        <v>21</v>
      </c>
      <c r="CH43" t="s">
        <v>15</v>
      </c>
      <c r="CI43">
        <v>45</v>
      </c>
      <c r="CK43">
        <v>17450</v>
      </c>
      <c r="CL43" t="s">
        <v>35</v>
      </c>
      <c r="CM43" t="s">
        <v>38</v>
      </c>
      <c r="CN43" s="4">
        <v>80000</v>
      </c>
      <c r="CO43">
        <v>5</v>
      </c>
      <c r="CP43" t="s">
        <v>21</v>
      </c>
      <c r="CQ43" t="s">
        <v>15</v>
      </c>
      <c r="CR43">
        <v>45</v>
      </c>
      <c r="CS43">
        <v>3</v>
      </c>
    </row>
    <row r="44" spans="1:97" x14ac:dyDescent="0.25">
      <c r="A44">
        <v>28915</v>
      </c>
      <c r="B44" t="s">
        <v>36</v>
      </c>
      <c r="C44" t="s">
        <v>38</v>
      </c>
      <c r="D44" s="11">
        <v>80000</v>
      </c>
      <c r="E44">
        <v>5</v>
      </c>
      <c r="F44" t="s">
        <v>27</v>
      </c>
      <c r="G44" t="s">
        <v>28</v>
      </c>
      <c r="H44" t="s">
        <v>15</v>
      </c>
      <c r="I44">
        <v>3</v>
      </c>
      <c r="J44" t="s">
        <v>42</v>
      </c>
      <c r="K44" t="s">
        <v>17</v>
      </c>
      <c r="L44">
        <v>57</v>
      </c>
      <c r="M44" t="str">
        <f t="shared" si="0"/>
        <v>Old</v>
      </c>
      <c r="N44" t="s">
        <v>18</v>
      </c>
      <c r="R44">
        <v>13466</v>
      </c>
      <c r="S44" t="s">
        <v>35</v>
      </c>
      <c r="T44" t="s">
        <v>38</v>
      </c>
      <c r="U44" s="4">
        <v>80000</v>
      </c>
      <c r="V44">
        <v>5</v>
      </c>
      <c r="W44" t="s">
        <v>19</v>
      </c>
      <c r="X44" t="s">
        <v>21</v>
      </c>
      <c r="Y44" t="s">
        <v>15</v>
      </c>
      <c r="Z44">
        <v>3</v>
      </c>
      <c r="AA44" t="s">
        <v>26</v>
      </c>
      <c r="AB44" t="s">
        <v>31</v>
      </c>
      <c r="AC44">
        <v>46</v>
      </c>
      <c r="AD44" t="s">
        <v>44</v>
      </c>
      <c r="AG44">
        <v>22050</v>
      </c>
      <c r="AH44" t="s">
        <v>38</v>
      </c>
      <c r="AI44" s="4">
        <v>90000</v>
      </c>
      <c r="AJ44">
        <v>4</v>
      </c>
      <c r="AK44" t="s">
        <v>13</v>
      </c>
      <c r="AL44" t="s">
        <v>15</v>
      </c>
      <c r="AM44">
        <v>38</v>
      </c>
      <c r="AN44" t="s">
        <v>44</v>
      </c>
      <c r="BL44">
        <v>21713</v>
      </c>
      <c r="BM44" t="s">
        <v>36</v>
      </c>
      <c r="BN44" t="s">
        <v>38</v>
      </c>
      <c r="BO44" s="4">
        <v>80000</v>
      </c>
      <c r="BP44" s="4">
        <v>80000</v>
      </c>
      <c r="BQ44">
        <v>5</v>
      </c>
      <c r="BR44" t="s">
        <v>14</v>
      </c>
      <c r="BS44" t="s">
        <v>18</v>
      </c>
      <c r="BT44">
        <v>47</v>
      </c>
      <c r="CB44">
        <v>15740</v>
      </c>
      <c r="CC44" t="s">
        <v>35</v>
      </c>
      <c r="CD44" t="s">
        <v>38</v>
      </c>
      <c r="CE44" s="4">
        <v>80000</v>
      </c>
      <c r="CF44">
        <v>5</v>
      </c>
      <c r="CG44" t="s">
        <v>28</v>
      </c>
      <c r="CH44" t="s">
        <v>15</v>
      </c>
      <c r="CI44">
        <v>64</v>
      </c>
      <c r="CK44">
        <v>15740</v>
      </c>
      <c r="CL44" t="s">
        <v>35</v>
      </c>
      <c r="CM44" t="s">
        <v>38</v>
      </c>
      <c r="CN44" s="4">
        <v>80000</v>
      </c>
      <c r="CO44">
        <v>5</v>
      </c>
      <c r="CP44" t="s">
        <v>28</v>
      </c>
      <c r="CQ44" t="s">
        <v>15</v>
      </c>
      <c r="CR44">
        <v>64</v>
      </c>
      <c r="CS44">
        <v>2</v>
      </c>
    </row>
    <row r="45" spans="1:97" x14ac:dyDescent="0.25">
      <c r="A45">
        <v>26412</v>
      </c>
      <c r="B45" t="s">
        <v>35</v>
      </c>
      <c r="C45" t="s">
        <v>37</v>
      </c>
      <c r="D45" s="11">
        <v>80000</v>
      </c>
      <c r="E45">
        <v>5</v>
      </c>
      <c r="F45" t="s">
        <v>27</v>
      </c>
      <c r="G45" t="s">
        <v>28</v>
      </c>
      <c r="H45" t="s">
        <v>18</v>
      </c>
      <c r="I45">
        <v>3</v>
      </c>
      <c r="J45" t="s">
        <v>23</v>
      </c>
      <c r="K45" t="s">
        <v>17</v>
      </c>
      <c r="L45">
        <v>56</v>
      </c>
      <c r="M45" t="str">
        <f t="shared" si="0"/>
        <v>Old</v>
      </c>
      <c r="N45" t="s">
        <v>18</v>
      </c>
      <c r="R45">
        <v>21940</v>
      </c>
      <c r="S45" t="s">
        <v>35</v>
      </c>
      <c r="T45" t="s">
        <v>38</v>
      </c>
      <c r="U45" s="4">
        <v>90000</v>
      </c>
      <c r="V45">
        <v>5</v>
      </c>
      <c r="W45" t="s">
        <v>30</v>
      </c>
      <c r="X45" t="s">
        <v>21</v>
      </c>
      <c r="Y45" t="s">
        <v>15</v>
      </c>
      <c r="Z45">
        <v>0</v>
      </c>
      <c r="AA45" t="s">
        <v>16</v>
      </c>
      <c r="AB45" t="s">
        <v>31</v>
      </c>
      <c r="AC45">
        <v>47</v>
      </c>
      <c r="AD45" t="s">
        <v>44</v>
      </c>
      <c r="AG45">
        <v>19661</v>
      </c>
      <c r="AH45" t="s">
        <v>38</v>
      </c>
      <c r="AI45" s="4">
        <v>90000</v>
      </c>
      <c r="AJ45">
        <v>4</v>
      </c>
      <c r="AK45" t="s">
        <v>13</v>
      </c>
      <c r="AL45" t="s">
        <v>15</v>
      </c>
      <c r="AM45">
        <v>38</v>
      </c>
      <c r="AN45" t="s">
        <v>44</v>
      </c>
      <c r="BL45">
        <v>19914</v>
      </c>
      <c r="BM45" t="s">
        <v>35</v>
      </c>
      <c r="BN45" t="s">
        <v>38</v>
      </c>
      <c r="BO45" s="4">
        <v>80000</v>
      </c>
      <c r="BP45" s="4">
        <v>80000</v>
      </c>
      <c r="BQ45">
        <v>5</v>
      </c>
      <c r="BR45" t="s">
        <v>28</v>
      </c>
      <c r="BS45" t="s">
        <v>15</v>
      </c>
      <c r="BT45">
        <v>62</v>
      </c>
      <c r="CB45">
        <v>15682</v>
      </c>
      <c r="CC45" t="s">
        <v>36</v>
      </c>
      <c r="CD45" t="s">
        <v>37</v>
      </c>
      <c r="CE45" s="4">
        <v>80000</v>
      </c>
      <c r="CF45">
        <v>5</v>
      </c>
      <c r="CG45" t="s">
        <v>28</v>
      </c>
      <c r="CH45" t="s">
        <v>15</v>
      </c>
      <c r="CI45">
        <v>62</v>
      </c>
      <c r="CK45">
        <v>15682</v>
      </c>
      <c r="CL45" t="s">
        <v>36</v>
      </c>
      <c r="CM45" t="s">
        <v>37</v>
      </c>
      <c r="CN45" s="4">
        <v>80000</v>
      </c>
      <c r="CO45">
        <v>5</v>
      </c>
      <c r="CP45" t="s">
        <v>28</v>
      </c>
      <c r="CQ45" t="s">
        <v>15</v>
      </c>
      <c r="CR45">
        <v>62</v>
      </c>
      <c r="CS45">
        <v>2</v>
      </c>
    </row>
    <row r="46" spans="1:97" x14ac:dyDescent="0.25">
      <c r="A46">
        <v>24369</v>
      </c>
      <c r="B46" t="s">
        <v>35</v>
      </c>
      <c r="C46" t="s">
        <v>38</v>
      </c>
      <c r="D46" s="11">
        <v>80000</v>
      </c>
      <c r="E46">
        <v>5</v>
      </c>
      <c r="F46" t="s">
        <v>30</v>
      </c>
      <c r="G46" t="s">
        <v>28</v>
      </c>
      <c r="H46" t="s">
        <v>18</v>
      </c>
      <c r="I46">
        <v>2</v>
      </c>
      <c r="J46" t="s">
        <v>16</v>
      </c>
      <c r="K46" t="s">
        <v>24</v>
      </c>
      <c r="L46">
        <v>39</v>
      </c>
      <c r="M46" t="str">
        <f t="shared" si="0"/>
        <v>MIddleAge</v>
      </c>
      <c r="N46" t="s">
        <v>18</v>
      </c>
      <c r="R46">
        <v>17260</v>
      </c>
      <c r="S46" t="s">
        <v>35</v>
      </c>
      <c r="T46" t="s">
        <v>38</v>
      </c>
      <c r="U46" s="4">
        <v>90000</v>
      </c>
      <c r="V46">
        <v>5</v>
      </c>
      <c r="W46" t="s">
        <v>19</v>
      </c>
      <c r="X46" t="s">
        <v>21</v>
      </c>
      <c r="Y46" t="s">
        <v>15</v>
      </c>
      <c r="Z46">
        <v>3</v>
      </c>
      <c r="AA46" t="s">
        <v>16</v>
      </c>
      <c r="AB46" t="s">
        <v>31</v>
      </c>
      <c r="AC46">
        <v>41</v>
      </c>
      <c r="AD46" t="s">
        <v>44</v>
      </c>
      <c r="AG46">
        <v>22204</v>
      </c>
      <c r="AH46" t="s">
        <v>38</v>
      </c>
      <c r="AI46" s="4">
        <v>110000</v>
      </c>
      <c r="AJ46">
        <v>4</v>
      </c>
      <c r="AK46" t="s">
        <v>13</v>
      </c>
      <c r="AL46" t="s">
        <v>15</v>
      </c>
      <c r="AM46">
        <v>48</v>
      </c>
      <c r="AN46" t="s">
        <v>44</v>
      </c>
      <c r="BL46">
        <v>19608</v>
      </c>
      <c r="BM46" t="s">
        <v>35</v>
      </c>
      <c r="BN46" t="s">
        <v>38</v>
      </c>
      <c r="BO46" s="4">
        <v>80000</v>
      </c>
      <c r="BP46" s="4">
        <v>80000</v>
      </c>
      <c r="BQ46">
        <v>5</v>
      </c>
      <c r="BR46" t="s">
        <v>21</v>
      </c>
      <c r="BS46" t="s">
        <v>15</v>
      </c>
      <c r="BT46">
        <v>40</v>
      </c>
      <c r="CB46">
        <v>14177</v>
      </c>
      <c r="CC46" t="s">
        <v>35</v>
      </c>
      <c r="CD46" t="s">
        <v>38</v>
      </c>
      <c r="CE46" s="4">
        <v>80000</v>
      </c>
      <c r="CF46">
        <v>5</v>
      </c>
      <c r="CG46" t="s">
        <v>21</v>
      </c>
      <c r="CH46" t="s">
        <v>18</v>
      </c>
      <c r="CI46">
        <v>60</v>
      </c>
      <c r="CK46">
        <v>14177</v>
      </c>
      <c r="CL46" t="s">
        <v>35</v>
      </c>
      <c r="CM46" t="s">
        <v>38</v>
      </c>
      <c r="CN46" s="4">
        <v>80000</v>
      </c>
      <c r="CO46">
        <v>5</v>
      </c>
      <c r="CP46" t="s">
        <v>21</v>
      </c>
      <c r="CQ46" t="s">
        <v>18</v>
      </c>
      <c r="CR46">
        <v>60</v>
      </c>
      <c r="CS46">
        <v>2</v>
      </c>
    </row>
    <row r="47" spans="1:97" x14ac:dyDescent="0.25">
      <c r="A47">
        <v>23426</v>
      </c>
      <c r="B47" t="s">
        <v>36</v>
      </c>
      <c r="C47" t="s">
        <v>38</v>
      </c>
      <c r="D47" s="11">
        <v>80000</v>
      </c>
      <c r="E47">
        <v>5</v>
      </c>
      <c r="F47" t="s">
        <v>30</v>
      </c>
      <c r="G47" t="s">
        <v>28</v>
      </c>
      <c r="H47" t="s">
        <v>15</v>
      </c>
      <c r="I47">
        <v>3</v>
      </c>
      <c r="J47" t="s">
        <v>16</v>
      </c>
      <c r="K47" t="s">
        <v>24</v>
      </c>
      <c r="L47">
        <v>40</v>
      </c>
      <c r="M47" t="str">
        <f t="shared" si="0"/>
        <v>MIddleAge</v>
      </c>
      <c r="N47" t="s">
        <v>18</v>
      </c>
      <c r="R47">
        <v>13133</v>
      </c>
      <c r="S47" t="s">
        <v>36</v>
      </c>
      <c r="T47" t="s">
        <v>38</v>
      </c>
      <c r="U47" s="4">
        <v>100000</v>
      </c>
      <c r="V47">
        <v>5</v>
      </c>
      <c r="W47" t="s">
        <v>13</v>
      </c>
      <c r="X47" t="s">
        <v>21</v>
      </c>
      <c r="Y47" t="s">
        <v>15</v>
      </c>
      <c r="Z47">
        <v>1</v>
      </c>
      <c r="AA47" t="s">
        <v>23</v>
      </c>
      <c r="AB47" t="s">
        <v>24</v>
      </c>
      <c r="AC47">
        <v>47</v>
      </c>
      <c r="AD47" t="s">
        <v>44</v>
      </c>
      <c r="AG47">
        <v>13287</v>
      </c>
      <c r="AH47" t="s">
        <v>38</v>
      </c>
      <c r="AI47" s="4">
        <v>110000</v>
      </c>
      <c r="AJ47">
        <v>4</v>
      </c>
      <c r="AK47" t="s">
        <v>13</v>
      </c>
      <c r="AL47" t="s">
        <v>15</v>
      </c>
      <c r="AM47">
        <v>42</v>
      </c>
      <c r="AN47" t="s">
        <v>44</v>
      </c>
      <c r="BL47">
        <v>18740</v>
      </c>
      <c r="BM47" t="s">
        <v>35</v>
      </c>
      <c r="BN47" t="s">
        <v>38</v>
      </c>
      <c r="BO47" s="4">
        <v>80000</v>
      </c>
      <c r="BP47" s="4">
        <v>80000</v>
      </c>
      <c r="BQ47">
        <v>5</v>
      </c>
      <c r="BR47" t="s">
        <v>21</v>
      </c>
      <c r="BS47" t="s">
        <v>18</v>
      </c>
      <c r="BT47">
        <v>47</v>
      </c>
      <c r="CB47">
        <v>13961</v>
      </c>
      <c r="CC47" t="s">
        <v>35</v>
      </c>
      <c r="CD47" t="s">
        <v>37</v>
      </c>
      <c r="CE47" s="4">
        <v>80000</v>
      </c>
      <c r="CF47">
        <v>5</v>
      </c>
      <c r="CG47" t="s">
        <v>28</v>
      </c>
      <c r="CH47" t="s">
        <v>15</v>
      </c>
      <c r="CI47">
        <v>40</v>
      </c>
      <c r="CK47">
        <v>13961</v>
      </c>
      <c r="CL47" t="s">
        <v>35</v>
      </c>
      <c r="CM47" t="s">
        <v>37</v>
      </c>
      <c r="CN47" s="4">
        <v>80000</v>
      </c>
      <c r="CO47">
        <v>5</v>
      </c>
      <c r="CP47" t="s">
        <v>28</v>
      </c>
      <c r="CQ47" t="s">
        <v>15</v>
      </c>
      <c r="CR47">
        <v>40</v>
      </c>
      <c r="CS47">
        <v>3</v>
      </c>
    </row>
    <row r="48" spans="1:97" x14ac:dyDescent="0.25">
      <c r="A48">
        <v>22918</v>
      </c>
      <c r="B48" t="s">
        <v>36</v>
      </c>
      <c r="C48" t="s">
        <v>38</v>
      </c>
      <c r="D48" s="11">
        <v>80000</v>
      </c>
      <c r="E48">
        <v>5</v>
      </c>
      <c r="F48" t="s">
        <v>30</v>
      </c>
      <c r="G48" t="s">
        <v>28</v>
      </c>
      <c r="H48" t="s">
        <v>15</v>
      </c>
      <c r="I48">
        <v>3</v>
      </c>
      <c r="J48" t="s">
        <v>16</v>
      </c>
      <c r="K48" t="s">
        <v>24</v>
      </c>
      <c r="L48">
        <v>50</v>
      </c>
      <c r="M48" t="str">
        <f t="shared" si="0"/>
        <v>MIddleAge</v>
      </c>
      <c r="N48" t="s">
        <v>18</v>
      </c>
      <c r="R48">
        <v>18494</v>
      </c>
      <c r="S48" t="s">
        <v>35</v>
      </c>
      <c r="T48" t="s">
        <v>38</v>
      </c>
      <c r="U48" s="4">
        <v>110000</v>
      </c>
      <c r="V48">
        <v>5</v>
      </c>
      <c r="W48" t="s">
        <v>13</v>
      </c>
      <c r="X48" t="s">
        <v>28</v>
      </c>
      <c r="Y48" t="s">
        <v>15</v>
      </c>
      <c r="Z48">
        <v>4</v>
      </c>
      <c r="AA48" t="s">
        <v>22</v>
      </c>
      <c r="AB48" t="s">
        <v>24</v>
      </c>
      <c r="AC48">
        <v>48</v>
      </c>
      <c r="AD48" t="s">
        <v>44</v>
      </c>
      <c r="AG48">
        <v>17522</v>
      </c>
      <c r="AH48" t="s">
        <v>38</v>
      </c>
      <c r="AI48" s="4">
        <v>120000</v>
      </c>
      <c r="AJ48">
        <v>4</v>
      </c>
      <c r="AK48" t="s">
        <v>13</v>
      </c>
      <c r="AL48" t="s">
        <v>15</v>
      </c>
      <c r="AM48">
        <v>47</v>
      </c>
      <c r="AN48" t="s">
        <v>44</v>
      </c>
      <c r="BL48">
        <v>18391</v>
      </c>
      <c r="BM48" t="s">
        <v>36</v>
      </c>
      <c r="BN48" t="s">
        <v>37</v>
      </c>
      <c r="BO48" s="4">
        <v>80000</v>
      </c>
      <c r="BP48" s="4">
        <v>80000</v>
      </c>
      <c r="BQ48">
        <v>5</v>
      </c>
      <c r="BR48" t="s">
        <v>21</v>
      </c>
      <c r="BS48" t="s">
        <v>15</v>
      </c>
      <c r="BT48">
        <v>44</v>
      </c>
      <c r="CB48">
        <v>13466</v>
      </c>
      <c r="CC48" t="s">
        <v>35</v>
      </c>
      <c r="CD48" t="s">
        <v>38</v>
      </c>
      <c r="CE48" s="4">
        <v>80000</v>
      </c>
      <c r="CF48">
        <v>5</v>
      </c>
      <c r="CG48" t="s">
        <v>21</v>
      </c>
      <c r="CH48" t="s">
        <v>15</v>
      </c>
      <c r="CI48">
        <v>46</v>
      </c>
      <c r="CK48">
        <v>13466</v>
      </c>
      <c r="CL48" t="s">
        <v>35</v>
      </c>
      <c r="CM48" t="s">
        <v>38</v>
      </c>
      <c r="CN48" s="4">
        <v>80000</v>
      </c>
      <c r="CO48">
        <v>5</v>
      </c>
      <c r="CP48" t="s">
        <v>21</v>
      </c>
      <c r="CQ48" t="s">
        <v>15</v>
      </c>
      <c r="CR48">
        <v>46</v>
      </c>
      <c r="CS48">
        <v>3</v>
      </c>
    </row>
    <row r="49" spans="1:97" x14ac:dyDescent="0.25">
      <c r="A49">
        <v>21714</v>
      </c>
      <c r="B49" t="s">
        <v>36</v>
      </c>
      <c r="C49" t="s">
        <v>37</v>
      </c>
      <c r="D49" s="11">
        <v>80000</v>
      </c>
      <c r="E49">
        <v>5</v>
      </c>
      <c r="F49" t="s">
        <v>30</v>
      </c>
      <c r="G49" t="s">
        <v>14</v>
      </c>
      <c r="H49" t="s">
        <v>18</v>
      </c>
      <c r="I49">
        <v>0</v>
      </c>
      <c r="J49" t="s">
        <v>16</v>
      </c>
      <c r="K49" t="s">
        <v>31</v>
      </c>
      <c r="L49">
        <v>47</v>
      </c>
      <c r="M49" t="str">
        <f t="shared" si="0"/>
        <v>MIddleAge</v>
      </c>
      <c r="N49" t="s">
        <v>18</v>
      </c>
      <c r="R49">
        <v>15982</v>
      </c>
      <c r="S49" t="s">
        <v>35</v>
      </c>
      <c r="T49" t="s">
        <v>38</v>
      </c>
      <c r="U49" s="4">
        <v>110000</v>
      </c>
      <c r="V49">
        <v>5</v>
      </c>
      <c r="W49" t="s">
        <v>19</v>
      </c>
      <c r="X49" t="s">
        <v>21</v>
      </c>
      <c r="Y49" t="s">
        <v>15</v>
      </c>
      <c r="Z49">
        <v>4</v>
      </c>
      <c r="AA49" t="s">
        <v>22</v>
      </c>
      <c r="AB49" t="s">
        <v>31</v>
      </c>
      <c r="AC49">
        <v>46</v>
      </c>
      <c r="AD49" t="s">
        <v>44</v>
      </c>
      <c r="AG49">
        <v>27756</v>
      </c>
      <c r="AH49" t="s">
        <v>37</v>
      </c>
      <c r="AI49" s="4">
        <v>50000</v>
      </c>
      <c r="AJ49">
        <v>3</v>
      </c>
      <c r="AK49" t="s">
        <v>13</v>
      </c>
      <c r="AL49" t="s">
        <v>18</v>
      </c>
      <c r="AM49">
        <v>40</v>
      </c>
      <c r="AN49" t="s">
        <v>44</v>
      </c>
      <c r="BL49">
        <v>18390</v>
      </c>
      <c r="BM49" t="s">
        <v>35</v>
      </c>
      <c r="BN49" t="s">
        <v>38</v>
      </c>
      <c r="BO49" s="4">
        <v>80000</v>
      </c>
      <c r="BP49" s="4">
        <v>80000</v>
      </c>
      <c r="BQ49">
        <v>5</v>
      </c>
      <c r="BR49" t="s">
        <v>21</v>
      </c>
      <c r="BS49" t="s">
        <v>15</v>
      </c>
      <c r="BT49">
        <v>44</v>
      </c>
      <c r="CB49">
        <v>13337</v>
      </c>
      <c r="CC49" t="s">
        <v>35</v>
      </c>
      <c r="CD49" t="s">
        <v>37</v>
      </c>
      <c r="CE49" s="4">
        <v>80000</v>
      </c>
      <c r="CF49">
        <v>5</v>
      </c>
      <c r="CG49" t="s">
        <v>28</v>
      </c>
      <c r="CH49" t="s">
        <v>15</v>
      </c>
      <c r="CI49">
        <v>64</v>
      </c>
      <c r="CK49">
        <v>13337</v>
      </c>
      <c r="CL49" t="s">
        <v>35</v>
      </c>
      <c r="CM49" t="s">
        <v>37</v>
      </c>
      <c r="CN49" s="4">
        <v>80000</v>
      </c>
      <c r="CO49">
        <v>5</v>
      </c>
      <c r="CP49" t="s">
        <v>28</v>
      </c>
      <c r="CQ49" t="s">
        <v>15</v>
      </c>
      <c r="CR49">
        <v>64</v>
      </c>
      <c r="CS49">
        <v>2</v>
      </c>
    </row>
    <row r="50" spans="1:97" x14ac:dyDescent="0.25">
      <c r="A50">
        <v>21713</v>
      </c>
      <c r="B50" t="s">
        <v>36</v>
      </c>
      <c r="C50" t="s">
        <v>38</v>
      </c>
      <c r="D50" s="11">
        <v>80000</v>
      </c>
      <c r="E50">
        <v>5</v>
      </c>
      <c r="F50" t="s">
        <v>30</v>
      </c>
      <c r="G50" t="s">
        <v>14</v>
      </c>
      <c r="H50" t="s">
        <v>18</v>
      </c>
      <c r="I50">
        <v>0</v>
      </c>
      <c r="J50" t="s">
        <v>16</v>
      </c>
      <c r="K50" t="s">
        <v>31</v>
      </c>
      <c r="L50">
        <v>47</v>
      </c>
      <c r="M50" t="str">
        <f t="shared" si="0"/>
        <v>MIddleAge</v>
      </c>
      <c r="N50" t="s">
        <v>18</v>
      </c>
      <c r="R50">
        <v>11434</v>
      </c>
      <c r="S50" t="s">
        <v>35</v>
      </c>
      <c r="T50" t="s">
        <v>38</v>
      </c>
      <c r="U50" s="4">
        <v>170000</v>
      </c>
      <c r="V50">
        <v>5</v>
      </c>
      <c r="W50" t="s">
        <v>19</v>
      </c>
      <c r="X50" t="s">
        <v>21</v>
      </c>
      <c r="Y50" t="s">
        <v>15</v>
      </c>
      <c r="Z50">
        <v>0</v>
      </c>
      <c r="AA50" t="s">
        <v>16</v>
      </c>
      <c r="AB50" t="s">
        <v>17</v>
      </c>
      <c r="AC50">
        <v>55</v>
      </c>
      <c r="AD50" t="s">
        <v>45</v>
      </c>
      <c r="AG50">
        <v>23893</v>
      </c>
      <c r="AH50" t="s">
        <v>38</v>
      </c>
      <c r="AI50" s="4">
        <v>50000</v>
      </c>
      <c r="AJ50">
        <v>3</v>
      </c>
      <c r="AK50" t="s">
        <v>13</v>
      </c>
      <c r="AL50" t="s">
        <v>15</v>
      </c>
      <c r="AM50">
        <v>41</v>
      </c>
      <c r="AN50" t="s">
        <v>44</v>
      </c>
      <c r="BL50">
        <v>18253</v>
      </c>
      <c r="BM50" t="s">
        <v>35</v>
      </c>
      <c r="BN50" t="s">
        <v>37</v>
      </c>
      <c r="BO50" s="4">
        <v>80000</v>
      </c>
      <c r="BP50" s="4">
        <v>80000</v>
      </c>
      <c r="BQ50">
        <v>5</v>
      </c>
      <c r="BR50" t="s">
        <v>28</v>
      </c>
      <c r="BS50" t="s">
        <v>15</v>
      </c>
      <c r="BT50">
        <v>40</v>
      </c>
      <c r="CB50">
        <v>23461</v>
      </c>
      <c r="CC50" t="s">
        <v>35</v>
      </c>
      <c r="CD50" t="s">
        <v>37</v>
      </c>
      <c r="CE50" s="4">
        <v>90000</v>
      </c>
      <c r="CF50">
        <v>5</v>
      </c>
      <c r="CG50" t="s">
        <v>21</v>
      </c>
      <c r="CH50" t="s">
        <v>15</v>
      </c>
      <c r="CI50">
        <v>40</v>
      </c>
      <c r="CK50">
        <v>23461</v>
      </c>
      <c r="CL50" t="s">
        <v>35</v>
      </c>
      <c r="CM50" t="s">
        <v>37</v>
      </c>
      <c r="CN50" s="4">
        <v>90000</v>
      </c>
      <c r="CO50">
        <v>5</v>
      </c>
      <c r="CP50" t="s">
        <v>21</v>
      </c>
      <c r="CQ50" t="s">
        <v>15</v>
      </c>
      <c r="CR50">
        <v>40</v>
      </c>
      <c r="CS50">
        <v>3</v>
      </c>
    </row>
    <row r="51" spans="1:97" x14ac:dyDescent="0.25">
      <c r="A51">
        <v>19914</v>
      </c>
      <c r="B51" t="s">
        <v>35</v>
      </c>
      <c r="C51" t="s">
        <v>38</v>
      </c>
      <c r="D51" s="11">
        <v>80000</v>
      </c>
      <c r="E51">
        <v>5</v>
      </c>
      <c r="F51" t="s">
        <v>13</v>
      </c>
      <c r="G51" t="s">
        <v>28</v>
      </c>
      <c r="H51" t="s">
        <v>15</v>
      </c>
      <c r="I51">
        <v>2</v>
      </c>
      <c r="J51" t="s">
        <v>22</v>
      </c>
      <c r="K51" t="s">
        <v>17</v>
      </c>
      <c r="L51">
        <v>62</v>
      </c>
      <c r="M51" t="str">
        <f t="shared" si="0"/>
        <v>Old</v>
      </c>
      <c r="N51" t="s">
        <v>18</v>
      </c>
      <c r="R51">
        <v>24061</v>
      </c>
      <c r="S51" t="s">
        <v>35</v>
      </c>
      <c r="T51" t="s">
        <v>38</v>
      </c>
      <c r="U51" s="4">
        <v>10000</v>
      </c>
      <c r="V51">
        <v>4</v>
      </c>
      <c r="W51" t="s">
        <v>29</v>
      </c>
      <c r="X51" t="s">
        <v>25</v>
      </c>
      <c r="Y51" t="s">
        <v>15</v>
      </c>
      <c r="Z51">
        <v>1</v>
      </c>
      <c r="AA51" t="s">
        <v>16</v>
      </c>
      <c r="AB51" t="s">
        <v>17</v>
      </c>
      <c r="AC51">
        <v>40</v>
      </c>
      <c r="AD51" t="s">
        <v>44</v>
      </c>
      <c r="AG51">
        <v>23197</v>
      </c>
      <c r="AH51" t="s">
        <v>38</v>
      </c>
      <c r="AI51" s="4">
        <v>50000</v>
      </c>
      <c r="AJ51">
        <v>3</v>
      </c>
      <c r="AK51" t="s">
        <v>13</v>
      </c>
      <c r="AL51" t="s">
        <v>15</v>
      </c>
      <c r="AM51">
        <v>40</v>
      </c>
      <c r="AN51" t="s">
        <v>44</v>
      </c>
      <c r="BL51">
        <v>18151</v>
      </c>
      <c r="BM51" t="s">
        <v>36</v>
      </c>
      <c r="BN51" t="s">
        <v>38</v>
      </c>
      <c r="BO51" s="4">
        <v>80000</v>
      </c>
      <c r="BP51" s="4">
        <v>80000</v>
      </c>
      <c r="BQ51">
        <v>5</v>
      </c>
      <c r="BR51" t="s">
        <v>21</v>
      </c>
      <c r="BS51" t="s">
        <v>18</v>
      </c>
      <c r="BT51">
        <v>59</v>
      </c>
      <c r="CB51">
        <v>17260</v>
      </c>
      <c r="CC51" t="s">
        <v>35</v>
      </c>
      <c r="CD51" t="s">
        <v>38</v>
      </c>
      <c r="CE51" s="4">
        <v>90000</v>
      </c>
      <c r="CF51">
        <v>5</v>
      </c>
      <c r="CG51" t="s">
        <v>21</v>
      </c>
      <c r="CH51" t="s">
        <v>15</v>
      </c>
      <c r="CI51">
        <v>41</v>
      </c>
      <c r="CK51">
        <v>17260</v>
      </c>
      <c r="CL51" t="s">
        <v>35</v>
      </c>
      <c r="CM51" t="s">
        <v>38</v>
      </c>
      <c r="CN51" s="4">
        <v>90000</v>
      </c>
      <c r="CO51">
        <v>5</v>
      </c>
      <c r="CP51" t="s">
        <v>21</v>
      </c>
      <c r="CQ51" t="s">
        <v>15</v>
      </c>
      <c r="CR51">
        <v>41</v>
      </c>
      <c r="CS51">
        <v>3</v>
      </c>
    </row>
    <row r="52" spans="1:97" x14ac:dyDescent="0.25">
      <c r="A52">
        <v>19608</v>
      </c>
      <c r="B52" t="s">
        <v>35</v>
      </c>
      <c r="C52" t="s">
        <v>38</v>
      </c>
      <c r="D52" s="11">
        <v>80000</v>
      </c>
      <c r="E52">
        <v>5</v>
      </c>
      <c r="F52" t="s">
        <v>13</v>
      </c>
      <c r="G52" t="s">
        <v>21</v>
      </c>
      <c r="H52" t="s">
        <v>15</v>
      </c>
      <c r="I52">
        <v>4</v>
      </c>
      <c r="J52" t="s">
        <v>26</v>
      </c>
      <c r="K52" t="s">
        <v>24</v>
      </c>
      <c r="L52">
        <v>40</v>
      </c>
      <c r="M52" t="str">
        <f t="shared" si="0"/>
        <v>MIddleAge</v>
      </c>
      <c r="N52" t="s">
        <v>18</v>
      </c>
      <c r="R52">
        <v>28102</v>
      </c>
      <c r="S52" t="s">
        <v>35</v>
      </c>
      <c r="T52" t="s">
        <v>38</v>
      </c>
      <c r="U52" s="4">
        <v>20000</v>
      </c>
      <c r="V52">
        <v>4</v>
      </c>
      <c r="W52" t="s">
        <v>27</v>
      </c>
      <c r="X52" t="s">
        <v>14</v>
      </c>
      <c r="Y52" t="s">
        <v>15</v>
      </c>
      <c r="Z52">
        <v>2</v>
      </c>
      <c r="AA52" t="s">
        <v>23</v>
      </c>
      <c r="AB52" t="s">
        <v>24</v>
      </c>
      <c r="AC52">
        <v>58</v>
      </c>
      <c r="AD52" t="s">
        <v>45</v>
      </c>
      <c r="AG52">
        <v>23195</v>
      </c>
      <c r="AH52" t="s">
        <v>38</v>
      </c>
      <c r="AI52" s="4">
        <v>50000</v>
      </c>
      <c r="AJ52">
        <v>3</v>
      </c>
      <c r="AK52" t="s">
        <v>13</v>
      </c>
      <c r="AL52" t="s">
        <v>15</v>
      </c>
      <c r="AM52">
        <v>41</v>
      </c>
      <c r="AN52" t="s">
        <v>44</v>
      </c>
      <c r="BL52">
        <v>18145</v>
      </c>
      <c r="BM52" t="s">
        <v>35</v>
      </c>
      <c r="BN52" t="s">
        <v>38</v>
      </c>
      <c r="BO52" s="4">
        <v>80000</v>
      </c>
      <c r="BP52" s="4">
        <v>80000</v>
      </c>
      <c r="BQ52">
        <v>5</v>
      </c>
      <c r="BR52" t="s">
        <v>28</v>
      </c>
      <c r="BS52" t="s">
        <v>18</v>
      </c>
      <c r="BT52">
        <v>62</v>
      </c>
      <c r="CB52">
        <v>17197</v>
      </c>
      <c r="CC52" t="s">
        <v>36</v>
      </c>
      <c r="CD52" t="s">
        <v>37</v>
      </c>
      <c r="CE52" s="4">
        <v>90000</v>
      </c>
      <c r="CF52">
        <v>5</v>
      </c>
      <c r="CG52" t="s">
        <v>21</v>
      </c>
      <c r="CH52" t="s">
        <v>15</v>
      </c>
      <c r="CI52">
        <v>62</v>
      </c>
      <c r="CK52">
        <v>17197</v>
      </c>
      <c r="CL52" t="s">
        <v>36</v>
      </c>
      <c r="CM52" t="s">
        <v>37</v>
      </c>
      <c r="CN52" s="4">
        <v>90000</v>
      </c>
      <c r="CO52">
        <v>5</v>
      </c>
      <c r="CP52" t="s">
        <v>21</v>
      </c>
      <c r="CQ52" t="s">
        <v>15</v>
      </c>
      <c r="CR52">
        <v>62</v>
      </c>
      <c r="CS52">
        <v>2</v>
      </c>
    </row>
    <row r="53" spans="1:97" x14ac:dyDescent="0.25">
      <c r="A53">
        <v>18740</v>
      </c>
      <c r="B53" t="s">
        <v>35</v>
      </c>
      <c r="C53" t="s">
        <v>38</v>
      </c>
      <c r="D53" s="11">
        <v>80000</v>
      </c>
      <c r="E53">
        <v>5</v>
      </c>
      <c r="F53" t="s">
        <v>13</v>
      </c>
      <c r="G53" t="s">
        <v>21</v>
      </c>
      <c r="H53" t="s">
        <v>18</v>
      </c>
      <c r="I53">
        <v>1</v>
      </c>
      <c r="J53" t="s">
        <v>16</v>
      </c>
      <c r="K53" t="s">
        <v>24</v>
      </c>
      <c r="L53">
        <v>47</v>
      </c>
      <c r="M53" t="str">
        <f t="shared" si="0"/>
        <v>MIddleAge</v>
      </c>
      <c r="N53" t="s">
        <v>15</v>
      </c>
      <c r="R53">
        <v>19675</v>
      </c>
      <c r="S53" t="s">
        <v>35</v>
      </c>
      <c r="T53" t="s">
        <v>38</v>
      </c>
      <c r="U53" s="4">
        <v>20000</v>
      </c>
      <c r="V53">
        <v>4</v>
      </c>
      <c r="W53" t="s">
        <v>27</v>
      </c>
      <c r="X53" t="s">
        <v>14</v>
      </c>
      <c r="Y53" t="s">
        <v>15</v>
      </c>
      <c r="Z53">
        <v>2</v>
      </c>
      <c r="AA53" t="s">
        <v>23</v>
      </c>
      <c r="AB53" t="s">
        <v>24</v>
      </c>
      <c r="AC53">
        <v>60</v>
      </c>
      <c r="AD53" t="s">
        <v>45</v>
      </c>
      <c r="AG53">
        <v>24943</v>
      </c>
      <c r="AH53" t="s">
        <v>38</v>
      </c>
      <c r="AI53" s="4">
        <v>60000</v>
      </c>
      <c r="AJ53">
        <v>3</v>
      </c>
      <c r="AK53" t="s">
        <v>13</v>
      </c>
      <c r="AL53" t="s">
        <v>15</v>
      </c>
      <c r="AM53">
        <v>66</v>
      </c>
      <c r="AN53" t="s">
        <v>45</v>
      </c>
      <c r="BL53">
        <v>18144</v>
      </c>
      <c r="BM53" t="s">
        <v>35</v>
      </c>
      <c r="BN53" t="s">
        <v>37</v>
      </c>
      <c r="BO53" s="4">
        <v>80000</v>
      </c>
      <c r="BP53" s="4">
        <v>80000</v>
      </c>
      <c r="BQ53">
        <v>5</v>
      </c>
      <c r="BR53" t="s">
        <v>28</v>
      </c>
      <c r="BS53" t="s">
        <v>15</v>
      </c>
      <c r="BT53">
        <v>61</v>
      </c>
      <c r="CB53">
        <v>16007</v>
      </c>
      <c r="CC53" t="s">
        <v>35</v>
      </c>
      <c r="CD53" t="s">
        <v>37</v>
      </c>
      <c r="CE53" s="4">
        <v>90000</v>
      </c>
      <c r="CF53">
        <v>5</v>
      </c>
      <c r="CG53" t="s">
        <v>28</v>
      </c>
      <c r="CH53" t="s">
        <v>15</v>
      </c>
      <c r="CI53">
        <v>66</v>
      </c>
      <c r="CK53">
        <v>16007</v>
      </c>
      <c r="CL53" t="s">
        <v>35</v>
      </c>
      <c r="CM53" t="s">
        <v>37</v>
      </c>
      <c r="CN53" s="4">
        <v>90000</v>
      </c>
      <c r="CO53">
        <v>5</v>
      </c>
      <c r="CP53" t="s">
        <v>28</v>
      </c>
      <c r="CQ53" t="s">
        <v>15</v>
      </c>
      <c r="CR53">
        <v>66</v>
      </c>
      <c r="CS53">
        <v>2</v>
      </c>
    </row>
    <row r="54" spans="1:97" x14ac:dyDescent="0.25">
      <c r="A54">
        <v>18391</v>
      </c>
      <c r="B54" t="s">
        <v>36</v>
      </c>
      <c r="C54" t="s">
        <v>37</v>
      </c>
      <c r="D54" s="11">
        <v>80000</v>
      </c>
      <c r="E54">
        <v>5</v>
      </c>
      <c r="F54" t="s">
        <v>19</v>
      </c>
      <c r="G54" t="s">
        <v>21</v>
      </c>
      <c r="H54" t="s">
        <v>15</v>
      </c>
      <c r="I54">
        <v>2</v>
      </c>
      <c r="J54" t="s">
        <v>23</v>
      </c>
      <c r="K54" t="s">
        <v>31</v>
      </c>
      <c r="L54">
        <v>44</v>
      </c>
      <c r="M54" t="str">
        <f t="shared" si="0"/>
        <v>MIddleAge</v>
      </c>
      <c r="N54" t="s">
        <v>18</v>
      </c>
      <c r="R54">
        <v>24637</v>
      </c>
      <c r="S54" t="s">
        <v>35</v>
      </c>
      <c r="T54" t="s">
        <v>38</v>
      </c>
      <c r="U54" s="4">
        <v>40000</v>
      </c>
      <c r="V54">
        <v>4</v>
      </c>
      <c r="W54" t="s">
        <v>27</v>
      </c>
      <c r="X54" t="s">
        <v>21</v>
      </c>
      <c r="Y54" t="s">
        <v>15</v>
      </c>
      <c r="Z54">
        <v>2</v>
      </c>
      <c r="AA54" t="s">
        <v>42</v>
      </c>
      <c r="AB54" t="s">
        <v>31</v>
      </c>
      <c r="AC54">
        <v>64</v>
      </c>
      <c r="AD54" t="s">
        <v>45</v>
      </c>
      <c r="AG54">
        <v>24941</v>
      </c>
      <c r="AH54" t="s">
        <v>38</v>
      </c>
      <c r="AI54" s="4">
        <v>60000</v>
      </c>
      <c r="AJ54">
        <v>3</v>
      </c>
      <c r="AK54" t="s">
        <v>13</v>
      </c>
      <c r="AL54" t="s">
        <v>15</v>
      </c>
      <c r="AM54">
        <v>66</v>
      </c>
      <c r="AN54" t="s">
        <v>45</v>
      </c>
      <c r="BL54">
        <v>17450</v>
      </c>
      <c r="BM54" t="s">
        <v>35</v>
      </c>
      <c r="BN54" t="s">
        <v>38</v>
      </c>
      <c r="BO54" s="4">
        <v>80000</v>
      </c>
      <c r="BP54" s="4">
        <v>80000</v>
      </c>
      <c r="BQ54">
        <v>5</v>
      </c>
      <c r="BR54" t="s">
        <v>21</v>
      </c>
      <c r="BS54" t="s">
        <v>15</v>
      </c>
      <c r="BT54">
        <v>45</v>
      </c>
      <c r="CB54">
        <v>13343</v>
      </c>
      <c r="CC54" t="s">
        <v>35</v>
      </c>
      <c r="CD54" t="s">
        <v>37</v>
      </c>
      <c r="CE54" s="4">
        <v>90000</v>
      </c>
      <c r="CF54">
        <v>5</v>
      </c>
      <c r="CG54" t="s">
        <v>28</v>
      </c>
      <c r="CH54" t="s">
        <v>15</v>
      </c>
      <c r="CI54">
        <v>63</v>
      </c>
      <c r="CK54">
        <v>13343</v>
      </c>
      <c r="CL54" t="s">
        <v>35</v>
      </c>
      <c r="CM54" t="s">
        <v>37</v>
      </c>
      <c r="CN54" s="4">
        <v>90000</v>
      </c>
      <c r="CO54">
        <v>5</v>
      </c>
      <c r="CP54" t="s">
        <v>28</v>
      </c>
      <c r="CQ54" t="s">
        <v>15</v>
      </c>
      <c r="CR54">
        <v>63</v>
      </c>
      <c r="CS54">
        <v>2</v>
      </c>
    </row>
    <row r="55" spans="1:97" x14ac:dyDescent="0.25">
      <c r="A55">
        <v>18390</v>
      </c>
      <c r="B55" t="s">
        <v>35</v>
      </c>
      <c r="C55" t="s">
        <v>38</v>
      </c>
      <c r="D55" s="11">
        <v>80000</v>
      </c>
      <c r="E55">
        <v>5</v>
      </c>
      <c r="F55" t="s">
        <v>19</v>
      </c>
      <c r="G55" t="s">
        <v>21</v>
      </c>
      <c r="H55" t="s">
        <v>15</v>
      </c>
      <c r="I55">
        <v>2</v>
      </c>
      <c r="J55" t="s">
        <v>16</v>
      </c>
      <c r="K55" t="s">
        <v>31</v>
      </c>
      <c r="L55">
        <v>44</v>
      </c>
      <c r="M55" t="str">
        <f t="shared" si="0"/>
        <v>MIddleAge</v>
      </c>
      <c r="N55" t="s">
        <v>18</v>
      </c>
      <c r="R55">
        <v>18976</v>
      </c>
      <c r="S55" t="s">
        <v>36</v>
      </c>
      <c r="T55" t="s">
        <v>38</v>
      </c>
      <c r="U55" s="4">
        <v>40000</v>
      </c>
      <c r="V55">
        <v>4</v>
      </c>
      <c r="W55" t="s">
        <v>27</v>
      </c>
      <c r="X55" t="s">
        <v>21</v>
      </c>
      <c r="Y55" t="s">
        <v>15</v>
      </c>
      <c r="Z55">
        <v>2</v>
      </c>
      <c r="AA55" t="s">
        <v>42</v>
      </c>
      <c r="AB55" t="s">
        <v>31</v>
      </c>
      <c r="AC55">
        <v>62</v>
      </c>
      <c r="AD55" t="s">
        <v>45</v>
      </c>
      <c r="AG55">
        <v>18267</v>
      </c>
      <c r="AH55" t="s">
        <v>38</v>
      </c>
      <c r="AI55" s="4">
        <v>60000</v>
      </c>
      <c r="AJ55">
        <v>3</v>
      </c>
      <c r="AK55" t="s">
        <v>13</v>
      </c>
      <c r="AL55" t="s">
        <v>15</v>
      </c>
      <c r="AM55">
        <v>43</v>
      </c>
      <c r="AN55" t="s">
        <v>44</v>
      </c>
      <c r="BL55">
        <v>16179</v>
      </c>
      <c r="BM55" t="s">
        <v>36</v>
      </c>
      <c r="BN55" t="s">
        <v>37</v>
      </c>
      <c r="BO55" s="4">
        <v>80000</v>
      </c>
      <c r="BP55" s="4">
        <v>80000</v>
      </c>
      <c r="BQ55">
        <v>5</v>
      </c>
      <c r="BR55" t="s">
        <v>21</v>
      </c>
      <c r="BS55" t="s">
        <v>15</v>
      </c>
      <c r="BT55">
        <v>38</v>
      </c>
      <c r="CB55">
        <v>12663</v>
      </c>
      <c r="CC55" t="s">
        <v>35</v>
      </c>
      <c r="CD55" t="s">
        <v>37</v>
      </c>
      <c r="CE55" s="4">
        <v>90000</v>
      </c>
      <c r="CF55">
        <v>5</v>
      </c>
      <c r="CG55" t="s">
        <v>14</v>
      </c>
      <c r="CH55" t="s">
        <v>15</v>
      </c>
      <c r="CI55">
        <v>59</v>
      </c>
      <c r="CK55">
        <v>12663</v>
      </c>
      <c r="CL55" t="s">
        <v>35</v>
      </c>
      <c r="CM55" t="s">
        <v>37</v>
      </c>
      <c r="CN55" s="4">
        <v>90000</v>
      </c>
      <c r="CO55">
        <v>5</v>
      </c>
      <c r="CP55" t="s">
        <v>14</v>
      </c>
      <c r="CQ55" t="s">
        <v>15</v>
      </c>
      <c r="CR55">
        <v>59</v>
      </c>
      <c r="CS55">
        <v>2</v>
      </c>
    </row>
    <row r="56" spans="1:97" x14ac:dyDescent="0.25">
      <c r="A56">
        <v>18253</v>
      </c>
      <c r="B56" t="s">
        <v>35</v>
      </c>
      <c r="C56" t="s">
        <v>37</v>
      </c>
      <c r="D56" s="11">
        <v>80000</v>
      </c>
      <c r="E56">
        <v>5</v>
      </c>
      <c r="F56" t="s">
        <v>30</v>
      </c>
      <c r="G56" t="s">
        <v>28</v>
      </c>
      <c r="H56" t="s">
        <v>15</v>
      </c>
      <c r="I56">
        <v>3</v>
      </c>
      <c r="J56" t="s">
        <v>16</v>
      </c>
      <c r="K56" t="s">
        <v>24</v>
      </c>
      <c r="L56">
        <v>40</v>
      </c>
      <c r="M56" t="str">
        <f t="shared" si="0"/>
        <v>MIddleAge</v>
      </c>
      <c r="N56" t="s">
        <v>18</v>
      </c>
      <c r="R56">
        <v>17858</v>
      </c>
      <c r="S56" t="s">
        <v>35</v>
      </c>
      <c r="T56" t="s">
        <v>38</v>
      </c>
      <c r="U56" s="4">
        <v>40000</v>
      </c>
      <c r="V56">
        <v>4</v>
      </c>
      <c r="W56" t="s">
        <v>27</v>
      </c>
      <c r="X56" t="s">
        <v>14</v>
      </c>
      <c r="Y56" t="s">
        <v>15</v>
      </c>
      <c r="Z56">
        <v>2</v>
      </c>
      <c r="AA56" t="s">
        <v>22</v>
      </c>
      <c r="AB56" t="s">
        <v>31</v>
      </c>
      <c r="AC56">
        <v>44</v>
      </c>
      <c r="AD56" t="s">
        <v>44</v>
      </c>
      <c r="AG56">
        <v>28858</v>
      </c>
      <c r="AH56" t="s">
        <v>38</v>
      </c>
      <c r="AI56" s="4">
        <v>80000</v>
      </c>
      <c r="AJ56">
        <v>3</v>
      </c>
      <c r="AK56" t="s">
        <v>13</v>
      </c>
      <c r="AL56" t="s">
        <v>15</v>
      </c>
      <c r="AM56">
        <v>40</v>
      </c>
      <c r="AN56" t="s">
        <v>44</v>
      </c>
      <c r="BL56">
        <v>15740</v>
      </c>
      <c r="BM56" t="s">
        <v>35</v>
      </c>
      <c r="BN56" t="s">
        <v>38</v>
      </c>
      <c r="BO56" s="4">
        <v>80000</v>
      </c>
      <c r="BP56" s="4">
        <v>80000</v>
      </c>
      <c r="BQ56">
        <v>5</v>
      </c>
      <c r="BR56" t="s">
        <v>28</v>
      </c>
      <c r="BS56" t="s">
        <v>15</v>
      </c>
      <c r="BT56">
        <v>64</v>
      </c>
      <c r="CB56">
        <v>12291</v>
      </c>
      <c r="CC56" t="s">
        <v>36</v>
      </c>
      <c r="CD56" t="s">
        <v>38</v>
      </c>
      <c r="CE56" s="4">
        <v>90000</v>
      </c>
      <c r="CF56">
        <v>5</v>
      </c>
      <c r="CG56" t="s">
        <v>21</v>
      </c>
      <c r="CH56" t="s">
        <v>18</v>
      </c>
      <c r="CI56">
        <v>62</v>
      </c>
      <c r="CK56">
        <v>12291</v>
      </c>
      <c r="CL56" t="s">
        <v>36</v>
      </c>
      <c r="CM56" t="s">
        <v>38</v>
      </c>
      <c r="CN56" s="4">
        <v>90000</v>
      </c>
      <c r="CO56">
        <v>5</v>
      </c>
      <c r="CP56" t="s">
        <v>21</v>
      </c>
      <c r="CQ56" t="s">
        <v>18</v>
      </c>
      <c r="CR56">
        <v>62</v>
      </c>
      <c r="CS56">
        <v>2</v>
      </c>
    </row>
    <row r="57" spans="1:97" x14ac:dyDescent="0.25">
      <c r="A57">
        <v>18151</v>
      </c>
      <c r="B57" t="s">
        <v>36</v>
      </c>
      <c r="C57" t="s">
        <v>38</v>
      </c>
      <c r="D57" s="11">
        <v>80000</v>
      </c>
      <c r="E57">
        <v>5</v>
      </c>
      <c r="F57" t="s">
        <v>19</v>
      </c>
      <c r="G57" t="s">
        <v>21</v>
      </c>
      <c r="H57" t="s">
        <v>18</v>
      </c>
      <c r="I57">
        <v>2</v>
      </c>
      <c r="J57" t="s">
        <v>42</v>
      </c>
      <c r="K57" t="s">
        <v>17</v>
      </c>
      <c r="L57">
        <v>59</v>
      </c>
      <c r="M57" t="str">
        <f t="shared" si="0"/>
        <v>Old</v>
      </c>
      <c r="N57" t="s">
        <v>18</v>
      </c>
      <c r="R57">
        <v>16122</v>
      </c>
      <c r="S57" t="s">
        <v>35</v>
      </c>
      <c r="T57" t="s">
        <v>38</v>
      </c>
      <c r="U57" s="4">
        <v>40000</v>
      </c>
      <c r="V57">
        <v>4</v>
      </c>
      <c r="W57" t="s">
        <v>27</v>
      </c>
      <c r="X57" t="s">
        <v>14</v>
      </c>
      <c r="Y57" t="s">
        <v>15</v>
      </c>
      <c r="Z57">
        <v>2</v>
      </c>
      <c r="AA57" t="s">
        <v>16</v>
      </c>
      <c r="AB57" t="s">
        <v>31</v>
      </c>
      <c r="AC57">
        <v>44</v>
      </c>
      <c r="AD57" t="s">
        <v>44</v>
      </c>
      <c r="AG57">
        <v>24357</v>
      </c>
      <c r="AH57" t="s">
        <v>38</v>
      </c>
      <c r="AI57" s="4">
        <v>80000</v>
      </c>
      <c r="AJ57">
        <v>3</v>
      </c>
      <c r="AK57" t="s">
        <v>13</v>
      </c>
      <c r="AL57" t="s">
        <v>15</v>
      </c>
      <c r="AM57">
        <v>48</v>
      </c>
      <c r="AN57" t="s">
        <v>44</v>
      </c>
      <c r="BL57">
        <v>15682</v>
      </c>
      <c r="BM57" t="s">
        <v>36</v>
      </c>
      <c r="BN57" t="s">
        <v>37</v>
      </c>
      <c r="BO57" s="4">
        <v>80000</v>
      </c>
      <c r="BP57" s="4">
        <v>80000</v>
      </c>
      <c r="BQ57">
        <v>5</v>
      </c>
      <c r="BR57" t="s">
        <v>28</v>
      </c>
      <c r="BS57" t="s">
        <v>15</v>
      </c>
      <c r="BT57">
        <v>62</v>
      </c>
      <c r="CB57">
        <v>11415</v>
      </c>
      <c r="CC57" t="s">
        <v>36</v>
      </c>
      <c r="CD57" t="s">
        <v>38</v>
      </c>
      <c r="CE57" s="4">
        <v>90000</v>
      </c>
      <c r="CF57">
        <v>5</v>
      </c>
      <c r="CG57" t="s">
        <v>21</v>
      </c>
      <c r="CH57" t="s">
        <v>18</v>
      </c>
      <c r="CI57">
        <v>62</v>
      </c>
      <c r="CK57">
        <v>11415</v>
      </c>
      <c r="CL57" t="s">
        <v>36</v>
      </c>
      <c r="CM57" t="s">
        <v>38</v>
      </c>
      <c r="CN57" s="4">
        <v>90000</v>
      </c>
      <c r="CO57">
        <v>5</v>
      </c>
      <c r="CP57" t="s">
        <v>21</v>
      </c>
      <c r="CQ57" t="s">
        <v>18</v>
      </c>
      <c r="CR57">
        <v>62</v>
      </c>
      <c r="CS57">
        <v>2</v>
      </c>
    </row>
    <row r="58" spans="1:97" x14ac:dyDescent="0.25">
      <c r="A58">
        <v>18145</v>
      </c>
      <c r="B58" t="s">
        <v>35</v>
      </c>
      <c r="C58" t="s">
        <v>38</v>
      </c>
      <c r="D58" s="11">
        <v>80000</v>
      </c>
      <c r="E58">
        <v>5</v>
      </c>
      <c r="F58" t="s">
        <v>13</v>
      </c>
      <c r="G58" t="s">
        <v>28</v>
      </c>
      <c r="H58" t="s">
        <v>18</v>
      </c>
      <c r="I58">
        <v>2</v>
      </c>
      <c r="J58" t="s">
        <v>22</v>
      </c>
      <c r="K58" t="s">
        <v>17</v>
      </c>
      <c r="L58">
        <v>62</v>
      </c>
      <c r="M58" t="str">
        <f t="shared" si="0"/>
        <v>Old</v>
      </c>
      <c r="N58" t="s">
        <v>18</v>
      </c>
      <c r="R58">
        <v>13934</v>
      </c>
      <c r="S58" t="s">
        <v>35</v>
      </c>
      <c r="T58" t="s">
        <v>38</v>
      </c>
      <c r="U58" s="4">
        <v>40000</v>
      </c>
      <c r="V58">
        <v>4</v>
      </c>
      <c r="W58" t="s">
        <v>27</v>
      </c>
      <c r="X58" t="s">
        <v>14</v>
      </c>
      <c r="Y58" t="s">
        <v>15</v>
      </c>
      <c r="Z58">
        <v>2</v>
      </c>
      <c r="AA58" t="s">
        <v>22</v>
      </c>
      <c r="AB58" t="s">
        <v>31</v>
      </c>
      <c r="AC58">
        <v>46</v>
      </c>
      <c r="AD58" t="s">
        <v>44</v>
      </c>
      <c r="AG58">
        <v>19012</v>
      </c>
      <c r="AH58" t="s">
        <v>38</v>
      </c>
      <c r="AI58" s="4">
        <v>80000</v>
      </c>
      <c r="AJ58">
        <v>3</v>
      </c>
      <c r="AK58" t="s">
        <v>13</v>
      </c>
      <c r="AL58" t="s">
        <v>15</v>
      </c>
      <c r="AM58">
        <v>56</v>
      </c>
      <c r="AN58" t="s">
        <v>45</v>
      </c>
      <c r="BL58">
        <v>14177</v>
      </c>
      <c r="BM58" t="s">
        <v>35</v>
      </c>
      <c r="BN58" t="s">
        <v>38</v>
      </c>
      <c r="BO58" s="4">
        <v>80000</v>
      </c>
      <c r="BP58" s="4">
        <v>80000</v>
      </c>
      <c r="BQ58">
        <v>5</v>
      </c>
      <c r="BR58" t="s">
        <v>21</v>
      </c>
      <c r="BS58" t="s">
        <v>18</v>
      </c>
      <c r="BT58">
        <v>60</v>
      </c>
      <c r="CB58">
        <v>27393</v>
      </c>
      <c r="CC58" t="s">
        <v>35</v>
      </c>
      <c r="CD58" t="s">
        <v>37</v>
      </c>
      <c r="CE58" s="4">
        <v>50000</v>
      </c>
      <c r="CF58">
        <v>4</v>
      </c>
      <c r="CG58" t="s">
        <v>28</v>
      </c>
      <c r="CH58" t="s">
        <v>15</v>
      </c>
      <c r="CI58">
        <v>63</v>
      </c>
      <c r="CK58">
        <v>27393</v>
      </c>
      <c r="CL58" t="s">
        <v>35</v>
      </c>
      <c r="CM58" t="s">
        <v>37</v>
      </c>
      <c r="CN58" s="4">
        <v>50000</v>
      </c>
      <c r="CO58">
        <v>4</v>
      </c>
      <c r="CP58" t="s">
        <v>28</v>
      </c>
      <c r="CQ58" t="s">
        <v>15</v>
      </c>
      <c r="CR58">
        <v>63</v>
      </c>
      <c r="CS58">
        <v>2</v>
      </c>
    </row>
    <row r="59" spans="1:97" x14ac:dyDescent="0.25">
      <c r="A59">
        <v>18144</v>
      </c>
      <c r="B59" t="s">
        <v>35</v>
      </c>
      <c r="C59" t="s">
        <v>37</v>
      </c>
      <c r="D59" s="11">
        <v>80000</v>
      </c>
      <c r="E59">
        <v>5</v>
      </c>
      <c r="F59" t="s">
        <v>13</v>
      </c>
      <c r="G59" t="s">
        <v>28</v>
      </c>
      <c r="H59" t="s">
        <v>15</v>
      </c>
      <c r="I59">
        <v>2</v>
      </c>
      <c r="J59" t="s">
        <v>22</v>
      </c>
      <c r="K59" t="s">
        <v>17</v>
      </c>
      <c r="L59">
        <v>61</v>
      </c>
      <c r="M59" t="str">
        <f t="shared" si="0"/>
        <v>Old</v>
      </c>
      <c r="N59" t="s">
        <v>18</v>
      </c>
      <c r="R59">
        <v>21441</v>
      </c>
      <c r="S59" t="s">
        <v>35</v>
      </c>
      <c r="T59" t="s">
        <v>38</v>
      </c>
      <c r="U59" s="4">
        <v>50000</v>
      </c>
      <c r="V59">
        <v>4</v>
      </c>
      <c r="W59" t="s">
        <v>13</v>
      </c>
      <c r="X59" t="s">
        <v>28</v>
      </c>
      <c r="Y59" t="s">
        <v>15</v>
      </c>
      <c r="Z59">
        <v>2</v>
      </c>
      <c r="AA59" t="s">
        <v>42</v>
      </c>
      <c r="AB59" t="s">
        <v>31</v>
      </c>
      <c r="AC59">
        <v>64</v>
      </c>
      <c r="AD59" t="s">
        <v>45</v>
      </c>
      <c r="AG59">
        <v>18517</v>
      </c>
      <c r="AH59" t="s">
        <v>38</v>
      </c>
      <c r="AI59" s="4">
        <v>100000</v>
      </c>
      <c r="AJ59">
        <v>3</v>
      </c>
      <c r="AK59" t="s">
        <v>13</v>
      </c>
      <c r="AL59" t="s">
        <v>15</v>
      </c>
      <c r="AM59">
        <v>41</v>
      </c>
      <c r="AN59" t="s">
        <v>44</v>
      </c>
      <c r="BL59">
        <v>13961</v>
      </c>
      <c r="BM59" t="s">
        <v>35</v>
      </c>
      <c r="BN59" t="s">
        <v>37</v>
      </c>
      <c r="BO59" s="4">
        <v>80000</v>
      </c>
      <c r="BP59" s="4">
        <v>80000</v>
      </c>
      <c r="BQ59">
        <v>5</v>
      </c>
      <c r="BR59" t="s">
        <v>28</v>
      </c>
      <c r="BS59" t="s">
        <v>15</v>
      </c>
      <c r="BT59">
        <v>40</v>
      </c>
      <c r="CB59">
        <v>21441</v>
      </c>
      <c r="CC59" t="s">
        <v>35</v>
      </c>
      <c r="CD59" t="s">
        <v>38</v>
      </c>
      <c r="CE59" s="4">
        <v>50000</v>
      </c>
      <c r="CF59">
        <v>4</v>
      </c>
      <c r="CG59" t="s">
        <v>28</v>
      </c>
      <c r="CH59" t="s">
        <v>15</v>
      </c>
      <c r="CI59">
        <v>64</v>
      </c>
      <c r="CK59">
        <v>21441</v>
      </c>
      <c r="CL59" t="s">
        <v>35</v>
      </c>
      <c r="CM59" t="s">
        <v>38</v>
      </c>
      <c r="CN59" s="4">
        <v>50000</v>
      </c>
      <c r="CO59">
        <v>4</v>
      </c>
      <c r="CP59" t="s">
        <v>28</v>
      </c>
      <c r="CQ59" t="s">
        <v>15</v>
      </c>
      <c r="CR59">
        <v>64</v>
      </c>
      <c r="CS59">
        <v>2</v>
      </c>
    </row>
    <row r="60" spans="1:97" x14ac:dyDescent="0.25">
      <c r="A60">
        <v>17450</v>
      </c>
      <c r="B60" t="s">
        <v>35</v>
      </c>
      <c r="C60" t="s">
        <v>38</v>
      </c>
      <c r="D60" s="11">
        <v>80000</v>
      </c>
      <c r="E60">
        <v>5</v>
      </c>
      <c r="F60" t="s">
        <v>19</v>
      </c>
      <c r="G60" t="s">
        <v>21</v>
      </c>
      <c r="H60" t="s">
        <v>15</v>
      </c>
      <c r="I60">
        <v>3</v>
      </c>
      <c r="J60" t="s">
        <v>23</v>
      </c>
      <c r="K60" t="s">
        <v>31</v>
      </c>
      <c r="L60">
        <v>45</v>
      </c>
      <c r="M60" t="str">
        <f t="shared" si="0"/>
        <v>MIddleAge</v>
      </c>
      <c r="N60" t="s">
        <v>18</v>
      </c>
      <c r="R60">
        <v>19747</v>
      </c>
      <c r="S60" t="s">
        <v>35</v>
      </c>
      <c r="T60" t="s">
        <v>38</v>
      </c>
      <c r="U60" s="4">
        <v>50000</v>
      </c>
      <c r="V60">
        <v>4</v>
      </c>
      <c r="W60" t="s">
        <v>13</v>
      </c>
      <c r="X60" t="s">
        <v>28</v>
      </c>
      <c r="Y60" t="s">
        <v>15</v>
      </c>
      <c r="Z60">
        <v>2</v>
      </c>
      <c r="AA60" t="s">
        <v>42</v>
      </c>
      <c r="AB60" t="s">
        <v>31</v>
      </c>
      <c r="AC60">
        <v>63</v>
      </c>
      <c r="AD60" t="s">
        <v>45</v>
      </c>
      <c r="AG60">
        <v>26065</v>
      </c>
      <c r="AH60" t="s">
        <v>37</v>
      </c>
      <c r="AI60" s="4">
        <v>110000</v>
      </c>
      <c r="AJ60">
        <v>3</v>
      </c>
      <c r="AK60" t="s">
        <v>13</v>
      </c>
      <c r="AL60" t="s">
        <v>18</v>
      </c>
      <c r="AM60">
        <v>42</v>
      </c>
      <c r="AN60" t="s">
        <v>44</v>
      </c>
      <c r="BL60">
        <v>13466</v>
      </c>
      <c r="BM60" t="s">
        <v>35</v>
      </c>
      <c r="BN60" t="s">
        <v>38</v>
      </c>
      <c r="BO60" s="4">
        <v>80000</v>
      </c>
      <c r="BP60" s="4">
        <v>80000</v>
      </c>
      <c r="BQ60">
        <v>5</v>
      </c>
      <c r="BR60" t="s">
        <v>21</v>
      </c>
      <c r="BS60" t="s">
        <v>15</v>
      </c>
      <c r="BT60">
        <v>46</v>
      </c>
      <c r="CB60">
        <v>20401</v>
      </c>
      <c r="CC60" t="s">
        <v>35</v>
      </c>
      <c r="CD60" t="s">
        <v>37</v>
      </c>
      <c r="CE60" s="4">
        <v>50000</v>
      </c>
      <c r="CF60">
        <v>4</v>
      </c>
      <c r="CG60" t="s">
        <v>28</v>
      </c>
      <c r="CH60" t="s">
        <v>15</v>
      </c>
      <c r="CI60">
        <v>64</v>
      </c>
      <c r="CK60">
        <v>20401</v>
      </c>
      <c r="CL60" t="s">
        <v>35</v>
      </c>
      <c r="CM60" t="s">
        <v>37</v>
      </c>
      <c r="CN60" s="4">
        <v>50000</v>
      </c>
      <c r="CO60">
        <v>4</v>
      </c>
      <c r="CP60" t="s">
        <v>28</v>
      </c>
      <c r="CQ60" t="s">
        <v>15</v>
      </c>
      <c r="CR60">
        <v>64</v>
      </c>
      <c r="CS60">
        <v>2</v>
      </c>
    </row>
    <row r="61" spans="1:97" x14ac:dyDescent="0.25">
      <c r="A61">
        <v>16179</v>
      </c>
      <c r="B61" t="s">
        <v>36</v>
      </c>
      <c r="C61" t="s">
        <v>37</v>
      </c>
      <c r="D61" s="11">
        <v>80000</v>
      </c>
      <c r="E61">
        <v>5</v>
      </c>
      <c r="F61" t="s">
        <v>13</v>
      </c>
      <c r="G61" t="s">
        <v>21</v>
      </c>
      <c r="H61" t="s">
        <v>15</v>
      </c>
      <c r="I61">
        <v>4</v>
      </c>
      <c r="J61" t="s">
        <v>26</v>
      </c>
      <c r="K61" t="s">
        <v>24</v>
      </c>
      <c r="L61">
        <v>38</v>
      </c>
      <c r="M61" t="str">
        <f t="shared" si="0"/>
        <v>MIddleAge</v>
      </c>
      <c r="N61" t="s">
        <v>18</v>
      </c>
      <c r="R61">
        <v>14608</v>
      </c>
      <c r="S61" t="s">
        <v>35</v>
      </c>
      <c r="T61" t="s">
        <v>38</v>
      </c>
      <c r="U61" s="4">
        <v>50000</v>
      </c>
      <c r="V61">
        <v>4</v>
      </c>
      <c r="W61" t="s">
        <v>13</v>
      </c>
      <c r="X61" t="s">
        <v>14</v>
      </c>
      <c r="Y61" t="s">
        <v>15</v>
      </c>
      <c r="Z61">
        <v>3</v>
      </c>
      <c r="AA61" t="s">
        <v>42</v>
      </c>
      <c r="AB61" t="s">
        <v>31</v>
      </c>
      <c r="AC61">
        <v>42</v>
      </c>
      <c r="AD61" t="s">
        <v>44</v>
      </c>
      <c r="AG61">
        <v>22719</v>
      </c>
      <c r="AH61" t="s">
        <v>38</v>
      </c>
      <c r="AI61" s="4">
        <v>110000</v>
      </c>
      <c r="AJ61">
        <v>3</v>
      </c>
      <c r="AK61" t="s">
        <v>13</v>
      </c>
      <c r="AL61" t="s">
        <v>15</v>
      </c>
      <c r="AM61">
        <v>40</v>
      </c>
      <c r="AN61" t="s">
        <v>44</v>
      </c>
      <c r="BL61">
        <v>13337</v>
      </c>
      <c r="BM61" t="s">
        <v>35</v>
      </c>
      <c r="BN61" t="s">
        <v>37</v>
      </c>
      <c r="BO61" s="4">
        <v>80000</v>
      </c>
      <c r="BP61" s="4">
        <v>80000</v>
      </c>
      <c r="BQ61">
        <v>5</v>
      </c>
      <c r="BR61" t="s">
        <v>28</v>
      </c>
      <c r="BS61" t="s">
        <v>15</v>
      </c>
      <c r="BT61">
        <v>64</v>
      </c>
      <c r="CB61">
        <v>19747</v>
      </c>
      <c r="CC61" t="s">
        <v>35</v>
      </c>
      <c r="CD61" t="s">
        <v>38</v>
      </c>
      <c r="CE61" s="4">
        <v>50000</v>
      </c>
      <c r="CF61">
        <v>4</v>
      </c>
      <c r="CG61" t="s">
        <v>28</v>
      </c>
      <c r="CH61" t="s">
        <v>15</v>
      </c>
      <c r="CI61">
        <v>63</v>
      </c>
      <c r="CK61">
        <v>19747</v>
      </c>
      <c r="CL61" t="s">
        <v>35</v>
      </c>
      <c r="CM61" t="s">
        <v>38</v>
      </c>
      <c r="CN61" s="4">
        <v>50000</v>
      </c>
      <c r="CO61">
        <v>4</v>
      </c>
      <c r="CP61" t="s">
        <v>28</v>
      </c>
      <c r="CQ61" t="s">
        <v>15</v>
      </c>
      <c r="CR61">
        <v>63</v>
      </c>
      <c r="CS61">
        <v>2</v>
      </c>
    </row>
    <row r="62" spans="1:97" x14ac:dyDescent="0.25">
      <c r="A62">
        <v>15740</v>
      </c>
      <c r="B62" t="s">
        <v>35</v>
      </c>
      <c r="C62" t="s">
        <v>38</v>
      </c>
      <c r="D62" s="11">
        <v>80000</v>
      </c>
      <c r="E62">
        <v>5</v>
      </c>
      <c r="F62" t="s">
        <v>13</v>
      </c>
      <c r="G62" t="s">
        <v>28</v>
      </c>
      <c r="H62" t="s">
        <v>15</v>
      </c>
      <c r="I62">
        <v>2</v>
      </c>
      <c r="J62" t="s">
        <v>26</v>
      </c>
      <c r="K62" t="s">
        <v>31</v>
      </c>
      <c r="L62">
        <v>64</v>
      </c>
      <c r="M62" t="str">
        <f t="shared" si="0"/>
        <v>Old</v>
      </c>
      <c r="N62" t="s">
        <v>18</v>
      </c>
      <c r="R62">
        <v>29133</v>
      </c>
      <c r="S62" t="s">
        <v>36</v>
      </c>
      <c r="T62" t="s">
        <v>37</v>
      </c>
      <c r="U62" s="4">
        <v>60000</v>
      </c>
      <c r="V62">
        <v>4</v>
      </c>
      <c r="W62" t="s">
        <v>13</v>
      </c>
      <c r="X62" t="s">
        <v>14</v>
      </c>
      <c r="Y62" t="s">
        <v>18</v>
      </c>
      <c r="Z62">
        <v>2</v>
      </c>
      <c r="AA62" t="s">
        <v>16</v>
      </c>
      <c r="AB62" t="s">
        <v>31</v>
      </c>
      <c r="AC62">
        <v>42</v>
      </c>
      <c r="AD62" t="s">
        <v>44</v>
      </c>
      <c r="AG62">
        <v>19057</v>
      </c>
      <c r="AH62" t="s">
        <v>37</v>
      </c>
      <c r="AI62" s="4">
        <v>120000</v>
      </c>
      <c r="AJ62">
        <v>3</v>
      </c>
      <c r="AK62" t="s">
        <v>13</v>
      </c>
      <c r="AL62" t="s">
        <v>18</v>
      </c>
      <c r="AM62">
        <v>52</v>
      </c>
      <c r="AN62" t="s">
        <v>44</v>
      </c>
      <c r="BL62">
        <v>23461</v>
      </c>
      <c r="BM62" t="s">
        <v>35</v>
      </c>
      <c r="BN62" t="s">
        <v>37</v>
      </c>
      <c r="BO62" s="4">
        <v>90000</v>
      </c>
      <c r="BP62" s="4">
        <v>90000</v>
      </c>
      <c r="BQ62">
        <v>5</v>
      </c>
      <c r="BR62" t="s">
        <v>21</v>
      </c>
      <c r="BS62" t="s">
        <v>15</v>
      </c>
      <c r="BT62">
        <v>40</v>
      </c>
      <c r="CB62">
        <v>14608</v>
      </c>
      <c r="CC62" t="s">
        <v>35</v>
      </c>
      <c r="CD62" t="s">
        <v>38</v>
      </c>
      <c r="CE62" s="4">
        <v>50000</v>
      </c>
      <c r="CF62">
        <v>4</v>
      </c>
      <c r="CG62" t="s">
        <v>14</v>
      </c>
      <c r="CH62" t="s">
        <v>15</v>
      </c>
      <c r="CI62">
        <v>42</v>
      </c>
      <c r="CK62">
        <v>14608</v>
      </c>
      <c r="CL62" t="s">
        <v>35</v>
      </c>
      <c r="CM62" t="s">
        <v>38</v>
      </c>
      <c r="CN62" s="4">
        <v>50000</v>
      </c>
      <c r="CO62">
        <v>4</v>
      </c>
      <c r="CP62" t="s">
        <v>14</v>
      </c>
      <c r="CQ62" t="s">
        <v>15</v>
      </c>
      <c r="CR62">
        <v>42</v>
      </c>
      <c r="CS62">
        <v>3</v>
      </c>
    </row>
    <row r="63" spans="1:97" x14ac:dyDescent="0.25">
      <c r="A63">
        <v>15682</v>
      </c>
      <c r="B63" t="s">
        <v>36</v>
      </c>
      <c r="C63" t="s">
        <v>37</v>
      </c>
      <c r="D63" s="11">
        <v>80000</v>
      </c>
      <c r="E63">
        <v>5</v>
      </c>
      <c r="F63" t="s">
        <v>13</v>
      </c>
      <c r="G63" t="s">
        <v>28</v>
      </c>
      <c r="H63" t="s">
        <v>15</v>
      </c>
      <c r="I63">
        <v>2</v>
      </c>
      <c r="J63" t="s">
        <v>42</v>
      </c>
      <c r="K63" t="s">
        <v>17</v>
      </c>
      <c r="L63">
        <v>62</v>
      </c>
      <c r="M63" t="str">
        <f t="shared" si="0"/>
        <v>Old</v>
      </c>
      <c r="N63" t="s">
        <v>18</v>
      </c>
      <c r="R63">
        <v>26597</v>
      </c>
      <c r="S63" t="s">
        <v>36</v>
      </c>
      <c r="T63" t="s">
        <v>37</v>
      </c>
      <c r="U63" s="4">
        <v>60000</v>
      </c>
      <c r="V63">
        <v>4</v>
      </c>
      <c r="W63" t="s">
        <v>13</v>
      </c>
      <c r="X63" t="s">
        <v>14</v>
      </c>
      <c r="Y63" t="s">
        <v>18</v>
      </c>
      <c r="Z63">
        <v>2</v>
      </c>
      <c r="AA63" t="s">
        <v>16</v>
      </c>
      <c r="AB63" t="s">
        <v>31</v>
      </c>
      <c r="AC63">
        <v>42</v>
      </c>
      <c r="AD63" t="s">
        <v>44</v>
      </c>
      <c r="AG63">
        <v>29447</v>
      </c>
      <c r="AH63" t="s">
        <v>37</v>
      </c>
      <c r="AI63" s="4">
        <v>10000</v>
      </c>
      <c r="AJ63">
        <v>2</v>
      </c>
      <c r="AK63" t="s">
        <v>13</v>
      </c>
      <c r="AL63" t="s">
        <v>18</v>
      </c>
      <c r="AM63">
        <v>68</v>
      </c>
      <c r="AN63" t="s">
        <v>45</v>
      </c>
      <c r="BL63">
        <v>21940</v>
      </c>
      <c r="BM63" t="s">
        <v>35</v>
      </c>
      <c r="BN63" t="s">
        <v>38</v>
      </c>
      <c r="BO63" s="4">
        <v>90000</v>
      </c>
      <c r="BP63" s="4">
        <v>90000</v>
      </c>
      <c r="BQ63">
        <v>5</v>
      </c>
      <c r="BR63" t="s">
        <v>21</v>
      </c>
      <c r="BS63" t="s">
        <v>15</v>
      </c>
      <c r="BT63">
        <v>47</v>
      </c>
      <c r="CB63">
        <v>13920</v>
      </c>
      <c r="CC63" t="s">
        <v>36</v>
      </c>
      <c r="CD63" t="s">
        <v>37</v>
      </c>
      <c r="CE63" s="4">
        <v>50000</v>
      </c>
      <c r="CF63">
        <v>4</v>
      </c>
      <c r="CG63" t="s">
        <v>14</v>
      </c>
      <c r="CH63" t="s">
        <v>15</v>
      </c>
      <c r="CI63">
        <v>42</v>
      </c>
      <c r="CK63">
        <v>13920</v>
      </c>
      <c r="CL63" t="s">
        <v>36</v>
      </c>
      <c r="CM63" t="s">
        <v>37</v>
      </c>
      <c r="CN63" s="4">
        <v>50000</v>
      </c>
      <c r="CO63">
        <v>4</v>
      </c>
      <c r="CP63" t="s">
        <v>14</v>
      </c>
      <c r="CQ63" t="s">
        <v>15</v>
      </c>
      <c r="CR63">
        <v>42</v>
      </c>
      <c r="CS63">
        <v>2</v>
      </c>
    </row>
    <row r="64" spans="1:97" x14ac:dyDescent="0.25">
      <c r="A64">
        <v>14177</v>
      </c>
      <c r="B64" t="s">
        <v>35</v>
      </c>
      <c r="C64" t="s">
        <v>38</v>
      </c>
      <c r="D64" s="11">
        <v>80000</v>
      </c>
      <c r="E64">
        <v>5</v>
      </c>
      <c r="F64" t="s">
        <v>19</v>
      </c>
      <c r="G64" t="s">
        <v>21</v>
      </c>
      <c r="H64" t="s">
        <v>18</v>
      </c>
      <c r="I64">
        <v>2</v>
      </c>
      <c r="J64" t="s">
        <v>22</v>
      </c>
      <c r="K64" t="s">
        <v>17</v>
      </c>
      <c r="L64">
        <v>60</v>
      </c>
      <c r="M64" t="str">
        <f t="shared" si="0"/>
        <v>Old</v>
      </c>
      <c r="N64" t="s">
        <v>18</v>
      </c>
      <c r="R64">
        <v>25970</v>
      </c>
      <c r="S64" t="s">
        <v>36</v>
      </c>
      <c r="T64" t="s">
        <v>37</v>
      </c>
      <c r="U64" s="4">
        <v>60000</v>
      </c>
      <c r="V64">
        <v>4</v>
      </c>
      <c r="W64" t="s">
        <v>13</v>
      </c>
      <c r="X64" t="s">
        <v>14</v>
      </c>
      <c r="Y64" t="s">
        <v>18</v>
      </c>
      <c r="Z64">
        <v>2</v>
      </c>
      <c r="AA64" t="s">
        <v>16</v>
      </c>
      <c r="AB64" t="s">
        <v>31</v>
      </c>
      <c r="AC64">
        <v>41</v>
      </c>
      <c r="AD64" t="s">
        <v>44</v>
      </c>
      <c r="AG64">
        <v>20974</v>
      </c>
      <c r="AH64" t="s">
        <v>38</v>
      </c>
      <c r="AI64" s="4">
        <v>10000</v>
      </c>
      <c r="AJ64">
        <v>2</v>
      </c>
      <c r="AK64" t="s">
        <v>13</v>
      </c>
      <c r="AL64" t="s">
        <v>15</v>
      </c>
      <c r="AM64">
        <v>66</v>
      </c>
      <c r="AN64" t="s">
        <v>45</v>
      </c>
      <c r="BL64">
        <v>17260</v>
      </c>
      <c r="BM64" t="s">
        <v>35</v>
      </c>
      <c r="BN64" t="s">
        <v>38</v>
      </c>
      <c r="BO64" s="4">
        <v>90000</v>
      </c>
      <c r="BP64" s="4">
        <v>90000</v>
      </c>
      <c r="BQ64">
        <v>5</v>
      </c>
      <c r="BR64" t="s">
        <v>21</v>
      </c>
      <c r="BS64" t="s">
        <v>15</v>
      </c>
      <c r="BT64">
        <v>41</v>
      </c>
      <c r="CB64">
        <v>29134</v>
      </c>
      <c r="CC64" t="s">
        <v>35</v>
      </c>
      <c r="CD64" t="s">
        <v>38</v>
      </c>
      <c r="CE64" s="4">
        <v>60000</v>
      </c>
      <c r="CF64">
        <v>4</v>
      </c>
      <c r="CG64" t="s">
        <v>14</v>
      </c>
      <c r="CH64" t="s">
        <v>18</v>
      </c>
      <c r="CI64">
        <v>42</v>
      </c>
      <c r="CK64">
        <v>29134</v>
      </c>
      <c r="CL64" t="s">
        <v>35</v>
      </c>
      <c r="CM64" t="s">
        <v>38</v>
      </c>
      <c r="CN64" s="4">
        <v>60000</v>
      </c>
      <c r="CO64">
        <v>4</v>
      </c>
      <c r="CP64" t="s">
        <v>14</v>
      </c>
      <c r="CQ64" t="s">
        <v>18</v>
      </c>
      <c r="CR64">
        <v>42</v>
      </c>
      <c r="CS64">
        <v>3</v>
      </c>
    </row>
    <row r="65" spans="1:97" x14ac:dyDescent="0.25">
      <c r="A65">
        <v>13961</v>
      </c>
      <c r="B65" t="s">
        <v>35</v>
      </c>
      <c r="C65" t="s">
        <v>37</v>
      </c>
      <c r="D65" s="11">
        <v>80000</v>
      </c>
      <c r="E65">
        <v>5</v>
      </c>
      <c r="F65" t="s">
        <v>30</v>
      </c>
      <c r="G65" t="s">
        <v>28</v>
      </c>
      <c r="H65" t="s">
        <v>15</v>
      </c>
      <c r="I65">
        <v>3</v>
      </c>
      <c r="J65" t="s">
        <v>16</v>
      </c>
      <c r="K65" t="s">
        <v>24</v>
      </c>
      <c r="L65">
        <v>40</v>
      </c>
      <c r="M65" t="str">
        <f t="shared" si="0"/>
        <v>MIddleAge</v>
      </c>
      <c r="N65" t="s">
        <v>18</v>
      </c>
      <c r="R65">
        <v>24322</v>
      </c>
      <c r="S65" t="s">
        <v>35</v>
      </c>
      <c r="T65" t="s">
        <v>37</v>
      </c>
      <c r="U65" s="4">
        <v>60000</v>
      </c>
      <c r="V65">
        <v>4</v>
      </c>
      <c r="W65" t="s">
        <v>13</v>
      </c>
      <c r="X65" t="s">
        <v>14</v>
      </c>
      <c r="Y65" t="s">
        <v>18</v>
      </c>
      <c r="Z65">
        <v>2</v>
      </c>
      <c r="AA65" t="s">
        <v>16</v>
      </c>
      <c r="AB65" t="s">
        <v>31</v>
      </c>
      <c r="AC65">
        <v>42</v>
      </c>
      <c r="AD65" t="s">
        <v>44</v>
      </c>
      <c r="AG65">
        <v>27745</v>
      </c>
      <c r="AH65" t="s">
        <v>38</v>
      </c>
      <c r="AI65" s="4">
        <v>40000</v>
      </c>
      <c r="AJ65">
        <v>2</v>
      </c>
      <c r="AK65" t="s">
        <v>13</v>
      </c>
      <c r="AL65" t="s">
        <v>15</v>
      </c>
      <c r="AM65">
        <v>63</v>
      </c>
      <c r="AN65" t="s">
        <v>45</v>
      </c>
      <c r="BL65">
        <v>17197</v>
      </c>
      <c r="BM65" t="s">
        <v>36</v>
      </c>
      <c r="BN65" t="s">
        <v>37</v>
      </c>
      <c r="BO65" s="4">
        <v>90000</v>
      </c>
      <c r="BP65" s="4">
        <v>90000</v>
      </c>
      <c r="BQ65">
        <v>5</v>
      </c>
      <c r="BR65" t="s">
        <v>21</v>
      </c>
      <c r="BS65" t="s">
        <v>15</v>
      </c>
      <c r="BT65">
        <v>62</v>
      </c>
      <c r="CB65">
        <v>29133</v>
      </c>
      <c r="CC65" t="s">
        <v>36</v>
      </c>
      <c r="CD65" t="s">
        <v>37</v>
      </c>
      <c r="CE65" s="4">
        <v>60000</v>
      </c>
      <c r="CF65">
        <v>4</v>
      </c>
      <c r="CG65" t="s">
        <v>14</v>
      </c>
      <c r="CH65" t="s">
        <v>18</v>
      </c>
      <c r="CI65">
        <v>42</v>
      </c>
      <c r="CK65">
        <v>29133</v>
      </c>
      <c r="CL65" t="s">
        <v>36</v>
      </c>
      <c r="CM65" t="s">
        <v>37</v>
      </c>
      <c r="CN65" s="4">
        <v>60000</v>
      </c>
      <c r="CO65">
        <v>4</v>
      </c>
      <c r="CP65" t="s">
        <v>14</v>
      </c>
      <c r="CQ65" t="s">
        <v>18</v>
      </c>
      <c r="CR65">
        <v>42</v>
      </c>
      <c r="CS65">
        <v>2</v>
      </c>
    </row>
    <row r="66" spans="1:97" x14ac:dyDescent="0.25">
      <c r="A66">
        <v>13466</v>
      </c>
      <c r="B66" t="s">
        <v>35</v>
      </c>
      <c r="C66" t="s">
        <v>38</v>
      </c>
      <c r="D66" s="11">
        <v>80000</v>
      </c>
      <c r="E66">
        <v>5</v>
      </c>
      <c r="F66" t="s">
        <v>19</v>
      </c>
      <c r="G66" t="s">
        <v>21</v>
      </c>
      <c r="H66" t="s">
        <v>15</v>
      </c>
      <c r="I66">
        <v>3</v>
      </c>
      <c r="J66" t="s">
        <v>26</v>
      </c>
      <c r="K66" t="s">
        <v>31</v>
      </c>
      <c r="L66">
        <v>46</v>
      </c>
      <c r="M66" t="str">
        <f t="shared" ref="M66:M129" si="1">IF(L66&gt; 54, "Old",IF(L66&gt;= 31, "MIddleAge",IF(L66&lt;31, "Adolescent", "Adult")))</f>
        <v>MIddleAge</v>
      </c>
      <c r="N66" t="s">
        <v>18</v>
      </c>
      <c r="R66">
        <v>21770</v>
      </c>
      <c r="S66" t="s">
        <v>35</v>
      </c>
      <c r="T66" t="s">
        <v>38</v>
      </c>
      <c r="U66" s="4">
        <v>60000</v>
      </c>
      <c r="V66">
        <v>4</v>
      </c>
      <c r="W66" t="s">
        <v>13</v>
      </c>
      <c r="X66" t="s">
        <v>28</v>
      </c>
      <c r="Y66" t="s">
        <v>15</v>
      </c>
      <c r="Z66">
        <v>2</v>
      </c>
      <c r="AA66" t="s">
        <v>42</v>
      </c>
      <c r="AB66" t="s">
        <v>31</v>
      </c>
      <c r="AC66">
        <v>60</v>
      </c>
      <c r="AD66" t="s">
        <v>45</v>
      </c>
      <c r="AG66">
        <v>26796</v>
      </c>
      <c r="AH66" t="s">
        <v>38</v>
      </c>
      <c r="AI66" s="4">
        <v>40000</v>
      </c>
      <c r="AJ66">
        <v>2</v>
      </c>
      <c r="AK66" t="s">
        <v>13</v>
      </c>
      <c r="AL66" t="s">
        <v>15</v>
      </c>
      <c r="AM66">
        <v>65</v>
      </c>
      <c r="AN66" t="s">
        <v>45</v>
      </c>
      <c r="BL66">
        <v>16007</v>
      </c>
      <c r="BM66" t="s">
        <v>35</v>
      </c>
      <c r="BN66" t="s">
        <v>37</v>
      </c>
      <c r="BO66" s="4">
        <v>90000</v>
      </c>
      <c r="BP66" s="4">
        <v>90000</v>
      </c>
      <c r="BQ66">
        <v>5</v>
      </c>
      <c r="BR66" t="s">
        <v>28</v>
      </c>
      <c r="BS66" t="s">
        <v>15</v>
      </c>
      <c r="BT66">
        <v>66</v>
      </c>
      <c r="CB66">
        <v>26597</v>
      </c>
      <c r="CC66" t="s">
        <v>36</v>
      </c>
      <c r="CD66" t="s">
        <v>37</v>
      </c>
      <c r="CE66" s="4">
        <v>60000</v>
      </c>
      <c r="CF66">
        <v>4</v>
      </c>
      <c r="CG66" t="s">
        <v>14</v>
      </c>
      <c r="CH66" t="s">
        <v>18</v>
      </c>
      <c r="CI66">
        <v>42</v>
      </c>
      <c r="CK66">
        <v>26597</v>
      </c>
      <c r="CL66" t="s">
        <v>36</v>
      </c>
      <c r="CM66" t="s">
        <v>37</v>
      </c>
      <c r="CN66" s="4">
        <v>60000</v>
      </c>
      <c r="CO66">
        <v>4</v>
      </c>
      <c r="CP66" t="s">
        <v>14</v>
      </c>
      <c r="CQ66" t="s">
        <v>18</v>
      </c>
      <c r="CR66">
        <v>42</v>
      </c>
      <c r="CS66">
        <v>2</v>
      </c>
    </row>
    <row r="67" spans="1:97" x14ac:dyDescent="0.25">
      <c r="A67">
        <v>13337</v>
      </c>
      <c r="B67" t="s">
        <v>35</v>
      </c>
      <c r="C67" t="s">
        <v>37</v>
      </c>
      <c r="D67" s="11">
        <v>80000</v>
      </c>
      <c r="E67">
        <v>5</v>
      </c>
      <c r="F67" t="s">
        <v>13</v>
      </c>
      <c r="G67" t="s">
        <v>28</v>
      </c>
      <c r="H67" t="s">
        <v>15</v>
      </c>
      <c r="I67">
        <v>2</v>
      </c>
      <c r="J67" t="s">
        <v>23</v>
      </c>
      <c r="K67" t="s">
        <v>31</v>
      </c>
      <c r="L67">
        <v>64</v>
      </c>
      <c r="M67" t="str">
        <f t="shared" si="1"/>
        <v>Old</v>
      </c>
      <c r="N67" t="s">
        <v>18</v>
      </c>
      <c r="R67">
        <v>20698</v>
      </c>
      <c r="S67" t="s">
        <v>35</v>
      </c>
      <c r="T67" t="s">
        <v>38</v>
      </c>
      <c r="U67" s="4">
        <v>60000</v>
      </c>
      <c r="V67">
        <v>4</v>
      </c>
      <c r="W67" t="s">
        <v>13</v>
      </c>
      <c r="X67" t="s">
        <v>14</v>
      </c>
      <c r="Y67" t="s">
        <v>15</v>
      </c>
      <c r="Z67">
        <v>3</v>
      </c>
      <c r="AA67" t="s">
        <v>23</v>
      </c>
      <c r="AB67" t="s">
        <v>31</v>
      </c>
      <c r="AC67">
        <v>42</v>
      </c>
      <c r="AD67" t="s">
        <v>44</v>
      </c>
      <c r="AG67">
        <v>26167</v>
      </c>
      <c r="AH67" t="s">
        <v>37</v>
      </c>
      <c r="AI67" s="4">
        <v>40000</v>
      </c>
      <c r="AJ67">
        <v>2</v>
      </c>
      <c r="AK67" t="s">
        <v>13</v>
      </c>
      <c r="AL67" t="s">
        <v>18</v>
      </c>
      <c r="AM67">
        <v>53</v>
      </c>
      <c r="AN67" t="s">
        <v>44</v>
      </c>
      <c r="BL67">
        <v>13343</v>
      </c>
      <c r="BM67" t="s">
        <v>35</v>
      </c>
      <c r="BN67" t="s">
        <v>37</v>
      </c>
      <c r="BO67" s="4">
        <v>90000</v>
      </c>
      <c r="BP67" s="4">
        <v>90000</v>
      </c>
      <c r="BQ67">
        <v>5</v>
      </c>
      <c r="BR67" t="s">
        <v>28</v>
      </c>
      <c r="BS67" t="s">
        <v>15</v>
      </c>
      <c r="BT67">
        <v>63</v>
      </c>
      <c r="CB67">
        <v>25970</v>
      </c>
      <c r="CC67" t="s">
        <v>36</v>
      </c>
      <c r="CD67" t="s">
        <v>37</v>
      </c>
      <c r="CE67" s="4">
        <v>60000</v>
      </c>
      <c r="CF67">
        <v>4</v>
      </c>
      <c r="CG67" t="s">
        <v>14</v>
      </c>
      <c r="CH67" t="s">
        <v>18</v>
      </c>
      <c r="CI67">
        <v>41</v>
      </c>
      <c r="CK67">
        <v>25970</v>
      </c>
      <c r="CL67" t="s">
        <v>36</v>
      </c>
      <c r="CM67" t="s">
        <v>37</v>
      </c>
      <c r="CN67" s="4">
        <v>60000</v>
      </c>
      <c r="CO67">
        <v>4</v>
      </c>
      <c r="CP67" t="s">
        <v>14</v>
      </c>
      <c r="CQ67" t="s">
        <v>18</v>
      </c>
      <c r="CR67">
        <v>41</v>
      </c>
      <c r="CS67">
        <v>2</v>
      </c>
    </row>
    <row r="68" spans="1:97" x14ac:dyDescent="0.25">
      <c r="A68">
        <v>23461</v>
      </c>
      <c r="B68" t="s">
        <v>35</v>
      </c>
      <c r="C68" t="s">
        <v>37</v>
      </c>
      <c r="D68" s="11">
        <v>90000</v>
      </c>
      <c r="E68">
        <v>5</v>
      </c>
      <c r="F68" t="s">
        <v>19</v>
      </c>
      <c r="G68" t="s">
        <v>21</v>
      </c>
      <c r="H68" t="s">
        <v>15</v>
      </c>
      <c r="I68">
        <v>3</v>
      </c>
      <c r="J68" t="s">
        <v>22</v>
      </c>
      <c r="K68" t="s">
        <v>31</v>
      </c>
      <c r="L68">
        <v>40</v>
      </c>
      <c r="M68" t="str">
        <f t="shared" si="1"/>
        <v>MIddleAge</v>
      </c>
      <c r="N68" t="s">
        <v>18</v>
      </c>
      <c r="R68">
        <v>16247</v>
      </c>
      <c r="S68" t="s">
        <v>36</v>
      </c>
      <c r="T68" t="s">
        <v>37</v>
      </c>
      <c r="U68" s="4">
        <v>60000</v>
      </c>
      <c r="V68">
        <v>4</v>
      </c>
      <c r="W68" t="s">
        <v>30</v>
      </c>
      <c r="X68" t="s">
        <v>14</v>
      </c>
      <c r="Y68" t="s">
        <v>18</v>
      </c>
      <c r="Z68">
        <v>0</v>
      </c>
      <c r="AA68" t="s">
        <v>26</v>
      </c>
      <c r="AB68" t="s">
        <v>31</v>
      </c>
      <c r="AC68">
        <v>47</v>
      </c>
      <c r="AD68" t="s">
        <v>44</v>
      </c>
      <c r="AG68">
        <v>16713</v>
      </c>
      <c r="AH68" t="s">
        <v>38</v>
      </c>
      <c r="AI68" s="4">
        <v>40000</v>
      </c>
      <c r="AJ68">
        <v>2</v>
      </c>
      <c r="AK68" t="s">
        <v>13</v>
      </c>
      <c r="AL68" t="s">
        <v>15</v>
      </c>
      <c r="AM68">
        <v>52</v>
      </c>
      <c r="AN68" t="s">
        <v>44</v>
      </c>
      <c r="BL68">
        <v>12663</v>
      </c>
      <c r="BM68" t="s">
        <v>35</v>
      </c>
      <c r="BN68" t="s">
        <v>37</v>
      </c>
      <c r="BO68" s="4">
        <v>90000</v>
      </c>
      <c r="BP68" s="4">
        <v>90000</v>
      </c>
      <c r="BQ68">
        <v>5</v>
      </c>
      <c r="BR68" t="s">
        <v>14</v>
      </c>
      <c r="BS68" t="s">
        <v>15</v>
      </c>
      <c r="BT68">
        <v>59</v>
      </c>
      <c r="CB68">
        <v>24643</v>
      </c>
      <c r="CC68" t="s">
        <v>36</v>
      </c>
      <c r="CD68" t="s">
        <v>37</v>
      </c>
      <c r="CE68" s="4">
        <v>60000</v>
      </c>
      <c r="CF68">
        <v>4</v>
      </c>
      <c r="CG68" t="s">
        <v>28</v>
      </c>
      <c r="CH68" t="s">
        <v>15</v>
      </c>
      <c r="CI68">
        <v>63</v>
      </c>
      <c r="CK68">
        <v>24643</v>
      </c>
      <c r="CL68" t="s">
        <v>36</v>
      </c>
      <c r="CM68" t="s">
        <v>37</v>
      </c>
      <c r="CN68" s="4">
        <v>60000</v>
      </c>
      <c r="CO68">
        <v>4</v>
      </c>
      <c r="CP68" t="s">
        <v>28</v>
      </c>
      <c r="CQ68" t="s">
        <v>15</v>
      </c>
      <c r="CR68">
        <v>63</v>
      </c>
      <c r="CS68">
        <v>2</v>
      </c>
    </row>
    <row r="69" spans="1:97" x14ac:dyDescent="0.25">
      <c r="A69">
        <v>21940</v>
      </c>
      <c r="B69" t="s">
        <v>35</v>
      </c>
      <c r="C69" t="s">
        <v>38</v>
      </c>
      <c r="D69" s="11">
        <v>90000</v>
      </c>
      <c r="E69">
        <v>5</v>
      </c>
      <c r="F69" t="s">
        <v>30</v>
      </c>
      <c r="G69" t="s">
        <v>21</v>
      </c>
      <c r="H69" t="s">
        <v>15</v>
      </c>
      <c r="I69">
        <v>0</v>
      </c>
      <c r="J69" t="s">
        <v>16</v>
      </c>
      <c r="K69" t="s">
        <v>31</v>
      </c>
      <c r="L69">
        <v>47</v>
      </c>
      <c r="M69" t="str">
        <f t="shared" si="1"/>
        <v>MIddleAge</v>
      </c>
      <c r="N69" t="s">
        <v>15</v>
      </c>
      <c r="R69">
        <v>16185</v>
      </c>
      <c r="S69" t="s">
        <v>36</v>
      </c>
      <c r="T69" t="s">
        <v>38</v>
      </c>
      <c r="U69" s="4">
        <v>60000</v>
      </c>
      <c r="V69">
        <v>4</v>
      </c>
      <c r="W69" t="s">
        <v>13</v>
      </c>
      <c r="X69" t="s">
        <v>21</v>
      </c>
      <c r="Y69" t="s">
        <v>15</v>
      </c>
      <c r="Z69">
        <v>3</v>
      </c>
      <c r="AA69" t="s">
        <v>42</v>
      </c>
      <c r="AB69" t="s">
        <v>24</v>
      </c>
      <c r="AC69">
        <v>41</v>
      </c>
      <c r="AD69" t="s">
        <v>44</v>
      </c>
      <c r="AG69">
        <v>15822</v>
      </c>
      <c r="AH69" t="s">
        <v>38</v>
      </c>
      <c r="AI69" s="4">
        <v>40000</v>
      </c>
      <c r="AJ69">
        <v>2</v>
      </c>
      <c r="AK69" t="s">
        <v>13</v>
      </c>
      <c r="AL69" t="s">
        <v>15</v>
      </c>
      <c r="AM69">
        <v>67</v>
      </c>
      <c r="AN69" t="s">
        <v>45</v>
      </c>
      <c r="BL69">
        <v>12291</v>
      </c>
      <c r="BM69" t="s">
        <v>36</v>
      </c>
      <c r="BN69" t="s">
        <v>38</v>
      </c>
      <c r="BO69" s="4">
        <v>90000</v>
      </c>
      <c r="BP69" s="4">
        <v>90000</v>
      </c>
      <c r="BQ69">
        <v>5</v>
      </c>
      <c r="BR69" t="s">
        <v>21</v>
      </c>
      <c r="BS69" t="s">
        <v>18</v>
      </c>
      <c r="BT69">
        <v>62</v>
      </c>
      <c r="CB69">
        <v>24324</v>
      </c>
      <c r="CC69" t="s">
        <v>36</v>
      </c>
      <c r="CD69" t="s">
        <v>37</v>
      </c>
      <c r="CE69" s="4">
        <v>60000</v>
      </c>
      <c r="CF69">
        <v>4</v>
      </c>
      <c r="CG69" t="s">
        <v>14</v>
      </c>
      <c r="CH69" t="s">
        <v>15</v>
      </c>
      <c r="CI69">
        <v>41</v>
      </c>
      <c r="CK69">
        <v>24324</v>
      </c>
      <c r="CL69" t="s">
        <v>36</v>
      </c>
      <c r="CM69" t="s">
        <v>37</v>
      </c>
      <c r="CN69" s="4">
        <v>60000</v>
      </c>
      <c r="CO69">
        <v>4</v>
      </c>
      <c r="CP69" t="s">
        <v>14</v>
      </c>
      <c r="CQ69" t="s">
        <v>15</v>
      </c>
      <c r="CR69">
        <v>41</v>
      </c>
      <c r="CS69">
        <v>2</v>
      </c>
    </row>
    <row r="70" spans="1:97" x14ac:dyDescent="0.25">
      <c r="A70">
        <v>17260</v>
      </c>
      <c r="B70" t="s">
        <v>35</v>
      </c>
      <c r="C70" t="s">
        <v>38</v>
      </c>
      <c r="D70" s="11">
        <v>90000</v>
      </c>
      <c r="E70">
        <v>5</v>
      </c>
      <c r="F70" t="s">
        <v>19</v>
      </c>
      <c r="G70" t="s">
        <v>21</v>
      </c>
      <c r="H70" t="s">
        <v>15</v>
      </c>
      <c r="I70">
        <v>3</v>
      </c>
      <c r="J70" t="s">
        <v>16</v>
      </c>
      <c r="K70" t="s">
        <v>31</v>
      </c>
      <c r="L70">
        <v>41</v>
      </c>
      <c r="M70" t="str">
        <f t="shared" si="1"/>
        <v>MIddleAge</v>
      </c>
      <c r="N70" t="s">
        <v>18</v>
      </c>
      <c r="R70">
        <v>15532</v>
      </c>
      <c r="S70" t="s">
        <v>36</v>
      </c>
      <c r="T70" t="s">
        <v>38</v>
      </c>
      <c r="U70" s="4">
        <v>60000</v>
      </c>
      <c r="V70">
        <v>4</v>
      </c>
      <c r="W70" t="s">
        <v>13</v>
      </c>
      <c r="X70" t="s">
        <v>21</v>
      </c>
      <c r="Y70" t="s">
        <v>15</v>
      </c>
      <c r="Z70">
        <v>2</v>
      </c>
      <c r="AA70" t="s">
        <v>22</v>
      </c>
      <c r="AB70" t="s">
        <v>31</v>
      </c>
      <c r="AC70">
        <v>43</v>
      </c>
      <c r="AD70" t="s">
        <v>44</v>
      </c>
      <c r="AG70">
        <v>15265</v>
      </c>
      <c r="AH70" t="s">
        <v>38</v>
      </c>
      <c r="AI70" s="4">
        <v>40000</v>
      </c>
      <c r="AJ70">
        <v>2</v>
      </c>
      <c r="AK70" t="s">
        <v>13</v>
      </c>
      <c r="AL70" t="s">
        <v>15</v>
      </c>
      <c r="AM70">
        <v>66</v>
      </c>
      <c r="AN70" t="s">
        <v>45</v>
      </c>
      <c r="BL70">
        <v>11415</v>
      </c>
      <c r="BM70" t="s">
        <v>36</v>
      </c>
      <c r="BN70" t="s">
        <v>38</v>
      </c>
      <c r="BO70" s="4">
        <v>90000</v>
      </c>
      <c r="BP70" s="4">
        <v>90000</v>
      </c>
      <c r="BQ70">
        <v>5</v>
      </c>
      <c r="BR70" t="s">
        <v>21</v>
      </c>
      <c r="BS70" t="s">
        <v>18</v>
      </c>
      <c r="BT70">
        <v>62</v>
      </c>
      <c r="CB70">
        <v>24322</v>
      </c>
      <c r="CC70" t="s">
        <v>35</v>
      </c>
      <c r="CD70" t="s">
        <v>37</v>
      </c>
      <c r="CE70" s="4">
        <v>60000</v>
      </c>
      <c r="CF70">
        <v>4</v>
      </c>
      <c r="CG70" t="s">
        <v>14</v>
      </c>
      <c r="CH70" t="s">
        <v>18</v>
      </c>
      <c r="CI70">
        <v>42</v>
      </c>
      <c r="CK70">
        <v>24322</v>
      </c>
      <c r="CL70" t="s">
        <v>35</v>
      </c>
      <c r="CM70" t="s">
        <v>37</v>
      </c>
      <c r="CN70" s="4">
        <v>60000</v>
      </c>
      <c r="CO70">
        <v>4</v>
      </c>
      <c r="CP70" t="s">
        <v>14</v>
      </c>
      <c r="CQ70" t="s">
        <v>18</v>
      </c>
      <c r="CR70">
        <v>42</v>
      </c>
      <c r="CS70">
        <v>2</v>
      </c>
    </row>
    <row r="71" spans="1:97" x14ac:dyDescent="0.25">
      <c r="A71">
        <v>17197</v>
      </c>
      <c r="B71" t="s">
        <v>36</v>
      </c>
      <c r="C71" t="s">
        <v>37</v>
      </c>
      <c r="D71" s="11">
        <v>90000</v>
      </c>
      <c r="E71">
        <v>5</v>
      </c>
      <c r="F71" t="s">
        <v>19</v>
      </c>
      <c r="G71" t="s">
        <v>21</v>
      </c>
      <c r="H71" t="s">
        <v>15</v>
      </c>
      <c r="I71">
        <v>2</v>
      </c>
      <c r="J71" t="s">
        <v>42</v>
      </c>
      <c r="K71" t="s">
        <v>17</v>
      </c>
      <c r="L71">
        <v>62</v>
      </c>
      <c r="M71" t="str">
        <f t="shared" si="1"/>
        <v>Old</v>
      </c>
      <c r="N71" t="s">
        <v>18</v>
      </c>
      <c r="R71">
        <v>15529</v>
      </c>
      <c r="S71" t="s">
        <v>35</v>
      </c>
      <c r="T71" t="s">
        <v>38</v>
      </c>
      <c r="U71" s="4">
        <v>60000</v>
      </c>
      <c r="V71">
        <v>4</v>
      </c>
      <c r="W71" t="s">
        <v>13</v>
      </c>
      <c r="X71" t="s">
        <v>21</v>
      </c>
      <c r="Y71" t="s">
        <v>15</v>
      </c>
      <c r="Z71">
        <v>2</v>
      </c>
      <c r="AA71" t="s">
        <v>22</v>
      </c>
      <c r="AB71" t="s">
        <v>31</v>
      </c>
      <c r="AC71">
        <v>43</v>
      </c>
      <c r="AD71" t="s">
        <v>44</v>
      </c>
      <c r="AG71">
        <v>11644</v>
      </c>
      <c r="AH71" t="s">
        <v>38</v>
      </c>
      <c r="AI71" s="4">
        <v>40000</v>
      </c>
      <c r="AJ71">
        <v>2</v>
      </c>
      <c r="AK71" t="s">
        <v>13</v>
      </c>
      <c r="AL71" t="s">
        <v>15</v>
      </c>
      <c r="AM71">
        <v>36</v>
      </c>
      <c r="AN71" t="s">
        <v>44</v>
      </c>
      <c r="BL71">
        <v>22931</v>
      </c>
      <c r="BM71" t="s">
        <v>35</v>
      </c>
      <c r="BN71" t="s">
        <v>38</v>
      </c>
      <c r="BO71" s="4">
        <v>100000</v>
      </c>
      <c r="BP71" s="4">
        <v>100000</v>
      </c>
      <c r="BQ71">
        <v>5</v>
      </c>
      <c r="BR71" t="s">
        <v>28</v>
      </c>
      <c r="BS71" t="s">
        <v>18</v>
      </c>
      <c r="BT71">
        <v>78</v>
      </c>
      <c r="CB71">
        <v>21770</v>
      </c>
      <c r="CC71" t="s">
        <v>35</v>
      </c>
      <c r="CD71" t="s">
        <v>38</v>
      </c>
      <c r="CE71" s="4">
        <v>60000</v>
      </c>
      <c r="CF71">
        <v>4</v>
      </c>
      <c r="CG71" t="s">
        <v>28</v>
      </c>
      <c r="CH71" t="s">
        <v>15</v>
      </c>
      <c r="CI71">
        <v>60</v>
      </c>
      <c r="CK71">
        <v>21770</v>
      </c>
      <c r="CL71" t="s">
        <v>35</v>
      </c>
      <c r="CM71" t="s">
        <v>38</v>
      </c>
      <c r="CN71" s="4">
        <v>60000</v>
      </c>
      <c r="CO71">
        <v>4</v>
      </c>
      <c r="CP71" t="s">
        <v>28</v>
      </c>
      <c r="CQ71" t="s">
        <v>15</v>
      </c>
      <c r="CR71">
        <v>60</v>
      </c>
      <c r="CS71">
        <v>2</v>
      </c>
    </row>
    <row r="72" spans="1:97" x14ac:dyDescent="0.25">
      <c r="A72">
        <v>16007</v>
      </c>
      <c r="B72" t="s">
        <v>35</v>
      </c>
      <c r="C72" t="s">
        <v>37</v>
      </c>
      <c r="D72" s="11">
        <v>90000</v>
      </c>
      <c r="E72">
        <v>5</v>
      </c>
      <c r="F72" t="s">
        <v>13</v>
      </c>
      <c r="G72" t="s">
        <v>28</v>
      </c>
      <c r="H72" t="s">
        <v>15</v>
      </c>
      <c r="I72">
        <v>2</v>
      </c>
      <c r="J72" t="s">
        <v>26</v>
      </c>
      <c r="K72" t="s">
        <v>31</v>
      </c>
      <c r="L72">
        <v>66</v>
      </c>
      <c r="M72" t="str">
        <f t="shared" si="1"/>
        <v>Old</v>
      </c>
      <c r="N72" t="s">
        <v>15</v>
      </c>
      <c r="R72">
        <v>15313</v>
      </c>
      <c r="S72" t="s">
        <v>35</v>
      </c>
      <c r="T72" t="s">
        <v>38</v>
      </c>
      <c r="U72" s="4">
        <v>60000</v>
      </c>
      <c r="V72">
        <v>4</v>
      </c>
      <c r="W72" t="s">
        <v>13</v>
      </c>
      <c r="X72" t="s">
        <v>28</v>
      </c>
      <c r="Y72" t="s">
        <v>15</v>
      </c>
      <c r="Z72">
        <v>2</v>
      </c>
      <c r="AA72" t="s">
        <v>22</v>
      </c>
      <c r="AB72" t="s">
        <v>31</v>
      </c>
      <c r="AC72">
        <v>59</v>
      </c>
      <c r="AD72" t="s">
        <v>45</v>
      </c>
      <c r="AG72">
        <v>11149</v>
      </c>
      <c r="AH72" t="s">
        <v>38</v>
      </c>
      <c r="AI72" s="4">
        <v>40000</v>
      </c>
      <c r="AJ72">
        <v>2</v>
      </c>
      <c r="AK72" t="s">
        <v>13</v>
      </c>
      <c r="AL72" t="s">
        <v>15</v>
      </c>
      <c r="AM72">
        <v>65</v>
      </c>
      <c r="AN72" t="s">
        <v>45</v>
      </c>
      <c r="BL72">
        <v>13133</v>
      </c>
      <c r="BM72" t="s">
        <v>36</v>
      </c>
      <c r="BN72" t="s">
        <v>38</v>
      </c>
      <c r="BO72" s="4">
        <v>100000</v>
      </c>
      <c r="BP72" s="4">
        <v>100000</v>
      </c>
      <c r="BQ72">
        <v>5</v>
      </c>
      <c r="BR72" t="s">
        <v>21</v>
      </c>
      <c r="BS72" t="s">
        <v>15</v>
      </c>
      <c r="BT72">
        <v>47</v>
      </c>
      <c r="CB72">
        <v>20698</v>
      </c>
      <c r="CC72" t="s">
        <v>35</v>
      </c>
      <c r="CD72" t="s">
        <v>38</v>
      </c>
      <c r="CE72" s="4">
        <v>60000</v>
      </c>
      <c r="CF72">
        <v>4</v>
      </c>
      <c r="CG72" t="s">
        <v>14</v>
      </c>
      <c r="CH72" t="s">
        <v>15</v>
      </c>
      <c r="CI72">
        <v>42</v>
      </c>
      <c r="CK72">
        <v>20698</v>
      </c>
      <c r="CL72" t="s">
        <v>35</v>
      </c>
      <c r="CM72" t="s">
        <v>38</v>
      </c>
      <c r="CN72" s="4">
        <v>60000</v>
      </c>
      <c r="CO72">
        <v>4</v>
      </c>
      <c r="CP72" t="s">
        <v>14</v>
      </c>
      <c r="CQ72" t="s">
        <v>15</v>
      </c>
      <c r="CR72">
        <v>42</v>
      </c>
      <c r="CS72">
        <v>3</v>
      </c>
    </row>
    <row r="73" spans="1:97" x14ac:dyDescent="0.25">
      <c r="A73">
        <v>13343</v>
      </c>
      <c r="B73" t="s">
        <v>35</v>
      </c>
      <c r="C73" t="s">
        <v>37</v>
      </c>
      <c r="D73" s="11">
        <v>90000</v>
      </c>
      <c r="E73">
        <v>5</v>
      </c>
      <c r="F73" t="s">
        <v>13</v>
      </c>
      <c r="G73" t="s">
        <v>28</v>
      </c>
      <c r="H73" t="s">
        <v>15</v>
      </c>
      <c r="I73">
        <v>2</v>
      </c>
      <c r="J73" t="s">
        <v>26</v>
      </c>
      <c r="K73" t="s">
        <v>31</v>
      </c>
      <c r="L73">
        <v>63</v>
      </c>
      <c r="M73" t="str">
        <f t="shared" si="1"/>
        <v>Old</v>
      </c>
      <c r="N73" t="s">
        <v>15</v>
      </c>
      <c r="R73">
        <v>12452</v>
      </c>
      <c r="S73" t="s">
        <v>35</v>
      </c>
      <c r="T73" t="s">
        <v>38</v>
      </c>
      <c r="U73" s="4">
        <v>60000</v>
      </c>
      <c r="V73">
        <v>4</v>
      </c>
      <c r="W73" t="s">
        <v>30</v>
      </c>
      <c r="X73" t="s">
        <v>14</v>
      </c>
      <c r="Y73" t="s">
        <v>15</v>
      </c>
      <c r="Z73">
        <v>0</v>
      </c>
      <c r="AA73" t="s">
        <v>26</v>
      </c>
      <c r="AB73" t="s">
        <v>31</v>
      </c>
      <c r="AC73">
        <v>47</v>
      </c>
      <c r="AD73" t="s">
        <v>44</v>
      </c>
      <c r="AG73">
        <v>20657</v>
      </c>
      <c r="AH73" t="s">
        <v>38</v>
      </c>
      <c r="AI73" s="4">
        <v>50000</v>
      </c>
      <c r="AJ73">
        <v>2</v>
      </c>
      <c r="AK73" t="s">
        <v>13</v>
      </c>
      <c r="AL73" t="s">
        <v>15</v>
      </c>
      <c r="AM73">
        <v>37</v>
      </c>
      <c r="AN73" t="s">
        <v>44</v>
      </c>
      <c r="BL73">
        <v>18494</v>
      </c>
      <c r="BM73" t="s">
        <v>35</v>
      </c>
      <c r="BN73" t="s">
        <v>38</v>
      </c>
      <c r="BO73" s="4">
        <v>110000</v>
      </c>
      <c r="BP73" s="4">
        <v>110000</v>
      </c>
      <c r="BQ73">
        <v>5</v>
      </c>
      <c r="BR73" t="s">
        <v>28</v>
      </c>
      <c r="BS73" t="s">
        <v>15</v>
      </c>
      <c r="BT73">
        <v>48</v>
      </c>
      <c r="CB73">
        <v>19856</v>
      </c>
      <c r="CC73" t="s">
        <v>35</v>
      </c>
      <c r="CD73" t="s">
        <v>37</v>
      </c>
      <c r="CE73" s="4">
        <v>60000</v>
      </c>
      <c r="CF73">
        <v>4</v>
      </c>
      <c r="CG73" t="s">
        <v>28</v>
      </c>
      <c r="CH73" t="s">
        <v>15</v>
      </c>
      <c r="CI73">
        <v>60</v>
      </c>
      <c r="CK73">
        <v>19856</v>
      </c>
      <c r="CL73" t="s">
        <v>35</v>
      </c>
      <c r="CM73" t="s">
        <v>37</v>
      </c>
      <c r="CN73" s="4">
        <v>60000</v>
      </c>
      <c r="CO73">
        <v>4</v>
      </c>
      <c r="CP73" t="s">
        <v>28</v>
      </c>
      <c r="CQ73" t="s">
        <v>15</v>
      </c>
      <c r="CR73">
        <v>60</v>
      </c>
      <c r="CS73">
        <v>2</v>
      </c>
    </row>
    <row r="74" spans="1:97" x14ac:dyDescent="0.25">
      <c r="A74">
        <v>12663</v>
      </c>
      <c r="B74" t="s">
        <v>35</v>
      </c>
      <c r="C74" t="s">
        <v>37</v>
      </c>
      <c r="D74" s="11">
        <v>90000</v>
      </c>
      <c r="E74">
        <v>5</v>
      </c>
      <c r="F74" t="s">
        <v>29</v>
      </c>
      <c r="G74" t="s">
        <v>14</v>
      </c>
      <c r="H74" t="s">
        <v>15</v>
      </c>
      <c r="I74">
        <v>2</v>
      </c>
      <c r="J74" t="s">
        <v>42</v>
      </c>
      <c r="K74" t="s">
        <v>17</v>
      </c>
      <c r="L74">
        <v>59</v>
      </c>
      <c r="M74" t="str">
        <f t="shared" si="1"/>
        <v>Old</v>
      </c>
      <c r="N74" t="s">
        <v>18</v>
      </c>
      <c r="R74">
        <v>11738</v>
      </c>
      <c r="S74" t="s">
        <v>35</v>
      </c>
      <c r="T74" t="s">
        <v>38</v>
      </c>
      <c r="U74" s="4">
        <v>60000</v>
      </c>
      <c r="V74">
        <v>4</v>
      </c>
      <c r="W74" t="s">
        <v>13</v>
      </c>
      <c r="X74" t="s">
        <v>21</v>
      </c>
      <c r="Y74" t="s">
        <v>15</v>
      </c>
      <c r="Z74">
        <v>0</v>
      </c>
      <c r="AA74" t="s">
        <v>22</v>
      </c>
      <c r="AB74" t="s">
        <v>31</v>
      </c>
      <c r="AC74">
        <v>46</v>
      </c>
      <c r="AD74" t="s">
        <v>44</v>
      </c>
      <c r="AG74">
        <v>19133</v>
      </c>
      <c r="AH74" t="s">
        <v>38</v>
      </c>
      <c r="AI74" s="4">
        <v>50000</v>
      </c>
      <c r="AJ74">
        <v>2</v>
      </c>
      <c r="AK74" t="s">
        <v>13</v>
      </c>
      <c r="AL74" t="s">
        <v>15</v>
      </c>
      <c r="AM74">
        <v>38</v>
      </c>
      <c r="AN74" t="s">
        <v>44</v>
      </c>
      <c r="BL74">
        <v>15982</v>
      </c>
      <c r="BM74" t="s">
        <v>35</v>
      </c>
      <c r="BN74" t="s">
        <v>38</v>
      </c>
      <c r="BO74" s="4">
        <v>110000</v>
      </c>
      <c r="BP74" s="4">
        <v>110000</v>
      </c>
      <c r="BQ74">
        <v>5</v>
      </c>
      <c r="BR74" t="s">
        <v>21</v>
      </c>
      <c r="BS74" t="s">
        <v>15</v>
      </c>
      <c r="BT74">
        <v>46</v>
      </c>
      <c r="CB74">
        <v>18607</v>
      </c>
      <c r="CC74" t="s">
        <v>36</v>
      </c>
      <c r="CD74" t="s">
        <v>37</v>
      </c>
      <c r="CE74" s="4">
        <v>60000</v>
      </c>
      <c r="CF74">
        <v>4</v>
      </c>
      <c r="CG74" t="s">
        <v>14</v>
      </c>
      <c r="CH74" t="s">
        <v>15</v>
      </c>
      <c r="CI74">
        <v>42</v>
      </c>
      <c r="CK74">
        <v>18607</v>
      </c>
      <c r="CL74" t="s">
        <v>36</v>
      </c>
      <c r="CM74" t="s">
        <v>37</v>
      </c>
      <c r="CN74" s="4">
        <v>60000</v>
      </c>
      <c r="CO74">
        <v>4</v>
      </c>
      <c r="CP74" t="s">
        <v>14</v>
      </c>
      <c r="CQ74" t="s">
        <v>15</v>
      </c>
      <c r="CR74">
        <v>42</v>
      </c>
      <c r="CS74">
        <v>2</v>
      </c>
    </row>
    <row r="75" spans="1:97" x14ac:dyDescent="0.25">
      <c r="A75">
        <v>12291</v>
      </c>
      <c r="B75" t="s">
        <v>36</v>
      </c>
      <c r="C75" t="s">
        <v>38</v>
      </c>
      <c r="D75" s="11">
        <v>90000</v>
      </c>
      <c r="E75">
        <v>5</v>
      </c>
      <c r="F75" t="s">
        <v>19</v>
      </c>
      <c r="G75" t="s">
        <v>21</v>
      </c>
      <c r="H75" t="s">
        <v>18</v>
      </c>
      <c r="I75">
        <v>2</v>
      </c>
      <c r="J75" t="s">
        <v>22</v>
      </c>
      <c r="K75" t="s">
        <v>17</v>
      </c>
      <c r="L75">
        <v>62</v>
      </c>
      <c r="M75" t="str">
        <f t="shared" si="1"/>
        <v>Old</v>
      </c>
      <c r="N75" t="s">
        <v>15</v>
      </c>
      <c r="R75">
        <v>11540</v>
      </c>
      <c r="S75" t="s">
        <v>36</v>
      </c>
      <c r="T75" t="s">
        <v>38</v>
      </c>
      <c r="U75" s="4">
        <v>60000</v>
      </c>
      <c r="V75">
        <v>4</v>
      </c>
      <c r="W75" t="s">
        <v>30</v>
      </c>
      <c r="X75" t="s">
        <v>14</v>
      </c>
      <c r="Y75" t="s">
        <v>15</v>
      </c>
      <c r="Z75">
        <v>0</v>
      </c>
      <c r="AA75" t="s">
        <v>26</v>
      </c>
      <c r="AB75" t="s">
        <v>31</v>
      </c>
      <c r="AC75">
        <v>47</v>
      </c>
      <c r="AD75" t="s">
        <v>44</v>
      </c>
      <c r="AG75">
        <v>29181</v>
      </c>
      <c r="AH75" t="s">
        <v>37</v>
      </c>
      <c r="AI75" s="4">
        <v>60000</v>
      </c>
      <c r="AJ75">
        <v>2</v>
      </c>
      <c r="AK75" t="s">
        <v>13</v>
      </c>
      <c r="AL75" t="s">
        <v>18</v>
      </c>
      <c r="AM75">
        <v>38</v>
      </c>
      <c r="AN75" t="s">
        <v>44</v>
      </c>
      <c r="BL75">
        <v>12664</v>
      </c>
      <c r="BM75" t="s">
        <v>35</v>
      </c>
      <c r="BN75" t="s">
        <v>37</v>
      </c>
      <c r="BO75" s="4">
        <v>130000</v>
      </c>
      <c r="BP75" s="4">
        <v>130000</v>
      </c>
      <c r="BQ75">
        <v>5</v>
      </c>
      <c r="BR75" t="s">
        <v>21</v>
      </c>
      <c r="BS75" t="s">
        <v>15</v>
      </c>
      <c r="BT75">
        <v>59</v>
      </c>
      <c r="CB75">
        <v>16185</v>
      </c>
      <c r="CC75" t="s">
        <v>36</v>
      </c>
      <c r="CD75" t="s">
        <v>38</v>
      </c>
      <c r="CE75" s="4">
        <v>60000</v>
      </c>
      <c r="CF75">
        <v>4</v>
      </c>
      <c r="CG75" t="s">
        <v>21</v>
      </c>
      <c r="CH75" t="s">
        <v>15</v>
      </c>
      <c r="CI75">
        <v>41</v>
      </c>
      <c r="CK75">
        <v>16185</v>
      </c>
      <c r="CL75" t="s">
        <v>36</v>
      </c>
      <c r="CM75" t="s">
        <v>38</v>
      </c>
      <c r="CN75" s="4">
        <v>60000</v>
      </c>
      <c r="CO75">
        <v>4</v>
      </c>
      <c r="CP75" t="s">
        <v>21</v>
      </c>
      <c r="CQ75" t="s">
        <v>15</v>
      </c>
      <c r="CR75">
        <v>41</v>
      </c>
      <c r="CS75">
        <v>3</v>
      </c>
    </row>
    <row r="76" spans="1:97" x14ac:dyDescent="0.25">
      <c r="A76">
        <v>11415</v>
      </c>
      <c r="B76" t="s">
        <v>36</v>
      </c>
      <c r="C76" t="s">
        <v>38</v>
      </c>
      <c r="D76" s="11">
        <v>90000</v>
      </c>
      <c r="E76">
        <v>5</v>
      </c>
      <c r="F76" t="s">
        <v>19</v>
      </c>
      <c r="G76" t="s">
        <v>21</v>
      </c>
      <c r="H76" t="s">
        <v>18</v>
      </c>
      <c r="I76">
        <v>2</v>
      </c>
      <c r="J76" t="s">
        <v>42</v>
      </c>
      <c r="K76" t="s">
        <v>17</v>
      </c>
      <c r="L76">
        <v>62</v>
      </c>
      <c r="M76" t="str">
        <f t="shared" si="1"/>
        <v>Old</v>
      </c>
      <c r="N76" t="s">
        <v>18</v>
      </c>
      <c r="R76">
        <v>11538</v>
      </c>
      <c r="S76" t="s">
        <v>36</v>
      </c>
      <c r="T76" t="s">
        <v>37</v>
      </c>
      <c r="U76" s="4">
        <v>60000</v>
      </c>
      <c r="V76">
        <v>4</v>
      </c>
      <c r="W76" t="s">
        <v>30</v>
      </c>
      <c r="X76" t="s">
        <v>14</v>
      </c>
      <c r="Y76" t="s">
        <v>18</v>
      </c>
      <c r="Z76">
        <v>0</v>
      </c>
      <c r="AA76" t="s">
        <v>16</v>
      </c>
      <c r="AB76" t="s">
        <v>31</v>
      </c>
      <c r="AC76">
        <v>47</v>
      </c>
      <c r="AD76" t="s">
        <v>44</v>
      </c>
      <c r="AG76">
        <v>28657</v>
      </c>
      <c r="AH76" t="s">
        <v>38</v>
      </c>
      <c r="AI76" s="4">
        <v>60000</v>
      </c>
      <c r="AJ76">
        <v>2</v>
      </c>
      <c r="AK76" t="s">
        <v>13</v>
      </c>
      <c r="AL76" t="s">
        <v>15</v>
      </c>
      <c r="AM76">
        <v>36</v>
      </c>
      <c r="AN76" t="s">
        <v>44</v>
      </c>
      <c r="BL76">
        <v>27393</v>
      </c>
      <c r="BM76" t="s">
        <v>35</v>
      </c>
      <c r="BN76" t="s">
        <v>37</v>
      </c>
      <c r="BO76" s="4">
        <v>50000</v>
      </c>
      <c r="BP76" s="4">
        <v>50000</v>
      </c>
      <c r="BQ76">
        <v>4</v>
      </c>
      <c r="BR76" t="s">
        <v>28</v>
      </c>
      <c r="BS76" t="s">
        <v>15</v>
      </c>
      <c r="BT76">
        <v>63</v>
      </c>
      <c r="CB76">
        <v>15532</v>
      </c>
      <c r="CC76" t="s">
        <v>36</v>
      </c>
      <c r="CD76" t="s">
        <v>38</v>
      </c>
      <c r="CE76" s="4">
        <v>60000</v>
      </c>
      <c r="CF76">
        <v>4</v>
      </c>
      <c r="CG76" t="s">
        <v>21</v>
      </c>
      <c r="CH76" t="s">
        <v>15</v>
      </c>
      <c r="CI76">
        <v>43</v>
      </c>
      <c r="CK76">
        <v>15532</v>
      </c>
      <c r="CL76" t="s">
        <v>36</v>
      </c>
      <c r="CM76" t="s">
        <v>38</v>
      </c>
      <c r="CN76" s="4">
        <v>60000</v>
      </c>
      <c r="CO76">
        <v>4</v>
      </c>
      <c r="CP76" t="s">
        <v>21</v>
      </c>
      <c r="CQ76" t="s">
        <v>15</v>
      </c>
      <c r="CR76">
        <v>43</v>
      </c>
      <c r="CS76">
        <v>2</v>
      </c>
    </row>
    <row r="77" spans="1:97" x14ac:dyDescent="0.25">
      <c r="A77">
        <v>22931</v>
      </c>
      <c r="B77" t="s">
        <v>35</v>
      </c>
      <c r="C77" t="s">
        <v>38</v>
      </c>
      <c r="D77" s="11">
        <v>100000</v>
      </c>
      <c r="E77">
        <v>5</v>
      </c>
      <c r="F77" t="s">
        <v>30</v>
      </c>
      <c r="G77" t="s">
        <v>28</v>
      </c>
      <c r="H77" t="s">
        <v>18</v>
      </c>
      <c r="I77">
        <v>1</v>
      </c>
      <c r="J77" t="s">
        <v>26</v>
      </c>
      <c r="K77" t="s">
        <v>24</v>
      </c>
      <c r="L77">
        <v>78</v>
      </c>
      <c r="M77" t="str">
        <f t="shared" si="1"/>
        <v>Old</v>
      </c>
      <c r="N77" t="s">
        <v>15</v>
      </c>
      <c r="R77">
        <v>28672</v>
      </c>
      <c r="S77" t="s">
        <v>36</v>
      </c>
      <c r="T77" t="s">
        <v>38</v>
      </c>
      <c r="U77" s="4">
        <v>70000</v>
      </c>
      <c r="V77">
        <v>4</v>
      </c>
      <c r="W77" t="s">
        <v>30</v>
      </c>
      <c r="X77" t="s">
        <v>21</v>
      </c>
      <c r="Y77" t="s">
        <v>15</v>
      </c>
      <c r="Z77">
        <v>0</v>
      </c>
      <c r="AA77" t="s">
        <v>22</v>
      </c>
      <c r="AB77" t="s">
        <v>31</v>
      </c>
      <c r="AC77">
        <v>35</v>
      </c>
      <c r="AD77" t="s">
        <v>44</v>
      </c>
      <c r="AG77">
        <v>26663</v>
      </c>
      <c r="AH77" t="s">
        <v>37</v>
      </c>
      <c r="AI77" s="4">
        <v>60000</v>
      </c>
      <c r="AJ77">
        <v>2</v>
      </c>
      <c r="AK77" t="s">
        <v>13</v>
      </c>
      <c r="AL77" t="s">
        <v>18</v>
      </c>
      <c r="AM77">
        <v>39</v>
      </c>
      <c r="AN77" t="s">
        <v>44</v>
      </c>
      <c r="BL77">
        <v>21441</v>
      </c>
      <c r="BM77" t="s">
        <v>35</v>
      </c>
      <c r="BN77" t="s">
        <v>38</v>
      </c>
      <c r="BO77" s="4">
        <v>50000</v>
      </c>
      <c r="BP77" s="4">
        <v>50000</v>
      </c>
      <c r="BQ77">
        <v>4</v>
      </c>
      <c r="BR77" t="s">
        <v>28</v>
      </c>
      <c r="BS77" t="s">
        <v>15</v>
      </c>
      <c r="BT77">
        <v>64</v>
      </c>
      <c r="CB77">
        <v>15529</v>
      </c>
      <c r="CC77" t="s">
        <v>35</v>
      </c>
      <c r="CD77" t="s">
        <v>38</v>
      </c>
      <c r="CE77" s="4">
        <v>60000</v>
      </c>
      <c r="CF77">
        <v>4</v>
      </c>
      <c r="CG77" t="s">
        <v>21</v>
      </c>
      <c r="CH77" t="s">
        <v>15</v>
      </c>
      <c r="CI77">
        <v>43</v>
      </c>
      <c r="CK77">
        <v>15529</v>
      </c>
      <c r="CL77" t="s">
        <v>35</v>
      </c>
      <c r="CM77" t="s">
        <v>38</v>
      </c>
      <c r="CN77" s="4">
        <v>60000</v>
      </c>
      <c r="CO77">
        <v>4</v>
      </c>
      <c r="CP77" t="s">
        <v>21</v>
      </c>
      <c r="CQ77" t="s">
        <v>15</v>
      </c>
      <c r="CR77">
        <v>43</v>
      </c>
      <c r="CS77">
        <v>2</v>
      </c>
    </row>
    <row r="78" spans="1:97" x14ac:dyDescent="0.25">
      <c r="A78">
        <v>13133</v>
      </c>
      <c r="B78" t="s">
        <v>36</v>
      </c>
      <c r="C78" t="s">
        <v>38</v>
      </c>
      <c r="D78" s="11">
        <v>100000</v>
      </c>
      <c r="E78">
        <v>5</v>
      </c>
      <c r="F78" t="s">
        <v>13</v>
      </c>
      <c r="G78" t="s">
        <v>21</v>
      </c>
      <c r="H78" t="s">
        <v>15</v>
      </c>
      <c r="I78">
        <v>1</v>
      </c>
      <c r="J78" t="s">
        <v>23</v>
      </c>
      <c r="K78" t="s">
        <v>24</v>
      </c>
      <c r="L78">
        <v>47</v>
      </c>
      <c r="M78" t="str">
        <f t="shared" si="1"/>
        <v>MIddleAge</v>
      </c>
      <c r="N78" t="s">
        <v>15</v>
      </c>
      <c r="R78">
        <v>27650</v>
      </c>
      <c r="S78" t="s">
        <v>35</v>
      </c>
      <c r="T78" t="s">
        <v>38</v>
      </c>
      <c r="U78" s="4">
        <v>70000</v>
      </c>
      <c r="V78">
        <v>4</v>
      </c>
      <c r="W78" t="s">
        <v>27</v>
      </c>
      <c r="X78" t="s">
        <v>21</v>
      </c>
      <c r="Y78" t="s">
        <v>15</v>
      </c>
      <c r="Z78">
        <v>0</v>
      </c>
      <c r="AA78" t="s">
        <v>23</v>
      </c>
      <c r="AB78" t="s">
        <v>31</v>
      </c>
      <c r="AC78">
        <v>51</v>
      </c>
      <c r="AD78" t="s">
        <v>44</v>
      </c>
      <c r="AG78">
        <v>26305</v>
      </c>
      <c r="AH78" t="s">
        <v>37</v>
      </c>
      <c r="AI78" s="4">
        <v>60000</v>
      </c>
      <c r="AJ78">
        <v>2</v>
      </c>
      <c r="AK78" t="s">
        <v>13</v>
      </c>
      <c r="AL78" t="s">
        <v>18</v>
      </c>
      <c r="AM78">
        <v>36</v>
      </c>
      <c r="AN78" t="s">
        <v>44</v>
      </c>
      <c r="BL78">
        <v>20401</v>
      </c>
      <c r="BM78" t="s">
        <v>35</v>
      </c>
      <c r="BN78" t="s">
        <v>37</v>
      </c>
      <c r="BO78" s="4">
        <v>50000</v>
      </c>
      <c r="BP78" s="4">
        <v>50000</v>
      </c>
      <c r="BQ78">
        <v>4</v>
      </c>
      <c r="BR78" t="s">
        <v>28</v>
      </c>
      <c r="BS78" t="s">
        <v>15</v>
      </c>
      <c r="BT78">
        <v>64</v>
      </c>
      <c r="CB78">
        <v>15313</v>
      </c>
      <c r="CC78" t="s">
        <v>35</v>
      </c>
      <c r="CD78" t="s">
        <v>38</v>
      </c>
      <c r="CE78" s="4">
        <v>60000</v>
      </c>
      <c r="CF78">
        <v>4</v>
      </c>
      <c r="CG78" t="s">
        <v>28</v>
      </c>
      <c r="CH78" t="s">
        <v>15</v>
      </c>
      <c r="CI78">
        <v>59</v>
      </c>
      <c r="CK78">
        <v>15313</v>
      </c>
      <c r="CL78" t="s">
        <v>35</v>
      </c>
      <c r="CM78" t="s">
        <v>38</v>
      </c>
      <c r="CN78" s="4">
        <v>60000</v>
      </c>
      <c r="CO78">
        <v>4</v>
      </c>
      <c r="CP78" t="s">
        <v>28</v>
      </c>
      <c r="CQ78" t="s">
        <v>15</v>
      </c>
      <c r="CR78">
        <v>59</v>
      </c>
      <c r="CS78">
        <v>2</v>
      </c>
    </row>
    <row r="79" spans="1:97" x14ac:dyDescent="0.25">
      <c r="A79">
        <v>18494</v>
      </c>
      <c r="B79" t="s">
        <v>35</v>
      </c>
      <c r="C79" t="s">
        <v>38</v>
      </c>
      <c r="D79" s="11">
        <v>110000</v>
      </c>
      <c r="E79">
        <v>5</v>
      </c>
      <c r="F79" t="s">
        <v>13</v>
      </c>
      <c r="G79" t="s">
        <v>28</v>
      </c>
      <c r="H79" t="s">
        <v>15</v>
      </c>
      <c r="I79">
        <v>4</v>
      </c>
      <c r="J79" t="s">
        <v>22</v>
      </c>
      <c r="K79" t="s">
        <v>24</v>
      </c>
      <c r="L79">
        <v>48</v>
      </c>
      <c r="M79" t="str">
        <f t="shared" si="1"/>
        <v>MIddleAge</v>
      </c>
      <c r="N79" t="s">
        <v>15</v>
      </c>
      <c r="R79">
        <v>27434</v>
      </c>
      <c r="S79" t="s">
        <v>36</v>
      </c>
      <c r="T79" t="s">
        <v>38</v>
      </c>
      <c r="U79" s="4">
        <v>70000</v>
      </c>
      <c r="V79">
        <v>4</v>
      </c>
      <c r="W79" t="s">
        <v>19</v>
      </c>
      <c r="X79" t="s">
        <v>21</v>
      </c>
      <c r="Y79" t="s">
        <v>15</v>
      </c>
      <c r="Z79">
        <v>1</v>
      </c>
      <c r="AA79" t="s">
        <v>42</v>
      </c>
      <c r="AB79" t="s">
        <v>31</v>
      </c>
      <c r="AC79">
        <v>56</v>
      </c>
      <c r="AD79" t="s">
        <v>45</v>
      </c>
      <c r="AG79">
        <v>16163</v>
      </c>
      <c r="AH79" t="s">
        <v>38</v>
      </c>
      <c r="AI79" s="4">
        <v>60000</v>
      </c>
      <c r="AJ79">
        <v>2</v>
      </c>
      <c r="AK79" t="s">
        <v>13</v>
      </c>
      <c r="AL79" t="s">
        <v>15</v>
      </c>
      <c r="AM79">
        <v>38</v>
      </c>
      <c r="AN79" t="s">
        <v>44</v>
      </c>
      <c r="BL79">
        <v>19747</v>
      </c>
      <c r="BM79" t="s">
        <v>35</v>
      </c>
      <c r="BN79" t="s">
        <v>38</v>
      </c>
      <c r="BO79" s="4">
        <v>50000</v>
      </c>
      <c r="BP79" s="4">
        <v>50000</v>
      </c>
      <c r="BQ79">
        <v>4</v>
      </c>
      <c r="BR79" t="s">
        <v>28</v>
      </c>
      <c r="BS79" t="s">
        <v>15</v>
      </c>
      <c r="BT79">
        <v>63</v>
      </c>
      <c r="CB79">
        <v>13353</v>
      </c>
      <c r="CC79" t="s">
        <v>36</v>
      </c>
      <c r="CD79" t="s">
        <v>37</v>
      </c>
      <c r="CE79" s="4">
        <v>60000</v>
      </c>
      <c r="CF79">
        <v>4</v>
      </c>
      <c r="CG79" t="s">
        <v>28</v>
      </c>
      <c r="CH79" t="s">
        <v>15</v>
      </c>
      <c r="CI79">
        <v>61</v>
      </c>
      <c r="CK79">
        <v>13353</v>
      </c>
      <c r="CL79" t="s">
        <v>36</v>
      </c>
      <c r="CM79" t="s">
        <v>37</v>
      </c>
      <c r="CN79" s="4">
        <v>60000</v>
      </c>
      <c r="CO79">
        <v>4</v>
      </c>
      <c r="CP79" t="s">
        <v>28</v>
      </c>
      <c r="CQ79" t="s">
        <v>15</v>
      </c>
      <c r="CR79">
        <v>61</v>
      </c>
      <c r="CS79">
        <v>2</v>
      </c>
    </row>
    <row r="80" spans="1:97" x14ac:dyDescent="0.25">
      <c r="A80">
        <v>15982</v>
      </c>
      <c r="B80" t="s">
        <v>35</v>
      </c>
      <c r="C80" t="s">
        <v>38</v>
      </c>
      <c r="D80" s="11">
        <v>110000</v>
      </c>
      <c r="E80">
        <v>5</v>
      </c>
      <c r="F80" t="s">
        <v>19</v>
      </c>
      <c r="G80" t="s">
        <v>21</v>
      </c>
      <c r="H80" t="s">
        <v>15</v>
      </c>
      <c r="I80">
        <v>4</v>
      </c>
      <c r="J80" t="s">
        <v>22</v>
      </c>
      <c r="K80" t="s">
        <v>31</v>
      </c>
      <c r="L80">
        <v>46</v>
      </c>
      <c r="M80" t="str">
        <f t="shared" si="1"/>
        <v>MIddleAge</v>
      </c>
      <c r="N80" t="s">
        <v>18</v>
      </c>
      <c r="R80">
        <v>26327</v>
      </c>
      <c r="S80" t="s">
        <v>35</v>
      </c>
      <c r="T80" t="s">
        <v>38</v>
      </c>
      <c r="U80" s="4">
        <v>70000</v>
      </c>
      <c r="V80">
        <v>4</v>
      </c>
      <c r="W80" t="s">
        <v>30</v>
      </c>
      <c r="X80" t="s">
        <v>21</v>
      </c>
      <c r="Y80" t="s">
        <v>15</v>
      </c>
      <c r="Z80">
        <v>0</v>
      </c>
      <c r="AA80" t="s">
        <v>22</v>
      </c>
      <c r="AB80" t="s">
        <v>31</v>
      </c>
      <c r="AC80">
        <v>36</v>
      </c>
      <c r="AD80" t="s">
        <v>44</v>
      </c>
      <c r="AG80">
        <v>15580</v>
      </c>
      <c r="AH80" t="s">
        <v>38</v>
      </c>
      <c r="AI80" s="4">
        <v>60000</v>
      </c>
      <c r="AJ80">
        <v>2</v>
      </c>
      <c r="AK80" t="s">
        <v>13</v>
      </c>
      <c r="AL80" t="s">
        <v>15</v>
      </c>
      <c r="AM80">
        <v>38</v>
      </c>
      <c r="AN80" t="s">
        <v>44</v>
      </c>
      <c r="BL80">
        <v>14608</v>
      </c>
      <c r="BM80" t="s">
        <v>35</v>
      </c>
      <c r="BN80" t="s">
        <v>38</v>
      </c>
      <c r="BO80" s="4">
        <v>50000</v>
      </c>
      <c r="BP80" s="4">
        <v>50000</v>
      </c>
      <c r="BQ80">
        <v>4</v>
      </c>
      <c r="BR80" t="s">
        <v>14</v>
      </c>
      <c r="BS80" t="s">
        <v>15</v>
      </c>
      <c r="BT80">
        <v>42</v>
      </c>
      <c r="CB80">
        <v>25074</v>
      </c>
      <c r="CC80" t="s">
        <v>35</v>
      </c>
      <c r="CD80" t="s">
        <v>37</v>
      </c>
      <c r="CE80" s="4">
        <v>70000</v>
      </c>
      <c r="CF80">
        <v>4</v>
      </c>
      <c r="CG80" t="s">
        <v>21</v>
      </c>
      <c r="CH80" t="s">
        <v>15</v>
      </c>
      <c r="CI80">
        <v>42</v>
      </c>
      <c r="CK80">
        <v>25074</v>
      </c>
      <c r="CL80" t="s">
        <v>35</v>
      </c>
      <c r="CM80" t="s">
        <v>37</v>
      </c>
      <c r="CN80" s="4">
        <v>70000</v>
      </c>
      <c r="CO80">
        <v>4</v>
      </c>
      <c r="CP80" t="s">
        <v>21</v>
      </c>
      <c r="CQ80" t="s">
        <v>15</v>
      </c>
      <c r="CR80">
        <v>42</v>
      </c>
      <c r="CS80">
        <v>2</v>
      </c>
    </row>
    <row r="81" spans="1:97" x14ac:dyDescent="0.25">
      <c r="A81">
        <v>12664</v>
      </c>
      <c r="B81" t="s">
        <v>35</v>
      </c>
      <c r="C81" t="s">
        <v>37</v>
      </c>
      <c r="D81" s="11">
        <v>130000</v>
      </c>
      <c r="E81">
        <v>5</v>
      </c>
      <c r="F81" t="s">
        <v>19</v>
      </c>
      <c r="G81" t="s">
        <v>21</v>
      </c>
      <c r="H81" t="s">
        <v>15</v>
      </c>
      <c r="I81">
        <v>4</v>
      </c>
      <c r="J81" t="s">
        <v>16</v>
      </c>
      <c r="K81" t="s">
        <v>17</v>
      </c>
      <c r="L81">
        <v>59</v>
      </c>
      <c r="M81" t="str">
        <f t="shared" si="1"/>
        <v>Old</v>
      </c>
      <c r="N81" t="s">
        <v>18</v>
      </c>
      <c r="R81">
        <v>16112</v>
      </c>
      <c r="S81" t="s">
        <v>36</v>
      </c>
      <c r="T81" t="s">
        <v>38</v>
      </c>
      <c r="U81" s="4">
        <v>70000</v>
      </c>
      <c r="V81">
        <v>4</v>
      </c>
      <c r="W81" t="s">
        <v>13</v>
      </c>
      <c r="X81" t="s">
        <v>21</v>
      </c>
      <c r="Y81" t="s">
        <v>15</v>
      </c>
      <c r="Z81">
        <v>2</v>
      </c>
      <c r="AA81" t="s">
        <v>22</v>
      </c>
      <c r="AB81" t="s">
        <v>31</v>
      </c>
      <c r="AC81">
        <v>43</v>
      </c>
      <c r="AD81" t="s">
        <v>44</v>
      </c>
      <c r="AG81">
        <v>14389</v>
      </c>
      <c r="AH81" t="s">
        <v>38</v>
      </c>
      <c r="AI81" s="4">
        <v>60000</v>
      </c>
      <c r="AJ81">
        <v>2</v>
      </c>
      <c r="AK81" t="s">
        <v>13</v>
      </c>
      <c r="AL81" t="s">
        <v>15</v>
      </c>
      <c r="AM81">
        <v>59</v>
      </c>
      <c r="AN81" t="s">
        <v>45</v>
      </c>
      <c r="BL81">
        <v>13920</v>
      </c>
      <c r="BM81" t="s">
        <v>36</v>
      </c>
      <c r="BN81" t="s">
        <v>37</v>
      </c>
      <c r="BO81" s="4">
        <v>50000</v>
      </c>
      <c r="BP81" s="4">
        <v>50000</v>
      </c>
      <c r="BQ81">
        <v>4</v>
      </c>
      <c r="BR81" t="s">
        <v>14</v>
      </c>
      <c r="BS81" t="s">
        <v>15</v>
      </c>
      <c r="BT81">
        <v>42</v>
      </c>
      <c r="CB81">
        <v>19163</v>
      </c>
      <c r="CC81" t="s">
        <v>35</v>
      </c>
      <c r="CD81" t="s">
        <v>37</v>
      </c>
      <c r="CE81" s="4">
        <v>70000</v>
      </c>
      <c r="CF81">
        <v>4</v>
      </c>
      <c r="CG81" t="s">
        <v>21</v>
      </c>
      <c r="CH81" t="s">
        <v>15</v>
      </c>
      <c r="CI81">
        <v>43</v>
      </c>
      <c r="CK81">
        <v>19163</v>
      </c>
      <c r="CL81" t="s">
        <v>35</v>
      </c>
      <c r="CM81" t="s">
        <v>37</v>
      </c>
      <c r="CN81" s="4">
        <v>70000</v>
      </c>
      <c r="CO81">
        <v>4</v>
      </c>
      <c r="CP81" t="s">
        <v>21</v>
      </c>
      <c r="CQ81" t="s">
        <v>15</v>
      </c>
      <c r="CR81">
        <v>43</v>
      </c>
      <c r="CS81">
        <v>2</v>
      </c>
    </row>
    <row r="82" spans="1:97" x14ac:dyDescent="0.25">
      <c r="A82">
        <v>11434</v>
      </c>
      <c r="B82" t="s">
        <v>35</v>
      </c>
      <c r="C82" t="s">
        <v>38</v>
      </c>
      <c r="D82" s="11">
        <v>170000</v>
      </c>
      <c r="E82">
        <v>5</v>
      </c>
      <c r="F82" t="s">
        <v>19</v>
      </c>
      <c r="G82" t="s">
        <v>21</v>
      </c>
      <c r="H82" t="s">
        <v>15</v>
      </c>
      <c r="I82">
        <v>0</v>
      </c>
      <c r="J82" t="s">
        <v>16</v>
      </c>
      <c r="K82" t="s">
        <v>17</v>
      </c>
      <c r="L82">
        <v>55</v>
      </c>
      <c r="M82" t="str">
        <f t="shared" si="1"/>
        <v>Old</v>
      </c>
      <c r="N82" t="s">
        <v>18</v>
      </c>
      <c r="R82">
        <v>15501</v>
      </c>
      <c r="S82" t="s">
        <v>35</v>
      </c>
      <c r="T82" t="s">
        <v>38</v>
      </c>
      <c r="U82" s="4">
        <v>70000</v>
      </c>
      <c r="V82">
        <v>4</v>
      </c>
      <c r="W82" t="s">
        <v>30</v>
      </c>
      <c r="X82" t="s">
        <v>21</v>
      </c>
      <c r="Y82" t="s">
        <v>15</v>
      </c>
      <c r="Z82">
        <v>0</v>
      </c>
      <c r="AA82" t="s">
        <v>22</v>
      </c>
      <c r="AB82" t="s">
        <v>31</v>
      </c>
      <c r="AC82">
        <v>36</v>
      </c>
      <c r="AD82" t="s">
        <v>44</v>
      </c>
      <c r="AG82">
        <v>12993</v>
      </c>
      <c r="AH82" t="s">
        <v>38</v>
      </c>
      <c r="AI82" s="4">
        <v>60000</v>
      </c>
      <c r="AJ82">
        <v>2</v>
      </c>
      <c r="AK82" t="s">
        <v>13</v>
      </c>
      <c r="AL82" t="s">
        <v>15</v>
      </c>
      <c r="AM82">
        <v>37</v>
      </c>
      <c r="AN82" t="s">
        <v>44</v>
      </c>
      <c r="BL82">
        <v>29134</v>
      </c>
      <c r="BM82" t="s">
        <v>35</v>
      </c>
      <c r="BN82" t="s">
        <v>38</v>
      </c>
      <c r="BO82" s="4">
        <v>60000</v>
      </c>
      <c r="BP82" s="4">
        <v>60000</v>
      </c>
      <c r="BQ82">
        <v>4</v>
      </c>
      <c r="BR82" t="s">
        <v>14</v>
      </c>
      <c r="BS82" t="s">
        <v>18</v>
      </c>
      <c r="BT82">
        <v>42</v>
      </c>
      <c r="CB82">
        <v>17000</v>
      </c>
      <c r="CC82" t="s">
        <v>36</v>
      </c>
      <c r="CD82" t="s">
        <v>37</v>
      </c>
      <c r="CE82" s="4">
        <v>70000</v>
      </c>
      <c r="CF82">
        <v>4</v>
      </c>
      <c r="CG82" t="s">
        <v>14</v>
      </c>
      <c r="CH82" t="s">
        <v>15</v>
      </c>
      <c r="CI82">
        <v>43</v>
      </c>
      <c r="CK82">
        <v>17000</v>
      </c>
      <c r="CL82" t="s">
        <v>36</v>
      </c>
      <c r="CM82" t="s">
        <v>37</v>
      </c>
      <c r="CN82" s="4">
        <v>70000</v>
      </c>
      <c r="CO82">
        <v>4</v>
      </c>
      <c r="CP82" t="s">
        <v>14</v>
      </c>
      <c r="CQ82" t="s">
        <v>15</v>
      </c>
      <c r="CR82">
        <v>43</v>
      </c>
      <c r="CS82">
        <v>2</v>
      </c>
    </row>
    <row r="83" spans="1:97" x14ac:dyDescent="0.25">
      <c r="A83">
        <v>24061</v>
      </c>
      <c r="B83" t="s">
        <v>35</v>
      </c>
      <c r="C83" t="s">
        <v>38</v>
      </c>
      <c r="D83" s="11">
        <v>10000</v>
      </c>
      <c r="E83">
        <v>4</v>
      </c>
      <c r="F83" t="s">
        <v>29</v>
      </c>
      <c r="G83" t="s">
        <v>25</v>
      </c>
      <c r="H83" t="s">
        <v>15</v>
      </c>
      <c r="I83">
        <v>1</v>
      </c>
      <c r="J83" t="s">
        <v>16</v>
      </c>
      <c r="K83" t="s">
        <v>17</v>
      </c>
      <c r="L83">
        <v>40</v>
      </c>
      <c r="M83" t="str">
        <f t="shared" si="1"/>
        <v>MIddleAge</v>
      </c>
      <c r="N83" t="s">
        <v>15</v>
      </c>
      <c r="R83">
        <v>15319</v>
      </c>
      <c r="S83" t="s">
        <v>35</v>
      </c>
      <c r="T83" t="s">
        <v>37</v>
      </c>
      <c r="U83" s="4">
        <v>70000</v>
      </c>
      <c r="V83">
        <v>4</v>
      </c>
      <c r="W83" t="s">
        <v>13</v>
      </c>
      <c r="X83" t="s">
        <v>28</v>
      </c>
      <c r="Y83" t="s">
        <v>18</v>
      </c>
      <c r="Z83">
        <v>1</v>
      </c>
      <c r="AA83" t="s">
        <v>26</v>
      </c>
      <c r="AB83" t="s">
        <v>31</v>
      </c>
      <c r="AC83">
        <v>59</v>
      </c>
      <c r="AD83" t="s">
        <v>45</v>
      </c>
      <c r="AG83">
        <v>12100</v>
      </c>
      <c r="AH83" t="s">
        <v>38</v>
      </c>
      <c r="AI83" s="4">
        <v>60000</v>
      </c>
      <c r="AJ83">
        <v>2</v>
      </c>
      <c r="AK83" t="s">
        <v>13</v>
      </c>
      <c r="AL83" t="s">
        <v>15</v>
      </c>
      <c r="AM83">
        <v>57</v>
      </c>
      <c r="AN83" t="s">
        <v>45</v>
      </c>
      <c r="BL83">
        <v>29133</v>
      </c>
      <c r="BM83" t="s">
        <v>36</v>
      </c>
      <c r="BN83" t="s">
        <v>37</v>
      </c>
      <c r="BO83" s="4">
        <v>60000</v>
      </c>
      <c r="BP83" s="4">
        <v>60000</v>
      </c>
      <c r="BQ83">
        <v>4</v>
      </c>
      <c r="BR83" t="s">
        <v>14</v>
      </c>
      <c r="BS83" t="s">
        <v>18</v>
      </c>
      <c r="BT83">
        <v>42</v>
      </c>
      <c r="CB83">
        <v>16112</v>
      </c>
      <c r="CC83" t="s">
        <v>36</v>
      </c>
      <c r="CD83" t="s">
        <v>38</v>
      </c>
      <c r="CE83" s="4">
        <v>70000</v>
      </c>
      <c r="CF83">
        <v>4</v>
      </c>
      <c r="CG83" t="s">
        <v>21</v>
      </c>
      <c r="CH83" t="s">
        <v>15</v>
      </c>
      <c r="CI83">
        <v>43</v>
      </c>
      <c r="CK83">
        <v>16112</v>
      </c>
      <c r="CL83" t="s">
        <v>36</v>
      </c>
      <c r="CM83" t="s">
        <v>38</v>
      </c>
      <c r="CN83" s="4">
        <v>70000</v>
      </c>
      <c r="CO83">
        <v>4</v>
      </c>
      <c r="CP83" t="s">
        <v>21</v>
      </c>
      <c r="CQ83" t="s">
        <v>15</v>
      </c>
      <c r="CR83">
        <v>43</v>
      </c>
      <c r="CS83">
        <v>2</v>
      </c>
    </row>
    <row r="84" spans="1:97" x14ac:dyDescent="0.25">
      <c r="A84">
        <v>19461</v>
      </c>
      <c r="B84" t="s">
        <v>36</v>
      </c>
      <c r="C84" t="s">
        <v>37</v>
      </c>
      <c r="D84" s="11">
        <v>10000</v>
      </c>
      <c r="E84">
        <v>4</v>
      </c>
      <c r="F84" t="s">
        <v>29</v>
      </c>
      <c r="G84" t="s">
        <v>25</v>
      </c>
      <c r="H84" t="s">
        <v>15</v>
      </c>
      <c r="I84">
        <v>2</v>
      </c>
      <c r="J84" t="s">
        <v>16</v>
      </c>
      <c r="K84" t="s">
        <v>17</v>
      </c>
      <c r="L84">
        <v>40</v>
      </c>
      <c r="M84" t="str">
        <f t="shared" si="1"/>
        <v>MIddleAge</v>
      </c>
      <c r="N84" t="s">
        <v>18</v>
      </c>
      <c r="R84">
        <v>13390</v>
      </c>
      <c r="S84" t="s">
        <v>35</v>
      </c>
      <c r="T84" t="s">
        <v>37</v>
      </c>
      <c r="U84" s="4">
        <v>70000</v>
      </c>
      <c r="V84">
        <v>4</v>
      </c>
      <c r="W84" t="s">
        <v>19</v>
      </c>
      <c r="X84" t="s">
        <v>21</v>
      </c>
      <c r="Y84" t="s">
        <v>18</v>
      </c>
      <c r="Z84">
        <v>1</v>
      </c>
      <c r="AA84" t="s">
        <v>26</v>
      </c>
      <c r="AB84" t="s">
        <v>31</v>
      </c>
      <c r="AC84">
        <v>56</v>
      </c>
      <c r="AD84" t="s">
        <v>45</v>
      </c>
      <c r="AG84">
        <v>11809</v>
      </c>
      <c r="AH84" t="s">
        <v>38</v>
      </c>
      <c r="AI84" s="4">
        <v>60000</v>
      </c>
      <c r="AJ84">
        <v>2</v>
      </c>
      <c r="AK84" t="s">
        <v>13</v>
      </c>
      <c r="AL84" t="s">
        <v>15</v>
      </c>
      <c r="AM84">
        <v>38</v>
      </c>
      <c r="AN84" t="s">
        <v>44</v>
      </c>
      <c r="BL84">
        <v>26597</v>
      </c>
      <c r="BM84" t="s">
        <v>36</v>
      </c>
      <c r="BN84" t="s">
        <v>37</v>
      </c>
      <c r="BO84" s="4">
        <v>60000</v>
      </c>
      <c r="BP84" s="4">
        <v>60000</v>
      </c>
      <c r="BQ84">
        <v>4</v>
      </c>
      <c r="BR84" t="s">
        <v>14</v>
      </c>
      <c r="BS84" t="s">
        <v>18</v>
      </c>
      <c r="BT84">
        <v>42</v>
      </c>
      <c r="CB84">
        <v>15749</v>
      </c>
      <c r="CC84" t="s">
        <v>36</v>
      </c>
      <c r="CD84" t="s">
        <v>37</v>
      </c>
      <c r="CE84" s="4">
        <v>70000</v>
      </c>
      <c r="CF84">
        <v>4</v>
      </c>
      <c r="CG84" t="s">
        <v>28</v>
      </c>
      <c r="CH84" t="s">
        <v>15</v>
      </c>
      <c r="CI84">
        <v>61</v>
      </c>
      <c r="CK84">
        <v>15749</v>
      </c>
      <c r="CL84" t="s">
        <v>36</v>
      </c>
      <c r="CM84" t="s">
        <v>37</v>
      </c>
      <c r="CN84" s="4">
        <v>70000</v>
      </c>
      <c r="CO84">
        <v>4</v>
      </c>
      <c r="CP84" t="s">
        <v>28</v>
      </c>
      <c r="CQ84" t="s">
        <v>15</v>
      </c>
      <c r="CR84">
        <v>61</v>
      </c>
      <c r="CS84">
        <v>2</v>
      </c>
    </row>
    <row r="85" spans="1:97" x14ac:dyDescent="0.25">
      <c r="A85">
        <v>16410</v>
      </c>
      <c r="B85" t="s">
        <v>36</v>
      </c>
      <c r="C85" t="s">
        <v>37</v>
      </c>
      <c r="D85" s="11">
        <v>10000</v>
      </c>
      <c r="E85">
        <v>4</v>
      </c>
      <c r="F85" t="s">
        <v>29</v>
      </c>
      <c r="G85" t="s">
        <v>25</v>
      </c>
      <c r="H85" t="s">
        <v>15</v>
      </c>
      <c r="I85">
        <v>2</v>
      </c>
      <c r="J85" t="s">
        <v>16</v>
      </c>
      <c r="K85" t="s">
        <v>17</v>
      </c>
      <c r="L85">
        <v>41</v>
      </c>
      <c r="M85" t="str">
        <f t="shared" si="1"/>
        <v>MIddleAge</v>
      </c>
      <c r="N85" t="s">
        <v>15</v>
      </c>
      <c r="R85">
        <v>11663</v>
      </c>
      <c r="S85" t="s">
        <v>35</v>
      </c>
      <c r="T85" t="s">
        <v>38</v>
      </c>
      <c r="U85" s="4">
        <v>70000</v>
      </c>
      <c r="V85">
        <v>4</v>
      </c>
      <c r="W85" t="s">
        <v>30</v>
      </c>
      <c r="X85" t="s">
        <v>21</v>
      </c>
      <c r="Y85" t="s">
        <v>15</v>
      </c>
      <c r="Z85">
        <v>0</v>
      </c>
      <c r="AA85" t="s">
        <v>16</v>
      </c>
      <c r="AB85" t="s">
        <v>31</v>
      </c>
      <c r="AC85">
        <v>36</v>
      </c>
      <c r="AD85" t="s">
        <v>44</v>
      </c>
      <c r="AG85">
        <v>28031</v>
      </c>
      <c r="AH85" t="s">
        <v>37</v>
      </c>
      <c r="AI85" s="4">
        <v>70000</v>
      </c>
      <c r="AJ85">
        <v>2</v>
      </c>
      <c r="AK85" t="s">
        <v>13</v>
      </c>
      <c r="AL85" t="s">
        <v>18</v>
      </c>
      <c r="AM85">
        <v>59</v>
      </c>
      <c r="AN85" t="s">
        <v>45</v>
      </c>
      <c r="BL85">
        <v>25970</v>
      </c>
      <c r="BM85" t="s">
        <v>36</v>
      </c>
      <c r="BN85" t="s">
        <v>37</v>
      </c>
      <c r="BO85" s="4">
        <v>60000</v>
      </c>
      <c r="BP85" s="4">
        <v>60000</v>
      </c>
      <c r="BQ85">
        <v>4</v>
      </c>
      <c r="BR85" t="s">
        <v>14</v>
      </c>
      <c r="BS85" t="s">
        <v>18</v>
      </c>
      <c r="BT85">
        <v>41</v>
      </c>
      <c r="CB85">
        <v>13351</v>
      </c>
      <c r="CC85" t="s">
        <v>36</v>
      </c>
      <c r="CD85" t="s">
        <v>37</v>
      </c>
      <c r="CE85" s="4">
        <v>70000</v>
      </c>
      <c r="CF85">
        <v>4</v>
      </c>
      <c r="CG85" t="s">
        <v>28</v>
      </c>
      <c r="CH85" t="s">
        <v>15</v>
      </c>
      <c r="CI85">
        <v>62</v>
      </c>
      <c r="CK85">
        <v>13351</v>
      </c>
      <c r="CL85" t="s">
        <v>36</v>
      </c>
      <c r="CM85" t="s">
        <v>37</v>
      </c>
      <c r="CN85" s="4">
        <v>70000</v>
      </c>
      <c r="CO85">
        <v>4</v>
      </c>
      <c r="CP85" t="s">
        <v>28</v>
      </c>
      <c r="CQ85" t="s">
        <v>15</v>
      </c>
      <c r="CR85">
        <v>62</v>
      </c>
      <c r="CS85">
        <v>2</v>
      </c>
    </row>
    <row r="86" spans="1:97" x14ac:dyDescent="0.25">
      <c r="A86">
        <v>16259</v>
      </c>
      <c r="B86" t="s">
        <v>36</v>
      </c>
      <c r="C86" t="s">
        <v>37</v>
      </c>
      <c r="D86" s="11">
        <v>10000</v>
      </c>
      <c r="E86">
        <v>4</v>
      </c>
      <c r="F86" t="s">
        <v>29</v>
      </c>
      <c r="G86" t="s">
        <v>25</v>
      </c>
      <c r="H86" t="s">
        <v>15</v>
      </c>
      <c r="I86">
        <v>2</v>
      </c>
      <c r="J86" t="s">
        <v>16</v>
      </c>
      <c r="K86" t="s">
        <v>17</v>
      </c>
      <c r="L86">
        <v>40</v>
      </c>
      <c r="M86" t="str">
        <f t="shared" si="1"/>
        <v>MIddleAge</v>
      </c>
      <c r="N86" t="s">
        <v>15</v>
      </c>
      <c r="R86">
        <v>11255</v>
      </c>
      <c r="S86" t="s">
        <v>35</v>
      </c>
      <c r="T86" t="s">
        <v>38</v>
      </c>
      <c r="U86" s="4">
        <v>70000</v>
      </c>
      <c r="V86">
        <v>4</v>
      </c>
      <c r="W86" t="s">
        <v>30</v>
      </c>
      <c r="X86" t="s">
        <v>28</v>
      </c>
      <c r="Y86" t="s">
        <v>15</v>
      </c>
      <c r="Z86">
        <v>2</v>
      </c>
      <c r="AA86" t="s">
        <v>23</v>
      </c>
      <c r="AB86" t="s">
        <v>31</v>
      </c>
      <c r="AC86">
        <v>73</v>
      </c>
      <c r="AD86" t="s">
        <v>45</v>
      </c>
      <c r="AG86">
        <v>25872</v>
      </c>
      <c r="AH86" t="s">
        <v>37</v>
      </c>
      <c r="AI86" s="4">
        <v>70000</v>
      </c>
      <c r="AJ86">
        <v>2</v>
      </c>
      <c r="AK86" t="s">
        <v>13</v>
      </c>
      <c r="AL86" t="s">
        <v>18</v>
      </c>
      <c r="AM86">
        <v>58</v>
      </c>
      <c r="AN86" t="s">
        <v>45</v>
      </c>
      <c r="BL86">
        <v>24643</v>
      </c>
      <c r="BM86" t="s">
        <v>36</v>
      </c>
      <c r="BN86" t="s">
        <v>37</v>
      </c>
      <c r="BO86" s="4">
        <v>60000</v>
      </c>
      <c r="BP86" s="4">
        <v>60000</v>
      </c>
      <c r="BQ86">
        <v>4</v>
      </c>
      <c r="BR86" t="s">
        <v>28</v>
      </c>
      <c r="BS86" t="s">
        <v>15</v>
      </c>
      <c r="BT86">
        <v>63</v>
      </c>
      <c r="CB86">
        <v>11255</v>
      </c>
      <c r="CC86" t="s">
        <v>35</v>
      </c>
      <c r="CD86" t="s">
        <v>38</v>
      </c>
      <c r="CE86" s="4">
        <v>70000</v>
      </c>
      <c r="CF86">
        <v>4</v>
      </c>
      <c r="CG86" t="s">
        <v>28</v>
      </c>
      <c r="CH86" t="s">
        <v>15</v>
      </c>
      <c r="CI86">
        <v>73</v>
      </c>
      <c r="CK86">
        <v>11255</v>
      </c>
      <c r="CL86" t="s">
        <v>35</v>
      </c>
      <c r="CM86" t="s">
        <v>38</v>
      </c>
      <c r="CN86" s="4">
        <v>70000</v>
      </c>
      <c r="CO86">
        <v>4</v>
      </c>
      <c r="CP86" t="s">
        <v>28</v>
      </c>
      <c r="CQ86" t="s">
        <v>15</v>
      </c>
      <c r="CR86">
        <v>73</v>
      </c>
      <c r="CS86">
        <v>2</v>
      </c>
    </row>
    <row r="87" spans="1:97" x14ac:dyDescent="0.25">
      <c r="A87">
        <v>14798</v>
      </c>
      <c r="B87" t="s">
        <v>36</v>
      </c>
      <c r="C87" t="s">
        <v>37</v>
      </c>
      <c r="D87" s="11">
        <v>10000</v>
      </c>
      <c r="E87">
        <v>4</v>
      </c>
      <c r="F87" t="s">
        <v>29</v>
      </c>
      <c r="G87" t="s">
        <v>25</v>
      </c>
      <c r="H87" t="s">
        <v>15</v>
      </c>
      <c r="I87">
        <v>2</v>
      </c>
      <c r="J87" t="s">
        <v>16</v>
      </c>
      <c r="K87" t="s">
        <v>17</v>
      </c>
      <c r="L87">
        <v>41</v>
      </c>
      <c r="M87" t="str">
        <f t="shared" si="1"/>
        <v>MIddleAge</v>
      </c>
      <c r="N87" t="s">
        <v>15</v>
      </c>
      <c r="R87">
        <v>11233</v>
      </c>
      <c r="S87" t="s">
        <v>35</v>
      </c>
      <c r="T87" t="s">
        <v>38</v>
      </c>
      <c r="U87" s="4">
        <v>70000</v>
      </c>
      <c r="V87">
        <v>4</v>
      </c>
      <c r="W87" t="s">
        <v>19</v>
      </c>
      <c r="X87" t="s">
        <v>21</v>
      </c>
      <c r="Y87" t="s">
        <v>15</v>
      </c>
      <c r="Z87">
        <v>2</v>
      </c>
      <c r="AA87" t="s">
        <v>42</v>
      </c>
      <c r="AB87" t="s">
        <v>31</v>
      </c>
      <c r="AC87">
        <v>53</v>
      </c>
      <c r="AD87" t="s">
        <v>44</v>
      </c>
      <c r="AG87">
        <v>25405</v>
      </c>
      <c r="AH87" t="s">
        <v>38</v>
      </c>
      <c r="AI87" s="4">
        <v>70000</v>
      </c>
      <c r="AJ87">
        <v>2</v>
      </c>
      <c r="AK87" t="s">
        <v>13</v>
      </c>
      <c r="AL87" t="s">
        <v>15</v>
      </c>
      <c r="AM87">
        <v>38</v>
      </c>
      <c r="AN87" t="s">
        <v>44</v>
      </c>
      <c r="BL87">
        <v>24324</v>
      </c>
      <c r="BM87" t="s">
        <v>36</v>
      </c>
      <c r="BN87" t="s">
        <v>37</v>
      </c>
      <c r="BO87" s="4">
        <v>60000</v>
      </c>
      <c r="BP87" s="4">
        <v>60000</v>
      </c>
      <c r="BQ87">
        <v>4</v>
      </c>
      <c r="BR87" t="s">
        <v>14</v>
      </c>
      <c r="BS87" t="s">
        <v>15</v>
      </c>
      <c r="BT87">
        <v>41</v>
      </c>
      <c r="CB87">
        <v>11233</v>
      </c>
      <c r="CC87" t="s">
        <v>35</v>
      </c>
      <c r="CD87" t="s">
        <v>38</v>
      </c>
      <c r="CE87" s="4">
        <v>70000</v>
      </c>
      <c r="CF87">
        <v>4</v>
      </c>
      <c r="CG87" t="s">
        <v>21</v>
      </c>
      <c r="CH87" t="s">
        <v>15</v>
      </c>
      <c r="CI87">
        <v>53</v>
      </c>
      <c r="CK87">
        <v>11233</v>
      </c>
      <c r="CL87" t="s">
        <v>35</v>
      </c>
      <c r="CM87" t="s">
        <v>38</v>
      </c>
      <c r="CN87" s="4">
        <v>70000</v>
      </c>
      <c r="CO87">
        <v>4</v>
      </c>
      <c r="CP87" t="s">
        <v>21</v>
      </c>
      <c r="CQ87" t="s">
        <v>15</v>
      </c>
      <c r="CR87">
        <v>53</v>
      </c>
      <c r="CS87">
        <v>2</v>
      </c>
    </row>
    <row r="88" spans="1:97" x14ac:dyDescent="0.25">
      <c r="A88">
        <v>28102</v>
      </c>
      <c r="B88" t="s">
        <v>35</v>
      </c>
      <c r="C88" t="s">
        <v>38</v>
      </c>
      <c r="D88" s="11">
        <v>20000</v>
      </c>
      <c r="E88">
        <v>4</v>
      </c>
      <c r="F88" t="s">
        <v>27</v>
      </c>
      <c r="G88" t="s">
        <v>14</v>
      </c>
      <c r="H88" t="s">
        <v>15</v>
      </c>
      <c r="I88">
        <v>2</v>
      </c>
      <c r="J88" t="s">
        <v>23</v>
      </c>
      <c r="K88" t="s">
        <v>24</v>
      </c>
      <c r="L88">
        <v>58</v>
      </c>
      <c r="M88" t="str">
        <f t="shared" si="1"/>
        <v>Old</v>
      </c>
      <c r="N88" t="s">
        <v>15</v>
      </c>
      <c r="R88">
        <v>11200</v>
      </c>
      <c r="S88" t="s">
        <v>35</v>
      </c>
      <c r="T88" t="s">
        <v>38</v>
      </c>
      <c r="U88" s="4">
        <v>70000</v>
      </c>
      <c r="V88">
        <v>4</v>
      </c>
      <c r="W88" t="s">
        <v>13</v>
      </c>
      <c r="X88" t="s">
        <v>28</v>
      </c>
      <c r="Y88" t="s">
        <v>15</v>
      </c>
      <c r="Z88">
        <v>1</v>
      </c>
      <c r="AA88" t="s">
        <v>26</v>
      </c>
      <c r="AB88" t="s">
        <v>31</v>
      </c>
      <c r="AC88">
        <v>58</v>
      </c>
      <c r="AD88" t="s">
        <v>45</v>
      </c>
      <c r="AG88">
        <v>27585</v>
      </c>
      <c r="AH88" t="s">
        <v>37</v>
      </c>
      <c r="AI88" s="4">
        <v>90000</v>
      </c>
      <c r="AJ88">
        <v>2</v>
      </c>
      <c r="AK88" t="s">
        <v>13</v>
      </c>
      <c r="AL88" t="s">
        <v>18</v>
      </c>
      <c r="AM88">
        <v>36</v>
      </c>
      <c r="AN88" t="s">
        <v>44</v>
      </c>
      <c r="BL88">
        <v>24322</v>
      </c>
      <c r="BM88" t="s">
        <v>35</v>
      </c>
      <c r="BN88" t="s">
        <v>37</v>
      </c>
      <c r="BO88" s="4">
        <v>60000</v>
      </c>
      <c r="BP88" s="4">
        <v>60000</v>
      </c>
      <c r="BQ88">
        <v>4</v>
      </c>
      <c r="BR88" t="s">
        <v>14</v>
      </c>
      <c r="BS88" t="s">
        <v>18</v>
      </c>
      <c r="BT88">
        <v>42</v>
      </c>
      <c r="CB88">
        <v>29231</v>
      </c>
      <c r="CC88" t="s">
        <v>36</v>
      </c>
      <c r="CD88" t="s">
        <v>38</v>
      </c>
      <c r="CE88" s="4">
        <v>80000</v>
      </c>
      <c r="CF88">
        <v>4</v>
      </c>
      <c r="CG88" t="s">
        <v>21</v>
      </c>
      <c r="CH88" t="s">
        <v>18</v>
      </c>
      <c r="CI88">
        <v>43</v>
      </c>
      <c r="CK88">
        <v>29231</v>
      </c>
      <c r="CL88" t="s">
        <v>36</v>
      </c>
      <c r="CM88" t="s">
        <v>38</v>
      </c>
      <c r="CN88" s="4">
        <v>80000</v>
      </c>
      <c r="CO88">
        <v>4</v>
      </c>
      <c r="CP88" t="s">
        <v>21</v>
      </c>
      <c r="CQ88" t="s">
        <v>18</v>
      </c>
      <c r="CR88">
        <v>43</v>
      </c>
      <c r="CS88">
        <v>2</v>
      </c>
    </row>
    <row r="89" spans="1:97" x14ac:dyDescent="0.25">
      <c r="A89">
        <v>19748</v>
      </c>
      <c r="B89" t="s">
        <v>35</v>
      </c>
      <c r="C89" t="s">
        <v>38</v>
      </c>
      <c r="D89" s="11">
        <v>20000</v>
      </c>
      <c r="E89">
        <v>4</v>
      </c>
      <c r="F89" t="s">
        <v>27</v>
      </c>
      <c r="G89" t="s">
        <v>14</v>
      </c>
      <c r="H89" t="s">
        <v>18</v>
      </c>
      <c r="I89">
        <v>2</v>
      </c>
      <c r="J89" t="s">
        <v>26</v>
      </c>
      <c r="K89" t="s">
        <v>24</v>
      </c>
      <c r="L89">
        <v>60</v>
      </c>
      <c r="M89" t="str">
        <f t="shared" si="1"/>
        <v>Old</v>
      </c>
      <c r="N89" t="s">
        <v>18</v>
      </c>
      <c r="R89">
        <v>28906</v>
      </c>
      <c r="S89" t="s">
        <v>35</v>
      </c>
      <c r="T89" t="s">
        <v>38</v>
      </c>
      <c r="U89" s="4">
        <v>80000</v>
      </c>
      <c r="V89">
        <v>4</v>
      </c>
      <c r="W89" t="s">
        <v>27</v>
      </c>
      <c r="X89" t="s">
        <v>21</v>
      </c>
      <c r="Y89" t="s">
        <v>15</v>
      </c>
      <c r="Z89">
        <v>2</v>
      </c>
      <c r="AA89" t="s">
        <v>42</v>
      </c>
      <c r="AB89" t="s">
        <v>17</v>
      </c>
      <c r="AC89">
        <v>54</v>
      </c>
      <c r="AD89" t="s">
        <v>44</v>
      </c>
      <c r="AG89">
        <v>27582</v>
      </c>
      <c r="AH89" t="s">
        <v>37</v>
      </c>
      <c r="AI89" s="4">
        <v>90000</v>
      </c>
      <c r="AJ89">
        <v>2</v>
      </c>
      <c r="AK89" t="s">
        <v>13</v>
      </c>
      <c r="AL89" t="s">
        <v>18</v>
      </c>
      <c r="AM89">
        <v>36</v>
      </c>
      <c r="AN89" t="s">
        <v>44</v>
      </c>
      <c r="BL89">
        <v>21770</v>
      </c>
      <c r="BM89" t="s">
        <v>35</v>
      </c>
      <c r="BN89" t="s">
        <v>38</v>
      </c>
      <c r="BO89" s="4">
        <v>60000</v>
      </c>
      <c r="BP89" s="4">
        <v>60000</v>
      </c>
      <c r="BQ89">
        <v>4</v>
      </c>
      <c r="BR89" t="s">
        <v>28</v>
      </c>
      <c r="BS89" t="s">
        <v>15</v>
      </c>
      <c r="BT89">
        <v>60</v>
      </c>
      <c r="CB89">
        <v>28906</v>
      </c>
      <c r="CC89" t="s">
        <v>35</v>
      </c>
      <c r="CD89" t="s">
        <v>38</v>
      </c>
      <c r="CE89" s="4">
        <v>80000</v>
      </c>
      <c r="CF89">
        <v>4</v>
      </c>
      <c r="CG89" t="s">
        <v>21</v>
      </c>
      <c r="CH89" t="s">
        <v>15</v>
      </c>
      <c r="CI89">
        <v>54</v>
      </c>
      <c r="CK89">
        <v>28906</v>
      </c>
      <c r="CL89" t="s">
        <v>35</v>
      </c>
      <c r="CM89" t="s">
        <v>38</v>
      </c>
      <c r="CN89" s="4">
        <v>80000</v>
      </c>
      <c r="CO89">
        <v>4</v>
      </c>
      <c r="CP89" t="s">
        <v>21</v>
      </c>
      <c r="CQ89" t="s">
        <v>15</v>
      </c>
      <c r="CR89">
        <v>54</v>
      </c>
      <c r="CS89">
        <v>2</v>
      </c>
    </row>
    <row r="90" spans="1:97" x14ac:dyDescent="0.25">
      <c r="A90">
        <v>19675</v>
      </c>
      <c r="B90" t="s">
        <v>35</v>
      </c>
      <c r="C90" t="s">
        <v>38</v>
      </c>
      <c r="D90" s="11">
        <v>20000</v>
      </c>
      <c r="E90">
        <v>4</v>
      </c>
      <c r="F90" t="s">
        <v>27</v>
      </c>
      <c r="G90" t="s">
        <v>14</v>
      </c>
      <c r="H90" t="s">
        <v>15</v>
      </c>
      <c r="I90">
        <v>2</v>
      </c>
      <c r="J90" t="s">
        <v>23</v>
      </c>
      <c r="K90" t="s">
        <v>24</v>
      </c>
      <c r="L90">
        <v>60</v>
      </c>
      <c r="M90" t="str">
        <f t="shared" si="1"/>
        <v>Old</v>
      </c>
      <c r="N90" t="s">
        <v>18</v>
      </c>
      <c r="R90">
        <v>28207</v>
      </c>
      <c r="S90" t="s">
        <v>35</v>
      </c>
      <c r="T90" t="s">
        <v>38</v>
      </c>
      <c r="U90" s="4">
        <v>80000</v>
      </c>
      <c r="V90">
        <v>4</v>
      </c>
      <c r="W90" t="s">
        <v>30</v>
      </c>
      <c r="X90" t="s">
        <v>28</v>
      </c>
      <c r="Y90" t="s">
        <v>15</v>
      </c>
      <c r="Z90">
        <v>1</v>
      </c>
      <c r="AA90" t="s">
        <v>16</v>
      </c>
      <c r="AB90" t="s">
        <v>24</v>
      </c>
      <c r="AC90">
        <v>36</v>
      </c>
      <c r="AD90" t="s">
        <v>44</v>
      </c>
      <c r="AG90">
        <v>25241</v>
      </c>
      <c r="AH90" t="s">
        <v>38</v>
      </c>
      <c r="AI90" s="4">
        <v>90000</v>
      </c>
      <c r="AJ90">
        <v>2</v>
      </c>
      <c r="AK90" t="s">
        <v>13</v>
      </c>
      <c r="AL90" t="s">
        <v>15</v>
      </c>
      <c r="AM90">
        <v>47</v>
      </c>
      <c r="AN90" t="s">
        <v>44</v>
      </c>
      <c r="BL90">
        <v>20698</v>
      </c>
      <c r="BM90" t="s">
        <v>35</v>
      </c>
      <c r="BN90" t="s">
        <v>38</v>
      </c>
      <c r="BO90" s="4">
        <v>60000</v>
      </c>
      <c r="BP90" s="4">
        <v>60000</v>
      </c>
      <c r="BQ90">
        <v>4</v>
      </c>
      <c r="BR90" t="s">
        <v>14</v>
      </c>
      <c r="BS90" t="s">
        <v>15</v>
      </c>
      <c r="BT90">
        <v>42</v>
      </c>
      <c r="CB90">
        <v>27951</v>
      </c>
      <c r="CC90" t="s">
        <v>36</v>
      </c>
      <c r="CD90" t="s">
        <v>38</v>
      </c>
      <c r="CE90" s="4">
        <v>80000</v>
      </c>
      <c r="CF90">
        <v>4</v>
      </c>
      <c r="CG90" t="s">
        <v>21</v>
      </c>
      <c r="CH90" t="s">
        <v>18</v>
      </c>
      <c r="CI90">
        <v>54</v>
      </c>
      <c r="CK90">
        <v>27951</v>
      </c>
      <c r="CL90" t="s">
        <v>36</v>
      </c>
      <c r="CM90" t="s">
        <v>38</v>
      </c>
      <c r="CN90" s="4">
        <v>80000</v>
      </c>
      <c r="CO90">
        <v>4</v>
      </c>
      <c r="CP90" t="s">
        <v>21</v>
      </c>
      <c r="CQ90" t="s">
        <v>18</v>
      </c>
      <c r="CR90">
        <v>54</v>
      </c>
      <c r="CS90">
        <v>2</v>
      </c>
    </row>
    <row r="91" spans="1:97" x14ac:dyDescent="0.25">
      <c r="A91">
        <v>14813</v>
      </c>
      <c r="B91" t="s">
        <v>36</v>
      </c>
      <c r="C91" t="s">
        <v>37</v>
      </c>
      <c r="D91" s="11">
        <v>20000</v>
      </c>
      <c r="E91">
        <v>4</v>
      </c>
      <c r="F91" t="s">
        <v>27</v>
      </c>
      <c r="G91" t="s">
        <v>25</v>
      </c>
      <c r="H91" t="s">
        <v>15</v>
      </c>
      <c r="I91">
        <v>1</v>
      </c>
      <c r="J91" t="s">
        <v>16</v>
      </c>
      <c r="K91" t="s">
        <v>17</v>
      </c>
      <c r="L91">
        <v>43</v>
      </c>
      <c r="M91" t="str">
        <f t="shared" si="1"/>
        <v>MIddleAge</v>
      </c>
      <c r="N91" t="s">
        <v>15</v>
      </c>
      <c r="R91">
        <v>27660</v>
      </c>
      <c r="S91" t="s">
        <v>35</v>
      </c>
      <c r="T91" t="s">
        <v>38</v>
      </c>
      <c r="U91" s="4">
        <v>80000</v>
      </c>
      <c r="V91">
        <v>4</v>
      </c>
      <c r="W91" t="s">
        <v>30</v>
      </c>
      <c r="X91" t="s">
        <v>28</v>
      </c>
      <c r="Y91" t="s">
        <v>15</v>
      </c>
      <c r="Z91">
        <v>2</v>
      </c>
      <c r="AA91" t="s">
        <v>23</v>
      </c>
      <c r="AB91" t="s">
        <v>31</v>
      </c>
      <c r="AC91">
        <v>70</v>
      </c>
      <c r="AD91" t="s">
        <v>45</v>
      </c>
      <c r="AG91">
        <v>11000</v>
      </c>
      <c r="AH91" t="s">
        <v>38</v>
      </c>
      <c r="AI91" s="4">
        <v>90000</v>
      </c>
      <c r="AJ91">
        <v>2</v>
      </c>
      <c r="AK91" t="s">
        <v>13</v>
      </c>
      <c r="AL91" t="s">
        <v>15</v>
      </c>
      <c r="AM91">
        <v>40</v>
      </c>
      <c r="AN91" t="s">
        <v>44</v>
      </c>
      <c r="BL91">
        <v>19856</v>
      </c>
      <c r="BM91" t="s">
        <v>35</v>
      </c>
      <c r="BN91" t="s">
        <v>37</v>
      </c>
      <c r="BO91" s="4">
        <v>60000</v>
      </c>
      <c r="BP91" s="4">
        <v>60000</v>
      </c>
      <c r="BQ91">
        <v>4</v>
      </c>
      <c r="BR91" t="s">
        <v>28</v>
      </c>
      <c r="BS91" t="s">
        <v>15</v>
      </c>
      <c r="BT91">
        <v>60</v>
      </c>
      <c r="CB91">
        <v>27941</v>
      </c>
      <c r="CC91" t="s">
        <v>35</v>
      </c>
      <c r="CD91" t="s">
        <v>37</v>
      </c>
      <c r="CE91" s="4">
        <v>80000</v>
      </c>
      <c r="CF91">
        <v>4</v>
      </c>
      <c r="CG91" t="s">
        <v>21</v>
      </c>
      <c r="CH91" t="s">
        <v>15</v>
      </c>
      <c r="CI91">
        <v>53</v>
      </c>
      <c r="CK91">
        <v>27941</v>
      </c>
      <c r="CL91" t="s">
        <v>35</v>
      </c>
      <c r="CM91" t="s">
        <v>37</v>
      </c>
      <c r="CN91" s="4">
        <v>80000</v>
      </c>
      <c r="CO91">
        <v>4</v>
      </c>
      <c r="CP91" t="s">
        <v>21</v>
      </c>
      <c r="CQ91" t="s">
        <v>15</v>
      </c>
      <c r="CR91">
        <v>53</v>
      </c>
      <c r="CS91">
        <v>2</v>
      </c>
    </row>
    <row r="92" spans="1:97" x14ac:dyDescent="0.25">
      <c r="A92">
        <v>20828</v>
      </c>
      <c r="B92" t="s">
        <v>35</v>
      </c>
      <c r="C92" t="s">
        <v>37</v>
      </c>
      <c r="D92" s="11">
        <v>30000</v>
      </c>
      <c r="E92">
        <v>4</v>
      </c>
      <c r="F92" t="s">
        <v>30</v>
      </c>
      <c r="G92" t="s">
        <v>20</v>
      </c>
      <c r="H92" t="s">
        <v>15</v>
      </c>
      <c r="I92">
        <v>0</v>
      </c>
      <c r="J92" t="s">
        <v>16</v>
      </c>
      <c r="K92" t="s">
        <v>17</v>
      </c>
      <c r="L92">
        <v>45</v>
      </c>
      <c r="M92" t="str">
        <f t="shared" si="1"/>
        <v>MIddleAge</v>
      </c>
      <c r="N92" t="s">
        <v>15</v>
      </c>
      <c r="R92">
        <v>26651</v>
      </c>
      <c r="S92" t="s">
        <v>36</v>
      </c>
      <c r="T92" t="s">
        <v>38</v>
      </c>
      <c r="U92" s="4">
        <v>80000</v>
      </c>
      <c r="V92">
        <v>4</v>
      </c>
      <c r="W92" t="s">
        <v>30</v>
      </c>
      <c r="X92" t="s">
        <v>28</v>
      </c>
      <c r="Y92" t="s">
        <v>15</v>
      </c>
      <c r="Z92">
        <v>0</v>
      </c>
      <c r="AA92" t="s">
        <v>16</v>
      </c>
      <c r="AB92" t="s">
        <v>24</v>
      </c>
      <c r="AC92">
        <v>36</v>
      </c>
      <c r="AD92" t="s">
        <v>44</v>
      </c>
      <c r="AG92">
        <v>12205</v>
      </c>
      <c r="AH92" t="s">
        <v>37</v>
      </c>
      <c r="AI92" s="4">
        <v>130000</v>
      </c>
      <c r="AJ92">
        <v>2</v>
      </c>
      <c r="AK92" t="s">
        <v>13</v>
      </c>
      <c r="AL92" t="s">
        <v>18</v>
      </c>
      <c r="AM92">
        <v>67</v>
      </c>
      <c r="AN92" t="s">
        <v>45</v>
      </c>
      <c r="BL92">
        <v>18607</v>
      </c>
      <c r="BM92" t="s">
        <v>36</v>
      </c>
      <c r="BN92" t="s">
        <v>37</v>
      </c>
      <c r="BO92" s="4">
        <v>60000</v>
      </c>
      <c r="BP92" s="4">
        <v>60000</v>
      </c>
      <c r="BQ92">
        <v>4</v>
      </c>
      <c r="BR92" t="s">
        <v>14</v>
      </c>
      <c r="BS92" t="s">
        <v>15</v>
      </c>
      <c r="BT92">
        <v>42</v>
      </c>
      <c r="CB92">
        <v>27660</v>
      </c>
      <c r="CC92" t="s">
        <v>35</v>
      </c>
      <c r="CD92" t="s">
        <v>38</v>
      </c>
      <c r="CE92" s="4">
        <v>80000</v>
      </c>
      <c r="CF92">
        <v>4</v>
      </c>
      <c r="CG92" t="s">
        <v>28</v>
      </c>
      <c r="CH92" t="s">
        <v>15</v>
      </c>
      <c r="CI92">
        <v>70</v>
      </c>
      <c r="CK92">
        <v>27660</v>
      </c>
      <c r="CL92" t="s">
        <v>35</v>
      </c>
      <c r="CM92" t="s">
        <v>38</v>
      </c>
      <c r="CN92" s="4">
        <v>80000</v>
      </c>
      <c r="CO92">
        <v>4</v>
      </c>
      <c r="CP92" t="s">
        <v>28</v>
      </c>
      <c r="CQ92" t="s">
        <v>15</v>
      </c>
      <c r="CR92">
        <v>70</v>
      </c>
      <c r="CS92">
        <v>2</v>
      </c>
    </row>
    <row r="93" spans="1:97" x14ac:dyDescent="0.25">
      <c r="A93">
        <v>12591</v>
      </c>
      <c r="B93" t="s">
        <v>35</v>
      </c>
      <c r="C93" t="s">
        <v>37</v>
      </c>
      <c r="D93" s="11">
        <v>30000</v>
      </c>
      <c r="E93">
        <v>4</v>
      </c>
      <c r="F93" t="s">
        <v>30</v>
      </c>
      <c r="G93" t="s">
        <v>20</v>
      </c>
      <c r="H93" t="s">
        <v>15</v>
      </c>
      <c r="I93">
        <v>0</v>
      </c>
      <c r="J93" t="s">
        <v>16</v>
      </c>
      <c r="K93" t="s">
        <v>17</v>
      </c>
      <c r="L93">
        <v>45</v>
      </c>
      <c r="M93" t="str">
        <f t="shared" si="1"/>
        <v>MIddleAge</v>
      </c>
      <c r="N93" t="s">
        <v>18</v>
      </c>
      <c r="R93">
        <v>25293</v>
      </c>
      <c r="S93" t="s">
        <v>35</v>
      </c>
      <c r="T93" t="s">
        <v>38</v>
      </c>
      <c r="U93" s="4">
        <v>80000</v>
      </c>
      <c r="V93">
        <v>4</v>
      </c>
      <c r="W93" t="s">
        <v>13</v>
      </c>
      <c r="X93" t="s">
        <v>28</v>
      </c>
      <c r="Y93" t="s">
        <v>15</v>
      </c>
      <c r="Z93">
        <v>0</v>
      </c>
      <c r="AA93" t="s">
        <v>26</v>
      </c>
      <c r="AB93" t="s">
        <v>31</v>
      </c>
      <c r="AC93">
        <v>42</v>
      </c>
      <c r="AD93" t="s">
        <v>44</v>
      </c>
      <c r="AG93">
        <v>16043</v>
      </c>
      <c r="AH93" t="s">
        <v>38</v>
      </c>
      <c r="AI93" s="4">
        <v>10000</v>
      </c>
      <c r="AJ93">
        <v>1</v>
      </c>
      <c r="AK93" t="s">
        <v>13</v>
      </c>
      <c r="AL93" t="s">
        <v>15</v>
      </c>
      <c r="AM93">
        <v>48</v>
      </c>
      <c r="AN93" t="s">
        <v>44</v>
      </c>
      <c r="BL93">
        <v>16247</v>
      </c>
      <c r="BM93" t="s">
        <v>36</v>
      </c>
      <c r="BN93" t="s">
        <v>37</v>
      </c>
      <c r="BO93" s="4">
        <v>60000</v>
      </c>
      <c r="BP93" s="4">
        <v>60000</v>
      </c>
      <c r="BQ93">
        <v>4</v>
      </c>
      <c r="BR93" t="s">
        <v>14</v>
      </c>
      <c r="BS93" t="s">
        <v>18</v>
      </c>
      <c r="BT93">
        <v>47</v>
      </c>
      <c r="CB93">
        <v>19741</v>
      </c>
      <c r="CC93" t="s">
        <v>36</v>
      </c>
      <c r="CD93" t="s">
        <v>37</v>
      </c>
      <c r="CE93" s="4">
        <v>80000</v>
      </c>
      <c r="CF93">
        <v>4</v>
      </c>
      <c r="CG93" t="s">
        <v>28</v>
      </c>
      <c r="CH93" t="s">
        <v>15</v>
      </c>
      <c r="CI93">
        <v>65</v>
      </c>
      <c r="CK93">
        <v>19741</v>
      </c>
      <c r="CL93" t="s">
        <v>36</v>
      </c>
      <c r="CM93" t="s">
        <v>37</v>
      </c>
      <c r="CN93" s="4">
        <v>80000</v>
      </c>
      <c r="CO93">
        <v>4</v>
      </c>
      <c r="CP93" t="s">
        <v>28</v>
      </c>
      <c r="CQ93" t="s">
        <v>15</v>
      </c>
      <c r="CR93">
        <v>65</v>
      </c>
      <c r="CS93">
        <v>2</v>
      </c>
    </row>
    <row r="94" spans="1:97" x14ac:dyDescent="0.25">
      <c r="A94">
        <v>27994</v>
      </c>
      <c r="B94" t="s">
        <v>35</v>
      </c>
      <c r="C94" t="s">
        <v>37</v>
      </c>
      <c r="D94" s="11">
        <v>40000</v>
      </c>
      <c r="E94">
        <v>4</v>
      </c>
      <c r="F94" t="s">
        <v>27</v>
      </c>
      <c r="G94" t="s">
        <v>21</v>
      </c>
      <c r="H94" t="s">
        <v>15</v>
      </c>
      <c r="I94">
        <v>2</v>
      </c>
      <c r="J94" t="s">
        <v>23</v>
      </c>
      <c r="K94" t="s">
        <v>31</v>
      </c>
      <c r="L94">
        <v>69</v>
      </c>
      <c r="M94" t="str">
        <f t="shared" si="1"/>
        <v>Old</v>
      </c>
      <c r="N94" t="s">
        <v>18</v>
      </c>
      <c r="R94">
        <v>19731</v>
      </c>
      <c r="S94" t="s">
        <v>35</v>
      </c>
      <c r="T94" t="s">
        <v>38</v>
      </c>
      <c r="U94" s="4">
        <v>80000</v>
      </c>
      <c r="V94">
        <v>4</v>
      </c>
      <c r="W94" t="s">
        <v>30</v>
      </c>
      <c r="X94" t="s">
        <v>28</v>
      </c>
      <c r="Y94" t="s">
        <v>15</v>
      </c>
      <c r="Z94">
        <v>2</v>
      </c>
      <c r="AA94" t="s">
        <v>23</v>
      </c>
      <c r="AB94" t="s">
        <v>31</v>
      </c>
      <c r="AC94">
        <v>68</v>
      </c>
      <c r="AD94" t="s">
        <v>45</v>
      </c>
      <c r="AG94">
        <v>20977</v>
      </c>
      <c r="AH94" t="s">
        <v>38</v>
      </c>
      <c r="AI94" s="4">
        <v>20000</v>
      </c>
      <c r="AJ94">
        <v>1</v>
      </c>
      <c r="AK94" t="s">
        <v>13</v>
      </c>
      <c r="AL94" t="s">
        <v>15</v>
      </c>
      <c r="AM94">
        <v>64</v>
      </c>
      <c r="AN94" t="s">
        <v>45</v>
      </c>
      <c r="BL94">
        <v>16185</v>
      </c>
      <c r="BM94" t="s">
        <v>36</v>
      </c>
      <c r="BN94" t="s">
        <v>38</v>
      </c>
      <c r="BO94" s="4">
        <v>60000</v>
      </c>
      <c r="BP94" s="4">
        <v>60000</v>
      </c>
      <c r="BQ94">
        <v>4</v>
      </c>
      <c r="BR94" t="s">
        <v>21</v>
      </c>
      <c r="BS94" t="s">
        <v>15</v>
      </c>
      <c r="BT94">
        <v>41</v>
      </c>
      <c r="CB94">
        <v>19731</v>
      </c>
      <c r="CC94" t="s">
        <v>35</v>
      </c>
      <c r="CD94" t="s">
        <v>38</v>
      </c>
      <c r="CE94" s="4">
        <v>80000</v>
      </c>
      <c r="CF94">
        <v>4</v>
      </c>
      <c r="CG94" t="s">
        <v>28</v>
      </c>
      <c r="CH94" t="s">
        <v>15</v>
      </c>
      <c r="CI94">
        <v>68</v>
      </c>
      <c r="CK94">
        <v>19731</v>
      </c>
      <c r="CL94" t="s">
        <v>35</v>
      </c>
      <c r="CM94" t="s">
        <v>38</v>
      </c>
      <c r="CN94" s="4">
        <v>80000</v>
      </c>
      <c r="CO94">
        <v>4</v>
      </c>
      <c r="CP94" t="s">
        <v>28</v>
      </c>
      <c r="CQ94" t="s">
        <v>15</v>
      </c>
      <c r="CR94">
        <v>68</v>
      </c>
      <c r="CS94">
        <v>2</v>
      </c>
    </row>
    <row r="95" spans="1:97" x14ac:dyDescent="0.25">
      <c r="A95">
        <v>24637</v>
      </c>
      <c r="B95" t="s">
        <v>35</v>
      </c>
      <c r="C95" t="s">
        <v>38</v>
      </c>
      <c r="D95" s="11">
        <v>40000</v>
      </c>
      <c r="E95">
        <v>4</v>
      </c>
      <c r="F95" t="s">
        <v>27</v>
      </c>
      <c r="G95" t="s">
        <v>21</v>
      </c>
      <c r="H95" t="s">
        <v>15</v>
      </c>
      <c r="I95">
        <v>2</v>
      </c>
      <c r="J95" t="s">
        <v>42</v>
      </c>
      <c r="K95" t="s">
        <v>31</v>
      </c>
      <c r="L95">
        <v>64</v>
      </c>
      <c r="M95" t="str">
        <f t="shared" si="1"/>
        <v>Old</v>
      </c>
      <c r="N95" t="s">
        <v>18</v>
      </c>
      <c r="R95">
        <v>19660</v>
      </c>
      <c r="S95" t="s">
        <v>35</v>
      </c>
      <c r="T95" t="s">
        <v>38</v>
      </c>
      <c r="U95" s="4">
        <v>80000</v>
      </c>
      <c r="V95">
        <v>4</v>
      </c>
      <c r="W95" t="s">
        <v>13</v>
      </c>
      <c r="X95" t="s">
        <v>28</v>
      </c>
      <c r="Y95" t="s">
        <v>15</v>
      </c>
      <c r="Z95">
        <v>0</v>
      </c>
      <c r="AA95" t="s">
        <v>16</v>
      </c>
      <c r="AB95" t="s">
        <v>31</v>
      </c>
      <c r="AC95">
        <v>43</v>
      </c>
      <c r="AD95" t="s">
        <v>44</v>
      </c>
      <c r="AG95">
        <v>14554</v>
      </c>
      <c r="AH95" t="s">
        <v>38</v>
      </c>
      <c r="AI95" s="4">
        <v>20000</v>
      </c>
      <c r="AJ95">
        <v>1</v>
      </c>
      <c r="AK95" t="s">
        <v>13</v>
      </c>
      <c r="AL95" t="s">
        <v>15</v>
      </c>
      <c r="AM95">
        <v>66</v>
      </c>
      <c r="AN95" t="s">
        <v>45</v>
      </c>
      <c r="BL95">
        <v>15532</v>
      </c>
      <c r="BM95" t="s">
        <v>36</v>
      </c>
      <c r="BN95" t="s">
        <v>38</v>
      </c>
      <c r="BO95" s="4">
        <v>60000</v>
      </c>
      <c r="BP95" s="4">
        <v>60000</v>
      </c>
      <c r="BQ95">
        <v>4</v>
      </c>
      <c r="BR95" t="s">
        <v>21</v>
      </c>
      <c r="BS95" t="s">
        <v>15</v>
      </c>
      <c r="BT95">
        <v>43</v>
      </c>
      <c r="CB95">
        <v>17471</v>
      </c>
      <c r="CC95" t="s">
        <v>36</v>
      </c>
      <c r="CD95" t="s">
        <v>37</v>
      </c>
      <c r="CE95" s="4">
        <v>80000</v>
      </c>
      <c r="CF95">
        <v>4</v>
      </c>
      <c r="CG95" t="s">
        <v>28</v>
      </c>
      <c r="CH95" t="s">
        <v>15</v>
      </c>
      <c r="CI95">
        <v>67</v>
      </c>
      <c r="CK95">
        <v>17471</v>
      </c>
      <c r="CL95" t="s">
        <v>36</v>
      </c>
      <c r="CM95" t="s">
        <v>37</v>
      </c>
      <c r="CN95" s="4">
        <v>80000</v>
      </c>
      <c r="CO95">
        <v>4</v>
      </c>
      <c r="CP95" t="s">
        <v>28</v>
      </c>
      <c r="CQ95" t="s">
        <v>15</v>
      </c>
      <c r="CR95">
        <v>67</v>
      </c>
      <c r="CS95">
        <v>2</v>
      </c>
    </row>
    <row r="96" spans="1:97" x14ac:dyDescent="0.25">
      <c r="A96">
        <v>23668</v>
      </c>
      <c r="B96" t="s">
        <v>35</v>
      </c>
      <c r="C96" t="s">
        <v>37</v>
      </c>
      <c r="D96" s="11">
        <v>40000</v>
      </c>
      <c r="E96">
        <v>4</v>
      </c>
      <c r="F96" t="s">
        <v>27</v>
      </c>
      <c r="G96" t="s">
        <v>21</v>
      </c>
      <c r="H96" t="s">
        <v>15</v>
      </c>
      <c r="I96">
        <v>2</v>
      </c>
      <c r="J96" t="s">
        <v>23</v>
      </c>
      <c r="K96" t="s">
        <v>31</v>
      </c>
      <c r="L96">
        <v>59</v>
      </c>
      <c r="M96" t="str">
        <f t="shared" si="1"/>
        <v>Old</v>
      </c>
      <c r="N96" t="s">
        <v>15</v>
      </c>
      <c r="R96">
        <v>18674</v>
      </c>
      <c r="S96" t="s">
        <v>36</v>
      </c>
      <c r="T96" t="s">
        <v>37</v>
      </c>
      <c r="U96" s="4">
        <v>80000</v>
      </c>
      <c r="V96">
        <v>4</v>
      </c>
      <c r="W96" t="s">
        <v>30</v>
      </c>
      <c r="X96" t="s">
        <v>14</v>
      </c>
      <c r="Y96" t="s">
        <v>18</v>
      </c>
      <c r="Z96">
        <v>0</v>
      </c>
      <c r="AA96" t="s">
        <v>16</v>
      </c>
      <c r="AB96" t="s">
        <v>31</v>
      </c>
      <c r="AC96">
        <v>48</v>
      </c>
      <c r="AD96" t="s">
        <v>44</v>
      </c>
      <c r="AG96">
        <v>28379</v>
      </c>
      <c r="AH96" t="s">
        <v>38</v>
      </c>
      <c r="AI96" s="4">
        <v>30000</v>
      </c>
      <c r="AJ96">
        <v>1</v>
      </c>
      <c r="AK96" t="s">
        <v>13</v>
      </c>
      <c r="AL96" t="s">
        <v>15</v>
      </c>
      <c r="AM96">
        <v>40</v>
      </c>
      <c r="AN96" t="s">
        <v>44</v>
      </c>
      <c r="BL96">
        <v>15529</v>
      </c>
      <c r="BM96" t="s">
        <v>35</v>
      </c>
      <c r="BN96" t="s">
        <v>38</v>
      </c>
      <c r="BO96" s="4">
        <v>60000</v>
      </c>
      <c r="BP96" s="4">
        <v>60000</v>
      </c>
      <c r="BQ96">
        <v>4</v>
      </c>
      <c r="BR96" t="s">
        <v>21</v>
      </c>
      <c r="BS96" t="s">
        <v>15</v>
      </c>
      <c r="BT96">
        <v>43</v>
      </c>
      <c r="CB96">
        <v>13586</v>
      </c>
      <c r="CC96" t="s">
        <v>35</v>
      </c>
      <c r="CD96" t="s">
        <v>38</v>
      </c>
      <c r="CE96" s="4">
        <v>80000</v>
      </c>
      <c r="CF96">
        <v>4</v>
      </c>
      <c r="CG96" t="s">
        <v>21</v>
      </c>
      <c r="CH96" t="s">
        <v>15</v>
      </c>
      <c r="CI96">
        <v>53</v>
      </c>
      <c r="CK96">
        <v>13586</v>
      </c>
      <c r="CL96" t="s">
        <v>35</v>
      </c>
      <c r="CM96" t="s">
        <v>38</v>
      </c>
      <c r="CN96" s="4">
        <v>80000</v>
      </c>
      <c r="CO96">
        <v>4</v>
      </c>
      <c r="CP96" t="s">
        <v>21</v>
      </c>
      <c r="CQ96" t="s">
        <v>15</v>
      </c>
      <c r="CR96">
        <v>53</v>
      </c>
      <c r="CS96">
        <v>2</v>
      </c>
    </row>
    <row r="97" spans="1:97" x14ac:dyDescent="0.25">
      <c r="A97">
        <v>21451</v>
      </c>
      <c r="B97" t="s">
        <v>35</v>
      </c>
      <c r="C97" t="s">
        <v>37</v>
      </c>
      <c r="D97" s="11">
        <v>40000</v>
      </c>
      <c r="E97">
        <v>4</v>
      </c>
      <c r="F97" t="s">
        <v>27</v>
      </c>
      <c r="G97" t="s">
        <v>21</v>
      </c>
      <c r="H97" t="s">
        <v>15</v>
      </c>
      <c r="I97">
        <v>2</v>
      </c>
      <c r="J97" t="s">
        <v>42</v>
      </c>
      <c r="K97" t="s">
        <v>31</v>
      </c>
      <c r="L97">
        <v>61</v>
      </c>
      <c r="M97" t="str">
        <f t="shared" si="1"/>
        <v>Old</v>
      </c>
      <c r="N97" t="s">
        <v>18</v>
      </c>
      <c r="R97">
        <v>16377</v>
      </c>
      <c r="S97" t="s">
        <v>36</v>
      </c>
      <c r="T97" t="s">
        <v>37</v>
      </c>
      <c r="U97" s="4">
        <v>80000</v>
      </c>
      <c r="V97">
        <v>4</v>
      </c>
      <c r="W97" t="s">
        <v>30</v>
      </c>
      <c r="X97" t="s">
        <v>14</v>
      </c>
      <c r="Y97" t="s">
        <v>18</v>
      </c>
      <c r="Z97">
        <v>0</v>
      </c>
      <c r="AA97" t="s">
        <v>16</v>
      </c>
      <c r="AB97" t="s">
        <v>31</v>
      </c>
      <c r="AC97">
        <v>47</v>
      </c>
      <c r="AD97" t="s">
        <v>44</v>
      </c>
      <c r="AG97">
        <v>27771</v>
      </c>
      <c r="AH97" t="s">
        <v>38</v>
      </c>
      <c r="AI97" s="4">
        <v>30000</v>
      </c>
      <c r="AJ97">
        <v>1</v>
      </c>
      <c r="AK97" t="s">
        <v>13</v>
      </c>
      <c r="AL97" t="s">
        <v>15</v>
      </c>
      <c r="AM97">
        <v>39</v>
      </c>
      <c r="AN97" t="s">
        <v>44</v>
      </c>
      <c r="BL97">
        <v>15313</v>
      </c>
      <c r="BM97" t="s">
        <v>35</v>
      </c>
      <c r="BN97" t="s">
        <v>38</v>
      </c>
      <c r="BO97" s="4">
        <v>60000</v>
      </c>
      <c r="BP97" s="4">
        <v>60000</v>
      </c>
      <c r="BQ97">
        <v>4</v>
      </c>
      <c r="BR97" t="s">
        <v>28</v>
      </c>
      <c r="BS97" t="s">
        <v>15</v>
      </c>
      <c r="BT97">
        <v>59</v>
      </c>
      <c r="CB97">
        <v>11275</v>
      </c>
      <c r="CC97" t="s">
        <v>35</v>
      </c>
      <c r="CD97" t="s">
        <v>37</v>
      </c>
      <c r="CE97" s="4">
        <v>80000</v>
      </c>
      <c r="CF97">
        <v>4</v>
      </c>
      <c r="CG97" t="s">
        <v>28</v>
      </c>
      <c r="CH97" t="s">
        <v>15</v>
      </c>
      <c r="CI97">
        <v>72</v>
      </c>
      <c r="CK97">
        <v>11275</v>
      </c>
      <c r="CL97" t="s">
        <v>35</v>
      </c>
      <c r="CM97" t="s">
        <v>37</v>
      </c>
      <c r="CN97" s="4">
        <v>80000</v>
      </c>
      <c r="CO97">
        <v>4</v>
      </c>
      <c r="CP97" t="s">
        <v>28</v>
      </c>
      <c r="CQ97" t="s">
        <v>15</v>
      </c>
      <c r="CR97">
        <v>72</v>
      </c>
      <c r="CS97">
        <v>2</v>
      </c>
    </row>
    <row r="98" spans="1:97" x14ac:dyDescent="0.25">
      <c r="A98">
        <v>18976</v>
      </c>
      <c r="B98" t="s">
        <v>36</v>
      </c>
      <c r="C98" t="s">
        <v>38</v>
      </c>
      <c r="D98" s="11">
        <v>40000</v>
      </c>
      <c r="E98">
        <v>4</v>
      </c>
      <c r="F98" t="s">
        <v>27</v>
      </c>
      <c r="G98" t="s">
        <v>21</v>
      </c>
      <c r="H98" t="s">
        <v>15</v>
      </c>
      <c r="I98">
        <v>2</v>
      </c>
      <c r="J98" t="s">
        <v>42</v>
      </c>
      <c r="K98" t="s">
        <v>31</v>
      </c>
      <c r="L98">
        <v>62</v>
      </c>
      <c r="M98" t="str">
        <f t="shared" si="1"/>
        <v>Old</v>
      </c>
      <c r="N98" t="s">
        <v>15</v>
      </c>
      <c r="R98">
        <v>13749</v>
      </c>
      <c r="S98" t="s">
        <v>35</v>
      </c>
      <c r="T98" t="s">
        <v>38</v>
      </c>
      <c r="U98" s="4">
        <v>80000</v>
      </c>
      <c r="V98">
        <v>4</v>
      </c>
      <c r="W98" t="s">
        <v>30</v>
      </c>
      <c r="X98" t="s">
        <v>14</v>
      </c>
      <c r="Y98" t="s">
        <v>15</v>
      </c>
      <c r="Z98">
        <v>0</v>
      </c>
      <c r="AA98" t="s">
        <v>26</v>
      </c>
      <c r="AB98" t="s">
        <v>31</v>
      </c>
      <c r="AC98">
        <v>47</v>
      </c>
      <c r="AD98" t="s">
        <v>44</v>
      </c>
      <c r="AG98">
        <v>26928</v>
      </c>
      <c r="AH98" t="s">
        <v>38</v>
      </c>
      <c r="AI98" s="4">
        <v>30000</v>
      </c>
      <c r="AJ98">
        <v>1</v>
      </c>
      <c r="AK98" t="s">
        <v>13</v>
      </c>
      <c r="AL98" t="s">
        <v>15</v>
      </c>
      <c r="AM98">
        <v>62</v>
      </c>
      <c r="AN98" t="s">
        <v>45</v>
      </c>
      <c r="BL98">
        <v>13760</v>
      </c>
      <c r="BM98" t="s">
        <v>35</v>
      </c>
      <c r="BN98" t="s">
        <v>38</v>
      </c>
      <c r="BO98" s="4">
        <v>60000</v>
      </c>
      <c r="BP98" s="4">
        <v>60000</v>
      </c>
      <c r="BQ98">
        <v>4</v>
      </c>
      <c r="BR98" t="s">
        <v>14</v>
      </c>
      <c r="BS98" t="s">
        <v>18</v>
      </c>
      <c r="BT98">
        <v>47</v>
      </c>
      <c r="CB98">
        <v>24871</v>
      </c>
      <c r="CC98" t="s">
        <v>36</v>
      </c>
      <c r="CD98" t="s">
        <v>37</v>
      </c>
      <c r="CE98" s="4">
        <v>90000</v>
      </c>
      <c r="CF98">
        <v>4</v>
      </c>
      <c r="CG98" t="s">
        <v>28</v>
      </c>
      <c r="CH98" t="s">
        <v>18</v>
      </c>
      <c r="CI98">
        <v>56</v>
      </c>
      <c r="CK98">
        <v>24871</v>
      </c>
      <c r="CL98" t="s">
        <v>36</v>
      </c>
      <c r="CM98" t="s">
        <v>37</v>
      </c>
      <c r="CN98" s="4">
        <v>90000</v>
      </c>
      <c r="CO98">
        <v>4</v>
      </c>
      <c r="CP98" t="s">
        <v>28</v>
      </c>
      <c r="CQ98" t="s">
        <v>18</v>
      </c>
      <c r="CR98">
        <v>56</v>
      </c>
      <c r="CS98">
        <v>3</v>
      </c>
    </row>
    <row r="99" spans="1:97" x14ac:dyDescent="0.25">
      <c r="A99">
        <v>18545</v>
      </c>
      <c r="B99" t="s">
        <v>35</v>
      </c>
      <c r="C99" t="s">
        <v>38</v>
      </c>
      <c r="D99" s="11">
        <v>40000</v>
      </c>
      <c r="E99">
        <v>4</v>
      </c>
      <c r="F99" t="s">
        <v>27</v>
      </c>
      <c r="G99" t="s">
        <v>21</v>
      </c>
      <c r="H99" t="s">
        <v>18</v>
      </c>
      <c r="I99">
        <v>2</v>
      </c>
      <c r="J99" t="s">
        <v>42</v>
      </c>
      <c r="K99" t="s">
        <v>31</v>
      </c>
      <c r="L99">
        <v>61</v>
      </c>
      <c r="M99" t="str">
        <f t="shared" si="1"/>
        <v>Old</v>
      </c>
      <c r="N99" t="s">
        <v>15</v>
      </c>
      <c r="R99">
        <v>13586</v>
      </c>
      <c r="S99" t="s">
        <v>35</v>
      </c>
      <c r="T99" t="s">
        <v>38</v>
      </c>
      <c r="U99" s="4">
        <v>80000</v>
      </c>
      <c r="V99">
        <v>4</v>
      </c>
      <c r="W99" t="s">
        <v>19</v>
      </c>
      <c r="X99" t="s">
        <v>21</v>
      </c>
      <c r="Y99" t="s">
        <v>15</v>
      </c>
      <c r="Z99">
        <v>2</v>
      </c>
      <c r="AA99" t="s">
        <v>42</v>
      </c>
      <c r="AB99" t="s">
        <v>17</v>
      </c>
      <c r="AC99">
        <v>53</v>
      </c>
      <c r="AD99" t="s">
        <v>44</v>
      </c>
      <c r="AG99">
        <v>25553</v>
      </c>
      <c r="AH99" t="s">
        <v>38</v>
      </c>
      <c r="AI99" s="4">
        <v>30000</v>
      </c>
      <c r="AJ99">
        <v>1</v>
      </c>
      <c r="AK99" t="s">
        <v>13</v>
      </c>
      <c r="AL99" t="s">
        <v>15</v>
      </c>
      <c r="AM99">
        <v>65</v>
      </c>
      <c r="AN99" t="s">
        <v>45</v>
      </c>
      <c r="BL99">
        <v>13353</v>
      </c>
      <c r="BM99" t="s">
        <v>36</v>
      </c>
      <c r="BN99" t="s">
        <v>37</v>
      </c>
      <c r="BO99" s="4">
        <v>60000</v>
      </c>
      <c r="BP99" s="4">
        <v>60000</v>
      </c>
      <c r="BQ99">
        <v>4</v>
      </c>
      <c r="BR99" t="s">
        <v>28</v>
      </c>
      <c r="BS99" t="s">
        <v>15</v>
      </c>
      <c r="BT99">
        <v>61</v>
      </c>
      <c r="CB99">
        <v>24416</v>
      </c>
      <c r="CC99" t="s">
        <v>35</v>
      </c>
      <c r="CD99" t="s">
        <v>38</v>
      </c>
      <c r="CE99" s="4">
        <v>90000</v>
      </c>
      <c r="CF99">
        <v>4</v>
      </c>
      <c r="CG99" t="s">
        <v>21</v>
      </c>
      <c r="CH99" t="s">
        <v>15</v>
      </c>
      <c r="CI99">
        <v>45</v>
      </c>
      <c r="CK99">
        <v>24416</v>
      </c>
      <c r="CL99" t="s">
        <v>35</v>
      </c>
      <c r="CM99" t="s">
        <v>38</v>
      </c>
      <c r="CN99" s="4">
        <v>90000</v>
      </c>
      <c r="CO99">
        <v>4</v>
      </c>
      <c r="CP99" t="s">
        <v>21</v>
      </c>
      <c r="CQ99" t="s">
        <v>15</v>
      </c>
      <c r="CR99">
        <v>45</v>
      </c>
      <c r="CS99">
        <v>2</v>
      </c>
    </row>
    <row r="100" spans="1:97" x14ac:dyDescent="0.25">
      <c r="A100">
        <v>17858</v>
      </c>
      <c r="B100" t="s">
        <v>35</v>
      </c>
      <c r="C100" t="s">
        <v>38</v>
      </c>
      <c r="D100" s="11">
        <v>40000</v>
      </c>
      <c r="E100">
        <v>4</v>
      </c>
      <c r="F100" t="s">
        <v>27</v>
      </c>
      <c r="G100" t="s">
        <v>14</v>
      </c>
      <c r="H100" t="s">
        <v>15</v>
      </c>
      <c r="I100">
        <v>2</v>
      </c>
      <c r="J100" t="s">
        <v>22</v>
      </c>
      <c r="K100" t="s">
        <v>31</v>
      </c>
      <c r="L100">
        <v>44</v>
      </c>
      <c r="M100" t="str">
        <f t="shared" si="1"/>
        <v>MIddleAge</v>
      </c>
      <c r="N100" t="s">
        <v>15</v>
      </c>
      <c r="R100">
        <v>13585</v>
      </c>
      <c r="S100" t="s">
        <v>35</v>
      </c>
      <c r="T100" t="s">
        <v>37</v>
      </c>
      <c r="U100" s="4">
        <v>80000</v>
      </c>
      <c r="V100">
        <v>4</v>
      </c>
      <c r="W100" t="s">
        <v>19</v>
      </c>
      <c r="X100" t="s">
        <v>21</v>
      </c>
      <c r="Y100" t="s">
        <v>18</v>
      </c>
      <c r="Z100">
        <v>1</v>
      </c>
      <c r="AA100" t="s">
        <v>22</v>
      </c>
      <c r="AB100" t="s">
        <v>17</v>
      </c>
      <c r="AC100">
        <v>53</v>
      </c>
      <c r="AD100" t="s">
        <v>44</v>
      </c>
      <c r="AG100">
        <v>20877</v>
      </c>
      <c r="AH100" t="s">
        <v>38</v>
      </c>
      <c r="AI100" s="4">
        <v>30000</v>
      </c>
      <c r="AJ100">
        <v>1</v>
      </c>
      <c r="AK100" t="s">
        <v>13</v>
      </c>
      <c r="AL100" t="s">
        <v>15</v>
      </c>
      <c r="AM100">
        <v>37</v>
      </c>
      <c r="AN100" t="s">
        <v>44</v>
      </c>
      <c r="BL100">
        <v>12452</v>
      </c>
      <c r="BM100" t="s">
        <v>35</v>
      </c>
      <c r="BN100" t="s">
        <v>38</v>
      </c>
      <c r="BO100" s="4">
        <v>60000</v>
      </c>
      <c r="BP100" s="4">
        <v>60000</v>
      </c>
      <c r="BQ100">
        <v>4</v>
      </c>
      <c r="BR100" t="s">
        <v>14</v>
      </c>
      <c r="BS100" t="s">
        <v>15</v>
      </c>
      <c r="BT100">
        <v>47</v>
      </c>
      <c r="CB100">
        <v>14192</v>
      </c>
      <c r="CC100" t="s">
        <v>35</v>
      </c>
      <c r="CD100" t="s">
        <v>38</v>
      </c>
      <c r="CE100" s="4">
        <v>90000</v>
      </c>
      <c r="CF100">
        <v>4</v>
      </c>
      <c r="CG100" t="s">
        <v>28</v>
      </c>
      <c r="CH100" t="s">
        <v>15</v>
      </c>
      <c r="CI100">
        <v>56</v>
      </c>
      <c r="CK100">
        <v>14192</v>
      </c>
      <c r="CL100" t="s">
        <v>35</v>
      </c>
      <c r="CM100" t="s">
        <v>38</v>
      </c>
      <c r="CN100" s="4">
        <v>90000</v>
      </c>
      <c r="CO100">
        <v>4</v>
      </c>
      <c r="CP100" t="s">
        <v>28</v>
      </c>
      <c r="CQ100" t="s">
        <v>15</v>
      </c>
      <c r="CR100">
        <v>56</v>
      </c>
      <c r="CS100">
        <v>3</v>
      </c>
    </row>
    <row r="101" spans="1:97" x14ac:dyDescent="0.25">
      <c r="A101">
        <v>17657</v>
      </c>
      <c r="B101" t="s">
        <v>35</v>
      </c>
      <c r="C101" t="s">
        <v>38</v>
      </c>
      <c r="D101" s="11">
        <v>40000</v>
      </c>
      <c r="E101">
        <v>4</v>
      </c>
      <c r="F101" t="s">
        <v>19</v>
      </c>
      <c r="G101" t="s">
        <v>20</v>
      </c>
      <c r="H101" t="s">
        <v>18</v>
      </c>
      <c r="I101">
        <v>0</v>
      </c>
      <c r="J101" t="s">
        <v>16</v>
      </c>
      <c r="K101" t="s">
        <v>31</v>
      </c>
      <c r="L101">
        <v>30</v>
      </c>
      <c r="M101" t="str">
        <f t="shared" si="1"/>
        <v>Adolescent</v>
      </c>
      <c r="N101" t="s">
        <v>18</v>
      </c>
      <c r="R101">
        <v>12207</v>
      </c>
      <c r="S101" t="s">
        <v>36</v>
      </c>
      <c r="T101" t="s">
        <v>38</v>
      </c>
      <c r="U101" s="4">
        <v>80000</v>
      </c>
      <c r="V101">
        <v>4</v>
      </c>
      <c r="W101" t="s">
        <v>13</v>
      </c>
      <c r="X101" t="s">
        <v>28</v>
      </c>
      <c r="Y101" t="s">
        <v>15</v>
      </c>
      <c r="Z101">
        <v>0</v>
      </c>
      <c r="AA101" t="s">
        <v>23</v>
      </c>
      <c r="AB101" t="s">
        <v>31</v>
      </c>
      <c r="AC101">
        <v>66</v>
      </c>
      <c r="AD101" t="s">
        <v>45</v>
      </c>
      <c r="AG101">
        <v>14926</v>
      </c>
      <c r="AH101" t="s">
        <v>38</v>
      </c>
      <c r="AI101" s="4">
        <v>30000</v>
      </c>
      <c r="AJ101">
        <v>1</v>
      </c>
      <c r="AK101" t="s">
        <v>13</v>
      </c>
      <c r="AL101" t="s">
        <v>15</v>
      </c>
      <c r="AM101">
        <v>38</v>
      </c>
      <c r="AN101" t="s">
        <v>44</v>
      </c>
      <c r="BL101">
        <v>11738</v>
      </c>
      <c r="BM101" t="s">
        <v>35</v>
      </c>
      <c r="BN101" t="s">
        <v>38</v>
      </c>
      <c r="BO101" s="4">
        <v>60000</v>
      </c>
      <c r="BP101" s="4">
        <v>60000</v>
      </c>
      <c r="BQ101">
        <v>4</v>
      </c>
      <c r="BR101" t="s">
        <v>21</v>
      </c>
      <c r="BS101" t="s">
        <v>15</v>
      </c>
      <c r="BT101">
        <v>46</v>
      </c>
      <c r="CB101">
        <v>14189</v>
      </c>
      <c r="CC101" t="s">
        <v>35</v>
      </c>
      <c r="CD101" t="s">
        <v>37</v>
      </c>
      <c r="CE101" s="4">
        <v>90000</v>
      </c>
      <c r="CF101">
        <v>4</v>
      </c>
      <c r="CG101" t="s">
        <v>21</v>
      </c>
      <c r="CH101" t="s">
        <v>18</v>
      </c>
      <c r="CI101">
        <v>54</v>
      </c>
      <c r="CK101">
        <v>14189</v>
      </c>
      <c r="CL101" t="s">
        <v>35</v>
      </c>
      <c r="CM101" t="s">
        <v>37</v>
      </c>
      <c r="CN101" s="4">
        <v>90000</v>
      </c>
      <c r="CO101">
        <v>4</v>
      </c>
      <c r="CP101" t="s">
        <v>21</v>
      </c>
      <c r="CQ101" t="s">
        <v>18</v>
      </c>
      <c r="CR101">
        <v>54</v>
      </c>
      <c r="CS101">
        <v>2</v>
      </c>
    </row>
    <row r="102" spans="1:97" x14ac:dyDescent="0.25">
      <c r="A102">
        <v>17541</v>
      </c>
      <c r="B102" t="s">
        <v>35</v>
      </c>
      <c r="C102" t="s">
        <v>37</v>
      </c>
      <c r="D102" s="11">
        <v>40000</v>
      </c>
      <c r="E102">
        <v>4</v>
      </c>
      <c r="F102" t="s">
        <v>27</v>
      </c>
      <c r="G102" t="s">
        <v>14</v>
      </c>
      <c r="H102" t="s">
        <v>15</v>
      </c>
      <c r="I102">
        <v>2</v>
      </c>
      <c r="J102" t="s">
        <v>22</v>
      </c>
      <c r="K102" t="s">
        <v>31</v>
      </c>
      <c r="L102">
        <v>43</v>
      </c>
      <c r="M102" t="str">
        <f t="shared" si="1"/>
        <v>MIddleAge</v>
      </c>
      <c r="N102" t="s">
        <v>18</v>
      </c>
      <c r="R102">
        <v>24871</v>
      </c>
      <c r="S102" t="s">
        <v>36</v>
      </c>
      <c r="T102" t="s">
        <v>37</v>
      </c>
      <c r="U102" s="4">
        <v>90000</v>
      </c>
      <c r="V102">
        <v>4</v>
      </c>
      <c r="W102" t="s">
        <v>27</v>
      </c>
      <c r="X102" t="s">
        <v>28</v>
      </c>
      <c r="Y102" t="s">
        <v>18</v>
      </c>
      <c r="Z102">
        <v>3</v>
      </c>
      <c r="AA102" t="s">
        <v>23</v>
      </c>
      <c r="AB102" t="s">
        <v>17</v>
      </c>
      <c r="AC102">
        <v>56</v>
      </c>
      <c r="AD102" t="s">
        <v>45</v>
      </c>
      <c r="AG102">
        <v>12590</v>
      </c>
      <c r="AH102" t="s">
        <v>38</v>
      </c>
      <c r="AI102" s="4">
        <v>30000</v>
      </c>
      <c r="AJ102">
        <v>1</v>
      </c>
      <c r="AK102" t="s">
        <v>13</v>
      </c>
      <c r="AL102" t="s">
        <v>15</v>
      </c>
      <c r="AM102">
        <v>63</v>
      </c>
      <c r="AN102" t="s">
        <v>45</v>
      </c>
      <c r="BL102">
        <v>11540</v>
      </c>
      <c r="BM102" t="s">
        <v>36</v>
      </c>
      <c r="BN102" t="s">
        <v>38</v>
      </c>
      <c r="BO102" s="4">
        <v>60000</v>
      </c>
      <c r="BP102" s="4">
        <v>60000</v>
      </c>
      <c r="BQ102">
        <v>4</v>
      </c>
      <c r="BR102" t="s">
        <v>14</v>
      </c>
      <c r="BS102" t="s">
        <v>15</v>
      </c>
      <c r="BT102">
        <v>47</v>
      </c>
      <c r="CB102">
        <v>12332</v>
      </c>
      <c r="CC102" t="s">
        <v>35</v>
      </c>
      <c r="CD102" t="s">
        <v>38</v>
      </c>
      <c r="CE102" s="4">
        <v>90000</v>
      </c>
      <c r="CF102">
        <v>4</v>
      </c>
      <c r="CG102" t="s">
        <v>28</v>
      </c>
      <c r="CH102" t="s">
        <v>15</v>
      </c>
      <c r="CI102">
        <v>58</v>
      </c>
      <c r="CK102">
        <v>12332</v>
      </c>
      <c r="CL102" t="s">
        <v>35</v>
      </c>
      <c r="CM102" t="s">
        <v>38</v>
      </c>
      <c r="CN102" s="4">
        <v>90000</v>
      </c>
      <c r="CO102">
        <v>4</v>
      </c>
      <c r="CP102" t="s">
        <v>28</v>
      </c>
      <c r="CQ102" t="s">
        <v>15</v>
      </c>
      <c r="CR102">
        <v>58</v>
      </c>
      <c r="CS102">
        <v>3</v>
      </c>
    </row>
    <row r="103" spans="1:97" x14ac:dyDescent="0.25">
      <c r="A103">
        <v>16122</v>
      </c>
      <c r="B103" t="s">
        <v>35</v>
      </c>
      <c r="C103" t="s">
        <v>38</v>
      </c>
      <c r="D103" s="11">
        <v>40000</v>
      </c>
      <c r="E103">
        <v>4</v>
      </c>
      <c r="F103" t="s">
        <v>27</v>
      </c>
      <c r="G103" t="s">
        <v>14</v>
      </c>
      <c r="H103" t="s">
        <v>15</v>
      </c>
      <c r="I103">
        <v>2</v>
      </c>
      <c r="J103" t="s">
        <v>16</v>
      </c>
      <c r="K103" t="s">
        <v>31</v>
      </c>
      <c r="L103">
        <v>44</v>
      </c>
      <c r="M103" t="str">
        <f t="shared" si="1"/>
        <v>MIddleAge</v>
      </c>
      <c r="N103" t="s">
        <v>15</v>
      </c>
      <c r="R103">
        <v>24416</v>
      </c>
      <c r="S103" t="s">
        <v>35</v>
      </c>
      <c r="T103" t="s">
        <v>38</v>
      </c>
      <c r="U103" s="4">
        <v>90000</v>
      </c>
      <c r="V103">
        <v>4</v>
      </c>
      <c r="W103" t="s">
        <v>27</v>
      </c>
      <c r="X103" t="s">
        <v>21</v>
      </c>
      <c r="Y103" t="s">
        <v>15</v>
      </c>
      <c r="Z103">
        <v>2</v>
      </c>
      <c r="AA103" t="s">
        <v>26</v>
      </c>
      <c r="AB103" t="s">
        <v>31</v>
      </c>
      <c r="AC103">
        <v>45</v>
      </c>
      <c r="AD103" t="s">
        <v>44</v>
      </c>
      <c r="AG103">
        <v>12472</v>
      </c>
      <c r="AH103" t="s">
        <v>38</v>
      </c>
      <c r="AI103" s="4">
        <v>30000</v>
      </c>
      <c r="AJ103">
        <v>1</v>
      </c>
      <c r="AK103" t="s">
        <v>13</v>
      </c>
      <c r="AL103" t="s">
        <v>15</v>
      </c>
      <c r="AM103">
        <v>39</v>
      </c>
      <c r="AN103" t="s">
        <v>44</v>
      </c>
      <c r="BL103">
        <v>11538</v>
      </c>
      <c r="BM103" t="s">
        <v>36</v>
      </c>
      <c r="BN103" t="s">
        <v>37</v>
      </c>
      <c r="BO103" s="4">
        <v>60000</v>
      </c>
      <c r="BP103" s="4">
        <v>60000</v>
      </c>
      <c r="BQ103">
        <v>4</v>
      </c>
      <c r="BR103" t="s">
        <v>14</v>
      </c>
      <c r="BS103" t="s">
        <v>18</v>
      </c>
      <c r="BT103">
        <v>47</v>
      </c>
      <c r="CB103">
        <v>11303</v>
      </c>
      <c r="CC103" t="s">
        <v>36</v>
      </c>
      <c r="CD103" t="s">
        <v>37</v>
      </c>
      <c r="CE103" s="4">
        <v>90000</v>
      </c>
      <c r="CF103">
        <v>4</v>
      </c>
      <c r="CG103" t="s">
        <v>21</v>
      </c>
      <c r="CH103" t="s">
        <v>18</v>
      </c>
      <c r="CI103">
        <v>45</v>
      </c>
      <c r="CK103">
        <v>11303</v>
      </c>
      <c r="CL103" t="s">
        <v>36</v>
      </c>
      <c r="CM103" t="s">
        <v>37</v>
      </c>
      <c r="CN103" s="4">
        <v>90000</v>
      </c>
      <c r="CO103">
        <v>4</v>
      </c>
      <c r="CP103" t="s">
        <v>21</v>
      </c>
      <c r="CQ103" t="s">
        <v>18</v>
      </c>
      <c r="CR103">
        <v>45</v>
      </c>
      <c r="CS103">
        <v>3</v>
      </c>
    </row>
    <row r="104" spans="1:97" x14ac:dyDescent="0.25">
      <c r="A104">
        <v>13934</v>
      </c>
      <c r="B104" t="s">
        <v>35</v>
      </c>
      <c r="C104" t="s">
        <v>38</v>
      </c>
      <c r="D104" s="11">
        <v>40000</v>
      </c>
      <c r="E104">
        <v>4</v>
      </c>
      <c r="F104" t="s">
        <v>27</v>
      </c>
      <c r="G104" t="s">
        <v>14</v>
      </c>
      <c r="H104" t="s">
        <v>15</v>
      </c>
      <c r="I104">
        <v>2</v>
      </c>
      <c r="J104" t="s">
        <v>22</v>
      </c>
      <c r="K104" t="s">
        <v>31</v>
      </c>
      <c r="L104">
        <v>46</v>
      </c>
      <c r="M104" t="str">
        <f t="shared" si="1"/>
        <v>MIddleAge</v>
      </c>
      <c r="N104" t="s">
        <v>18</v>
      </c>
      <c r="R104">
        <v>22930</v>
      </c>
      <c r="S104" t="s">
        <v>35</v>
      </c>
      <c r="T104" t="s">
        <v>38</v>
      </c>
      <c r="U104" s="4">
        <v>90000</v>
      </c>
      <c r="V104">
        <v>4</v>
      </c>
      <c r="W104" t="s">
        <v>13</v>
      </c>
      <c r="X104" t="s">
        <v>21</v>
      </c>
      <c r="Y104" t="s">
        <v>15</v>
      </c>
      <c r="Z104">
        <v>0</v>
      </c>
      <c r="AA104" t="s">
        <v>26</v>
      </c>
      <c r="AB104" t="s">
        <v>24</v>
      </c>
      <c r="AC104">
        <v>38</v>
      </c>
      <c r="AD104" t="s">
        <v>44</v>
      </c>
      <c r="AG104">
        <v>12273</v>
      </c>
      <c r="AH104" t="s">
        <v>38</v>
      </c>
      <c r="AI104" s="4">
        <v>30000</v>
      </c>
      <c r="AJ104">
        <v>1</v>
      </c>
      <c r="AK104" t="s">
        <v>13</v>
      </c>
      <c r="AL104" t="s">
        <v>15</v>
      </c>
      <c r="AM104">
        <v>47</v>
      </c>
      <c r="AN104" t="s">
        <v>44</v>
      </c>
      <c r="BL104">
        <v>28672</v>
      </c>
      <c r="BM104" t="s">
        <v>36</v>
      </c>
      <c r="BN104" t="s">
        <v>38</v>
      </c>
      <c r="BO104" s="4">
        <v>70000</v>
      </c>
      <c r="BP104" s="4">
        <v>70000</v>
      </c>
      <c r="BQ104">
        <v>4</v>
      </c>
      <c r="BR104" t="s">
        <v>21</v>
      </c>
      <c r="BS104" t="s">
        <v>15</v>
      </c>
      <c r="BT104">
        <v>35</v>
      </c>
      <c r="CB104">
        <v>22204</v>
      </c>
      <c r="CC104" t="s">
        <v>35</v>
      </c>
      <c r="CD104" t="s">
        <v>38</v>
      </c>
      <c r="CE104" s="4">
        <v>110000</v>
      </c>
      <c r="CF104">
        <v>4</v>
      </c>
      <c r="CG104" t="s">
        <v>28</v>
      </c>
      <c r="CH104" t="s">
        <v>15</v>
      </c>
      <c r="CI104">
        <v>48</v>
      </c>
      <c r="CK104">
        <v>22204</v>
      </c>
      <c r="CL104" t="s">
        <v>35</v>
      </c>
      <c r="CM104" t="s">
        <v>38</v>
      </c>
      <c r="CN104" s="4">
        <v>110000</v>
      </c>
      <c r="CO104">
        <v>4</v>
      </c>
      <c r="CP104" t="s">
        <v>28</v>
      </c>
      <c r="CQ104" t="s">
        <v>15</v>
      </c>
      <c r="CR104">
        <v>48</v>
      </c>
      <c r="CS104">
        <v>3</v>
      </c>
    </row>
    <row r="105" spans="1:97" x14ac:dyDescent="0.25">
      <c r="A105">
        <v>27393</v>
      </c>
      <c r="B105" t="s">
        <v>35</v>
      </c>
      <c r="C105" t="s">
        <v>37</v>
      </c>
      <c r="D105" s="11">
        <v>50000</v>
      </c>
      <c r="E105">
        <v>4</v>
      </c>
      <c r="F105" t="s">
        <v>13</v>
      </c>
      <c r="G105" t="s">
        <v>28</v>
      </c>
      <c r="H105" t="s">
        <v>15</v>
      </c>
      <c r="I105">
        <v>2</v>
      </c>
      <c r="J105" t="s">
        <v>42</v>
      </c>
      <c r="K105" t="s">
        <v>31</v>
      </c>
      <c r="L105">
        <v>63</v>
      </c>
      <c r="M105" t="str">
        <f t="shared" si="1"/>
        <v>Old</v>
      </c>
      <c r="N105" t="s">
        <v>18</v>
      </c>
      <c r="R105">
        <v>22050</v>
      </c>
      <c r="S105" t="s">
        <v>36</v>
      </c>
      <c r="T105" t="s">
        <v>38</v>
      </c>
      <c r="U105" s="4">
        <v>90000</v>
      </c>
      <c r="V105">
        <v>4</v>
      </c>
      <c r="W105" t="s">
        <v>13</v>
      </c>
      <c r="X105" t="s">
        <v>28</v>
      </c>
      <c r="Y105" t="s">
        <v>15</v>
      </c>
      <c r="Z105">
        <v>1</v>
      </c>
      <c r="AA105" t="s">
        <v>26</v>
      </c>
      <c r="AB105" t="s">
        <v>31</v>
      </c>
      <c r="AC105">
        <v>38</v>
      </c>
      <c r="AD105" t="s">
        <v>44</v>
      </c>
      <c r="AG105">
        <v>11576</v>
      </c>
      <c r="AH105" t="s">
        <v>38</v>
      </c>
      <c r="AI105" s="4">
        <v>30000</v>
      </c>
      <c r="AJ105">
        <v>1</v>
      </c>
      <c r="AK105" t="s">
        <v>13</v>
      </c>
      <c r="AL105" t="s">
        <v>15</v>
      </c>
      <c r="AM105">
        <v>41</v>
      </c>
      <c r="AN105" t="s">
        <v>44</v>
      </c>
      <c r="BL105">
        <v>27650</v>
      </c>
      <c r="BM105" t="s">
        <v>35</v>
      </c>
      <c r="BN105" t="s">
        <v>38</v>
      </c>
      <c r="BO105" s="4">
        <v>70000</v>
      </c>
      <c r="BP105" s="4">
        <v>70000</v>
      </c>
      <c r="BQ105">
        <v>4</v>
      </c>
      <c r="BR105" t="s">
        <v>21</v>
      </c>
      <c r="BS105" t="s">
        <v>15</v>
      </c>
      <c r="BT105">
        <v>51</v>
      </c>
      <c r="CB105">
        <v>29237</v>
      </c>
      <c r="CC105" t="s">
        <v>36</v>
      </c>
      <c r="CD105" t="s">
        <v>37</v>
      </c>
      <c r="CE105" s="4">
        <v>120000</v>
      </c>
      <c r="CF105">
        <v>4</v>
      </c>
      <c r="CG105" t="s">
        <v>21</v>
      </c>
      <c r="CH105" t="s">
        <v>15</v>
      </c>
      <c r="CI105">
        <v>43</v>
      </c>
      <c r="CK105">
        <v>29237</v>
      </c>
      <c r="CL105" t="s">
        <v>36</v>
      </c>
      <c r="CM105" t="s">
        <v>37</v>
      </c>
      <c r="CN105" s="4">
        <v>120000</v>
      </c>
      <c r="CO105">
        <v>4</v>
      </c>
      <c r="CP105" t="s">
        <v>21</v>
      </c>
      <c r="CQ105" t="s">
        <v>15</v>
      </c>
      <c r="CR105">
        <v>43</v>
      </c>
      <c r="CS105">
        <v>3</v>
      </c>
    </row>
    <row r="106" spans="1:97" x14ac:dyDescent="0.25">
      <c r="A106">
        <v>21441</v>
      </c>
      <c r="B106" t="s">
        <v>35</v>
      </c>
      <c r="C106" t="s">
        <v>38</v>
      </c>
      <c r="D106" s="11">
        <v>50000</v>
      </c>
      <c r="E106">
        <v>4</v>
      </c>
      <c r="F106" t="s">
        <v>13</v>
      </c>
      <c r="G106" t="s">
        <v>28</v>
      </c>
      <c r="H106" t="s">
        <v>15</v>
      </c>
      <c r="I106">
        <v>2</v>
      </c>
      <c r="J106" t="s">
        <v>42</v>
      </c>
      <c r="K106" t="s">
        <v>31</v>
      </c>
      <c r="L106">
        <v>64</v>
      </c>
      <c r="M106" t="str">
        <f t="shared" si="1"/>
        <v>Old</v>
      </c>
      <c r="N106" t="s">
        <v>18</v>
      </c>
      <c r="R106">
        <v>19661</v>
      </c>
      <c r="S106" t="s">
        <v>36</v>
      </c>
      <c r="T106" t="s">
        <v>38</v>
      </c>
      <c r="U106" s="4">
        <v>90000</v>
      </c>
      <c r="V106">
        <v>4</v>
      </c>
      <c r="W106" t="s">
        <v>13</v>
      </c>
      <c r="X106" t="s">
        <v>28</v>
      </c>
      <c r="Y106" t="s">
        <v>15</v>
      </c>
      <c r="Z106">
        <v>1</v>
      </c>
      <c r="AA106" t="s">
        <v>26</v>
      </c>
      <c r="AB106" t="s">
        <v>31</v>
      </c>
      <c r="AC106">
        <v>38</v>
      </c>
      <c r="AD106" t="s">
        <v>44</v>
      </c>
      <c r="AG106">
        <v>26984</v>
      </c>
      <c r="AH106" t="s">
        <v>38</v>
      </c>
      <c r="AI106" s="4">
        <v>40000</v>
      </c>
      <c r="AJ106">
        <v>1</v>
      </c>
      <c r="AK106" t="s">
        <v>13</v>
      </c>
      <c r="AL106" t="s">
        <v>15</v>
      </c>
      <c r="AM106">
        <v>32</v>
      </c>
      <c r="AN106" t="s">
        <v>44</v>
      </c>
      <c r="BL106">
        <v>27434</v>
      </c>
      <c r="BM106" t="s">
        <v>36</v>
      </c>
      <c r="BN106" t="s">
        <v>38</v>
      </c>
      <c r="BO106" s="4">
        <v>70000</v>
      </c>
      <c r="BP106" s="4">
        <v>70000</v>
      </c>
      <c r="BQ106">
        <v>4</v>
      </c>
      <c r="BR106" t="s">
        <v>21</v>
      </c>
      <c r="BS106" t="s">
        <v>15</v>
      </c>
      <c r="BT106">
        <v>56</v>
      </c>
      <c r="CB106">
        <v>22830</v>
      </c>
      <c r="CC106" t="s">
        <v>35</v>
      </c>
      <c r="CD106" t="s">
        <v>38</v>
      </c>
      <c r="CE106" s="4">
        <v>120000</v>
      </c>
      <c r="CF106">
        <v>4</v>
      </c>
      <c r="CG106" t="s">
        <v>28</v>
      </c>
      <c r="CH106" t="s">
        <v>15</v>
      </c>
      <c r="CI106">
        <v>56</v>
      </c>
      <c r="CK106">
        <v>22830</v>
      </c>
      <c r="CL106" t="s">
        <v>35</v>
      </c>
      <c r="CM106" t="s">
        <v>38</v>
      </c>
      <c r="CN106" s="4">
        <v>120000</v>
      </c>
      <c r="CO106">
        <v>4</v>
      </c>
      <c r="CP106" t="s">
        <v>28</v>
      </c>
      <c r="CQ106" t="s">
        <v>15</v>
      </c>
      <c r="CR106">
        <v>56</v>
      </c>
      <c r="CS106">
        <v>3</v>
      </c>
    </row>
    <row r="107" spans="1:97" x14ac:dyDescent="0.25">
      <c r="A107">
        <v>20401</v>
      </c>
      <c r="B107" t="s">
        <v>35</v>
      </c>
      <c r="C107" t="s">
        <v>37</v>
      </c>
      <c r="D107" s="11">
        <v>50000</v>
      </c>
      <c r="E107">
        <v>4</v>
      </c>
      <c r="F107" t="s">
        <v>13</v>
      </c>
      <c r="G107" t="s">
        <v>28</v>
      </c>
      <c r="H107" t="s">
        <v>15</v>
      </c>
      <c r="I107">
        <v>2</v>
      </c>
      <c r="J107" t="s">
        <v>26</v>
      </c>
      <c r="K107" t="s">
        <v>31</v>
      </c>
      <c r="L107">
        <v>64</v>
      </c>
      <c r="M107" t="str">
        <f t="shared" si="1"/>
        <v>Old</v>
      </c>
      <c r="N107" t="s">
        <v>15</v>
      </c>
      <c r="R107">
        <v>14432</v>
      </c>
      <c r="S107" t="s">
        <v>36</v>
      </c>
      <c r="T107" t="s">
        <v>38</v>
      </c>
      <c r="U107" s="4">
        <v>90000</v>
      </c>
      <c r="V107">
        <v>4</v>
      </c>
      <c r="W107" t="s">
        <v>30</v>
      </c>
      <c r="X107" t="s">
        <v>28</v>
      </c>
      <c r="Y107" t="s">
        <v>15</v>
      </c>
      <c r="Z107">
        <v>1</v>
      </c>
      <c r="AA107" t="s">
        <v>23</v>
      </c>
      <c r="AB107" t="s">
        <v>31</v>
      </c>
      <c r="AC107">
        <v>73</v>
      </c>
      <c r="AD107" t="s">
        <v>45</v>
      </c>
      <c r="AG107">
        <v>23940</v>
      </c>
      <c r="AH107" t="s">
        <v>38</v>
      </c>
      <c r="AI107" s="4">
        <v>40000</v>
      </c>
      <c r="AJ107">
        <v>1</v>
      </c>
      <c r="AK107" t="s">
        <v>13</v>
      </c>
      <c r="AL107" t="s">
        <v>15</v>
      </c>
      <c r="AM107">
        <v>44</v>
      </c>
      <c r="AN107" t="s">
        <v>44</v>
      </c>
      <c r="BL107">
        <v>26327</v>
      </c>
      <c r="BM107" t="s">
        <v>35</v>
      </c>
      <c r="BN107" t="s">
        <v>38</v>
      </c>
      <c r="BO107" s="4">
        <v>70000</v>
      </c>
      <c r="BP107" s="4">
        <v>70000</v>
      </c>
      <c r="BQ107">
        <v>4</v>
      </c>
      <c r="BR107" t="s">
        <v>21</v>
      </c>
      <c r="BS107" t="s">
        <v>15</v>
      </c>
      <c r="BT107">
        <v>36</v>
      </c>
      <c r="CB107">
        <v>19066</v>
      </c>
      <c r="CC107" t="s">
        <v>35</v>
      </c>
      <c r="CD107" t="s">
        <v>38</v>
      </c>
      <c r="CE107" s="4">
        <v>130000</v>
      </c>
      <c r="CF107">
        <v>4</v>
      </c>
      <c r="CG107" t="s">
        <v>21</v>
      </c>
      <c r="CH107" t="s">
        <v>18</v>
      </c>
      <c r="CI107">
        <v>54</v>
      </c>
      <c r="CK107">
        <v>19066</v>
      </c>
      <c r="CL107" t="s">
        <v>35</v>
      </c>
      <c r="CM107" t="s">
        <v>38</v>
      </c>
      <c r="CN107" s="4">
        <v>130000</v>
      </c>
      <c r="CO107">
        <v>4</v>
      </c>
      <c r="CP107" t="s">
        <v>21</v>
      </c>
      <c r="CQ107" t="s">
        <v>18</v>
      </c>
      <c r="CR107">
        <v>54</v>
      </c>
      <c r="CS107">
        <v>3</v>
      </c>
    </row>
    <row r="108" spans="1:97" x14ac:dyDescent="0.25">
      <c r="A108">
        <v>19747</v>
      </c>
      <c r="B108" t="s">
        <v>35</v>
      </c>
      <c r="C108" t="s">
        <v>38</v>
      </c>
      <c r="D108" s="11">
        <v>50000</v>
      </c>
      <c r="E108">
        <v>4</v>
      </c>
      <c r="F108" t="s">
        <v>13</v>
      </c>
      <c r="G108" t="s">
        <v>28</v>
      </c>
      <c r="H108" t="s">
        <v>15</v>
      </c>
      <c r="I108">
        <v>2</v>
      </c>
      <c r="J108" t="s">
        <v>42</v>
      </c>
      <c r="K108" t="s">
        <v>31</v>
      </c>
      <c r="L108">
        <v>63</v>
      </c>
      <c r="M108" t="str">
        <f t="shared" si="1"/>
        <v>Old</v>
      </c>
      <c r="N108" t="s">
        <v>18</v>
      </c>
      <c r="R108">
        <v>14192</v>
      </c>
      <c r="S108" t="s">
        <v>35</v>
      </c>
      <c r="T108" t="s">
        <v>38</v>
      </c>
      <c r="U108" s="4">
        <v>90000</v>
      </c>
      <c r="V108">
        <v>4</v>
      </c>
      <c r="W108" t="s">
        <v>27</v>
      </c>
      <c r="X108" t="s">
        <v>28</v>
      </c>
      <c r="Y108" t="s">
        <v>15</v>
      </c>
      <c r="Z108">
        <v>3</v>
      </c>
      <c r="AA108" t="s">
        <v>23</v>
      </c>
      <c r="AB108" t="s">
        <v>17</v>
      </c>
      <c r="AC108">
        <v>56</v>
      </c>
      <c r="AD108" t="s">
        <v>45</v>
      </c>
      <c r="AG108">
        <v>19364</v>
      </c>
      <c r="AH108" t="s">
        <v>38</v>
      </c>
      <c r="AI108" s="4">
        <v>40000</v>
      </c>
      <c r="AJ108">
        <v>1</v>
      </c>
      <c r="AK108" t="s">
        <v>13</v>
      </c>
      <c r="AL108" t="s">
        <v>15</v>
      </c>
      <c r="AM108">
        <v>43</v>
      </c>
      <c r="AN108" t="s">
        <v>44</v>
      </c>
      <c r="BL108">
        <v>25074</v>
      </c>
      <c r="BM108" t="s">
        <v>35</v>
      </c>
      <c r="BN108" t="s">
        <v>37</v>
      </c>
      <c r="BO108" s="4">
        <v>70000</v>
      </c>
      <c r="BP108" s="4">
        <v>70000</v>
      </c>
      <c r="BQ108">
        <v>4</v>
      </c>
      <c r="BR108" t="s">
        <v>21</v>
      </c>
      <c r="BS108" t="s">
        <v>15</v>
      </c>
      <c r="BT108">
        <v>42</v>
      </c>
      <c r="CB108">
        <v>18172</v>
      </c>
      <c r="CC108" t="s">
        <v>35</v>
      </c>
      <c r="CD108" t="s">
        <v>38</v>
      </c>
      <c r="CE108" s="4">
        <v>130000</v>
      </c>
      <c r="CF108">
        <v>4</v>
      </c>
      <c r="CG108" t="s">
        <v>21</v>
      </c>
      <c r="CH108" t="s">
        <v>15</v>
      </c>
      <c r="CI108">
        <v>55</v>
      </c>
      <c r="CK108">
        <v>18172</v>
      </c>
      <c r="CL108" t="s">
        <v>35</v>
      </c>
      <c r="CM108" t="s">
        <v>38</v>
      </c>
      <c r="CN108" s="4">
        <v>130000</v>
      </c>
      <c r="CO108">
        <v>4</v>
      </c>
      <c r="CP108" t="s">
        <v>21</v>
      </c>
      <c r="CQ108" t="s">
        <v>15</v>
      </c>
      <c r="CR108">
        <v>55</v>
      </c>
      <c r="CS108">
        <v>3</v>
      </c>
    </row>
    <row r="109" spans="1:97" x14ac:dyDescent="0.25">
      <c r="A109">
        <v>14608</v>
      </c>
      <c r="B109" t="s">
        <v>35</v>
      </c>
      <c r="C109" t="s">
        <v>38</v>
      </c>
      <c r="D109" s="11">
        <v>50000</v>
      </c>
      <c r="E109">
        <v>4</v>
      </c>
      <c r="F109" t="s">
        <v>13</v>
      </c>
      <c r="G109" t="s">
        <v>14</v>
      </c>
      <c r="H109" t="s">
        <v>15</v>
      </c>
      <c r="I109">
        <v>3</v>
      </c>
      <c r="J109" t="s">
        <v>42</v>
      </c>
      <c r="K109" t="s">
        <v>31</v>
      </c>
      <c r="L109">
        <v>42</v>
      </c>
      <c r="M109" t="str">
        <f t="shared" si="1"/>
        <v>MIddleAge</v>
      </c>
      <c r="N109" t="s">
        <v>18</v>
      </c>
      <c r="R109">
        <v>14189</v>
      </c>
      <c r="S109" t="s">
        <v>35</v>
      </c>
      <c r="T109" t="s">
        <v>37</v>
      </c>
      <c r="U109" s="4">
        <v>90000</v>
      </c>
      <c r="V109">
        <v>4</v>
      </c>
      <c r="W109" t="s">
        <v>27</v>
      </c>
      <c r="X109" t="s">
        <v>21</v>
      </c>
      <c r="Y109" t="s">
        <v>18</v>
      </c>
      <c r="Z109">
        <v>2</v>
      </c>
      <c r="AA109" t="s">
        <v>22</v>
      </c>
      <c r="AB109" t="s">
        <v>17</v>
      </c>
      <c r="AC109">
        <v>54</v>
      </c>
      <c r="AD109" t="s">
        <v>44</v>
      </c>
      <c r="AG109">
        <v>14832</v>
      </c>
      <c r="AH109" t="s">
        <v>38</v>
      </c>
      <c r="AI109" s="4">
        <v>40000</v>
      </c>
      <c r="AJ109">
        <v>1</v>
      </c>
      <c r="AK109" t="s">
        <v>13</v>
      </c>
      <c r="AL109" t="s">
        <v>15</v>
      </c>
      <c r="AM109">
        <v>42</v>
      </c>
      <c r="AN109" t="s">
        <v>44</v>
      </c>
      <c r="BL109">
        <v>23041</v>
      </c>
      <c r="BM109" t="s">
        <v>36</v>
      </c>
      <c r="BN109" t="s">
        <v>37</v>
      </c>
      <c r="BO109" s="4">
        <v>70000</v>
      </c>
      <c r="BP109" s="4">
        <v>70000</v>
      </c>
      <c r="BQ109">
        <v>4</v>
      </c>
      <c r="BR109" t="s">
        <v>21</v>
      </c>
      <c r="BS109" t="s">
        <v>15</v>
      </c>
      <c r="BT109">
        <v>50</v>
      </c>
      <c r="CB109">
        <v>26452</v>
      </c>
      <c r="CC109" t="s">
        <v>36</v>
      </c>
      <c r="CD109" t="s">
        <v>38</v>
      </c>
      <c r="CE109" s="4">
        <v>50000</v>
      </c>
      <c r="CF109">
        <v>3</v>
      </c>
      <c r="CG109" t="s">
        <v>28</v>
      </c>
      <c r="CH109" t="s">
        <v>15</v>
      </c>
      <c r="CI109">
        <v>69</v>
      </c>
      <c r="CK109">
        <v>26452</v>
      </c>
      <c r="CL109" t="s">
        <v>36</v>
      </c>
      <c r="CM109" t="s">
        <v>38</v>
      </c>
      <c r="CN109" s="4">
        <v>50000</v>
      </c>
      <c r="CO109">
        <v>3</v>
      </c>
      <c r="CP109" t="s">
        <v>28</v>
      </c>
      <c r="CQ109" t="s">
        <v>15</v>
      </c>
      <c r="CR109">
        <v>69</v>
      </c>
      <c r="CS109">
        <v>2</v>
      </c>
    </row>
    <row r="110" spans="1:97" x14ac:dyDescent="0.25">
      <c r="A110">
        <v>13920</v>
      </c>
      <c r="B110" t="s">
        <v>36</v>
      </c>
      <c r="C110" t="s">
        <v>37</v>
      </c>
      <c r="D110" s="11">
        <v>50000</v>
      </c>
      <c r="E110">
        <v>4</v>
      </c>
      <c r="F110" t="s">
        <v>13</v>
      </c>
      <c r="G110" t="s">
        <v>14</v>
      </c>
      <c r="H110" t="s">
        <v>15</v>
      </c>
      <c r="I110">
        <v>2</v>
      </c>
      <c r="J110" t="s">
        <v>16</v>
      </c>
      <c r="K110" t="s">
        <v>31</v>
      </c>
      <c r="L110">
        <v>42</v>
      </c>
      <c r="M110" t="str">
        <f t="shared" si="1"/>
        <v>MIddleAge</v>
      </c>
      <c r="N110" t="s">
        <v>18</v>
      </c>
      <c r="R110">
        <v>12332</v>
      </c>
      <c r="S110" t="s">
        <v>35</v>
      </c>
      <c r="T110" t="s">
        <v>38</v>
      </c>
      <c r="U110" s="4">
        <v>90000</v>
      </c>
      <c r="V110">
        <v>4</v>
      </c>
      <c r="W110" t="s">
        <v>27</v>
      </c>
      <c r="X110" t="s">
        <v>28</v>
      </c>
      <c r="Y110" t="s">
        <v>15</v>
      </c>
      <c r="Z110">
        <v>3</v>
      </c>
      <c r="AA110" t="s">
        <v>23</v>
      </c>
      <c r="AB110" t="s">
        <v>17</v>
      </c>
      <c r="AC110">
        <v>58</v>
      </c>
      <c r="AD110" t="s">
        <v>45</v>
      </c>
      <c r="AG110">
        <v>13687</v>
      </c>
      <c r="AH110" t="s">
        <v>38</v>
      </c>
      <c r="AI110" s="4">
        <v>40000</v>
      </c>
      <c r="AJ110">
        <v>1</v>
      </c>
      <c r="AK110" t="s">
        <v>13</v>
      </c>
      <c r="AL110" t="s">
        <v>15</v>
      </c>
      <c r="AM110">
        <v>33</v>
      </c>
      <c r="AN110" t="s">
        <v>44</v>
      </c>
      <c r="BL110">
        <v>21801</v>
      </c>
      <c r="BM110" t="s">
        <v>35</v>
      </c>
      <c r="BN110" t="s">
        <v>37</v>
      </c>
      <c r="BO110" s="4">
        <v>70000</v>
      </c>
      <c r="BP110" s="4">
        <v>70000</v>
      </c>
      <c r="BQ110">
        <v>4</v>
      </c>
      <c r="BR110" t="s">
        <v>21</v>
      </c>
      <c r="BS110" t="s">
        <v>15</v>
      </c>
      <c r="BT110">
        <v>55</v>
      </c>
      <c r="CB110">
        <v>23893</v>
      </c>
      <c r="CC110" t="s">
        <v>35</v>
      </c>
      <c r="CD110" t="s">
        <v>38</v>
      </c>
      <c r="CE110" s="4">
        <v>50000</v>
      </c>
      <c r="CF110">
        <v>3</v>
      </c>
      <c r="CG110" t="s">
        <v>14</v>
      </c>
      <c r="CH110" t="s">
        <v>15</v>
      </c>
      <c r="CI110">
        <v>41</v>
      </c>
      <c r="CK110">
        <v>23893</v>
      </c>
      <c r="CL110" t="s">
        <v>35</v>
      </c>
      <c r="CM110" t="s">
        <v>38</v>
      </c>
      <c r="CN110" s="4">
        <v>50000</v>
      </c>
      <c r="CO110">
        <v>3</v>
      </c>
      <c r="CP110" t="s">
        <v>14</v>
      </c>
      <c r="CQ110" t="s">
        <v>15</v>
      </c>
      <c r="CR110">
        <v>41</v>
      </c>
      <c r="CS110">
        <v>3</v>
      </c>
    </row>
    <row r="111" spans="1:97" x14ac:dyDescent="0.25">
      <c r="A111">
        <v>29134</v>
      </c>
      <c r="B111" t="s">
        <v>35</v>
      </c>
      <c r="C111" t="s">
        <v>38</v>
      </c>
      <c r="D111" s="11">
        <v>60000</v>
      </c>
      <c r="E111">
        <v>4</v>
      </c>
      <c r="F111" t="s">
        <v>13</v>
      </c>
      <c r="G111" t="s">
        <v>14</v>
      </c>
      <c r="H111" t="s">
        <v>18</v>
      </c>
      <c r="I111">
        <v>3</v>
      </c>
      <c r="J111" t="s">
        <v>42</v>
      </c>
      <c r="K111" t="s">
        <v>31</v>
      </c>
      <c r="L111">
        <v>42</v>
      </c>
      <c r="M111" t="str">
        <f t="shared" si="1"/>
        <v>MIddleAge</v>
      </c>
      <c r="N111" t="s">
        <v>18</v>
      </c>
      <c r="R111">
        <v>11303</v>
      </c>
      <c r="S111" t="s">
        <v>36</v>
      </c>
      <c r="T111" t="s">
        <v>37</v>
      </c>
      <c r="U111" s="4">
        <v>90000</v>
      </c>
      <c r="V111">
        <v>4</v>
      </c>
      <c r="W111" t="s">
        <v>27</v>
      </c>
      <c r="X111" t="s">
        <v>21</v>
      </c>
      <c r="Y111" t="s">
        <v>18</v>
      </c>
      <c r="Z111">
        <v>3</v>
      </c>
      <c r="AA111" t="s">
        <v>26</v>
      </c>
      <c r="AB111" t="s">
        <v>31</v>
      </c>
      <c r="AC111">
        <v>45</v>
      </c>
      <c r="AD111" t="s">
        <v>44</v>
      </c>
      <c r="AG111">
        <v>12510</v>
      </c>
      <c r="AH111" t="s">
        <v>38</v>
      </c>
      <c r="AI111" s="4">
        <v>40000</v>
      </c>
      <c r="AJ111">
        <v>1</v>
      </c>
      <c r="AK111" t="s">
        <v>13</v>
      </c>
      <c r="AL111" t="s">
        <v>15</v>
      </c>
      <c r="AM111">
        <v>43</v>
      </c>
      <c r="AN111" t="s">
        <v>44</v>
      </c>
      <c r="BL111">
        <v>20535</v>
      </c>
      <c r="BM111" t="s">
        <v>35</v>
      </c>
      <c r="BN111" t="s">
        <v>37</v>
      </c>
      <c r="BO111" s="4">
        <v>70000</v>
      </c>
      <c r="BP111" s="4">
        <v>70000</v>
      </c>
      <c r="BQ111">
        <v>4</v>
      </c>
      <c r="BR111" t="s">
        <v>21</v>
      </c>
      <c r="BS111" t="s">
        <v>15</v>
      </c>
      <c r="BT111">
        <v>56</v>
      </c>
      <c r="CB111">
        <v>23200</v>
      </c>
      <c r="CC111" t="s">
        <v>35</v>
      </c>
      <c r="CD111" t="s">
        <v>37</v>
      </c>
      <c r="CE111" s="4">
        <v>50000</v>
      </c>
      <c r="CF111">
        <v>3</v>
      </c>
      <c r="CG111" t="s">
        <v>14</v>
      </c>
      <c r="CH111" t="s">
        <v>15</v>
      </c>
      <c r="CI111">
        <v>41</v>
      </c>
      <c r="CK111">
        <v>23200</v>
      </c>
      <c r="CL111" t="s">
        <v>35</v>
      </c>
      <c r="CM111" t="s">
        <v>37</v>
      </c>
      <c r="CN111" s="4">
        <v>50000</v>
      </c>
      <c r="CO111">
        <v>3</v>
      </c>
      <c r="CP111" t="s">
        <v>14</v>
      </c>
      <c r="CQ111" t="s">
        <v>15</v>
      </c>
      <c r="CR111">
        <v>41</v>
      </c>
      <c r="CS111">
        <v>2</v>
      </c>
    </row>
    <row r="112" spans="1:97" x14ac:dyDescent="0.25">
      <c r="A112">
        <v>29133</v>
      </c>
      <c r="B112" t="s">
        <v>36</v>
      </c>
      <c r="C112" t="s">
        <v>37</v>
      </c>
      <c r="D112" s="11">
        <v>60000</v>
      </c>
      <c r="E112">
        <v>4</v>
      </c>
      <c r="F112" t="s">
        <v>13</v>
      </c>
      <c r="G112" t="s">
        <v>14</v>
      </c>
      <c r="H112" t="s">
        <v>18</v>
      </c>
      <c r="I112">
        <v>2</v>
      </c>
      <c r="J112" t="s">
        <v>16</v>
      </c>
      <c r="K112" t="s">
        <v>31</v>
      </c>
      <c r="L112">
        <v>42</v>
      </c>
      <c r="M112" t="str">
        <f t="shared" si="1"/>
        <v>MIddleAge</v>
      </c>
      <c r="N112" t="s">
        <v>18</v>
      </c>
      <c r="R112">
        <v>15940</v>
      </c>
      <c r="S112" t="s">
        <v>35</v>
      </c>
      <c r="T112" t="s">
        <v>38</v>
      </c>
      <c r="U112" s="4">
        <v>100000</v>
      </c>
      <c r="V112">
        <v>4</v>
      </c>
      <c r="W112" t="s">
        <v>19</v>
      </c>
      <c r="X112" t="s">
        <v>21</v>
      </c>
      <c r="Y112" t="s">
        <v>15</v>
      </c>
      <c r="Z112">
        <v>4</v>
      </c>
      <c r="AA112" t="s">
        <v>16</v>
      </c>
      <c r="AB112" t="s">
        <v>31</v>
      </c>
      <c r="AC112">
        <v>40</v>
      </c>
      <c r="AD112" t="s">
        <v>44</v>
      </c>
      <c r="AG112">
        <v>23144</v>
      </c>
      <c r="AH112" t="s">
        <v>38</v>
      </c>
      <c r="AI112" s="4">
        <v>50000</v>
      </c>
      <c r="AJ112">
        <v>1</v>
      </c>
      <c r="AK112" t="s">
        <v>13</v>
      </c>
      <c r="AL112" t="s">
        <v>15</v>
      </c>
      <c r="AM112">
        <v>34</v>
      </c>
      <c r="AN112" t="s">
        <v>44</v>
      </c>
      <c r="BL112">
        <v>19163</v>
      </c>
      <c r="BM112" t="s">
        <v>35</v>
      </c>
      <c r="BN112" t="s">
        <v>37</v>
      </c>
      <c r="BO112" s="4">
        <v>70000</v>
      </c>
      <c r="BP112" s="4">
        <v>70000</v>
      </c>
      <c r="BQ112">
        <v>4</v>
      </c>
      <c r="BR112" t="s">
        <v>21</v>
      </c>
      <c r="BS112" t="s">
        <v>15</v>
      </c>
      <c r="BT112">
        <v>43</v>
      </c>
      <c r="CB112">
        <v>23197</v>
      </c>
      <c r="CC112" t="s">
        <v>35</v>
      </c>
      <c r="CD112" t="s">
        <v>38</v>
      </c>
      <c r="CE112" s="4">
        <v>50000</v>
      </c>
      <c r="CF112">
        <v>3</v>
      </c>
      <c r="CG112" t="s">
        <v>14</v>
      </c>
      <c r="CH112" t="s">
        <v>15</v>
      </c>
      <c r="CI112">
        <v>40</v>
      </c>
      <c r="CK112">
        <v>23197</v>
      </c>
      <c r="CL112" t="s">
        <v>35</v>
      </c>
      <c r="CM112" t="s">
        <v>38</v>
      </c>
      <c r="CN112" s="4">
        <v>50000</v>
      </c>
      <c r="CO112">
        <v>3</v>
      </c>
      <c r="CP112" t="s">
        <v>14</v>
      </c>
      <c r="CQ112" t="s">
        <v>15</v>
      </c>
      <c r="CR112">
        <v>40</v>
      </c>
      <c r="CS112">
        <v>2</v>
      </c>
    </row>
    <row r="113" spans="1:97" x14ac:dyDescent="0.25">
      <c r="A113">
        <v>26597</v>
      </c>
      <c r="B113" t="s">
        <v>36</v>
      </c>
      <c r="C113" t="s">
        <v>37</v>
      </c>
      <c r="D113" s="11">
        <v>60000</v>
      </c>
      <c r="E113">
        <v>4</v>
      </c>
      <c r="F113" t="s">
        <v>13</v>
      </c>
      <c r="G113" t="s">
        <v>14</v>
      </c>
      <c r="H113" t="s">
        <v>18</v>
      </c>
      <c r="I113">
        <v>2</v>
      </c>
      <c r="J113" t="s">
        <v>16</v>
      </c>
      <c r="K113" t="s">
        <v>31</v>
      </c>
      <c r="L113">
        <v>42</v>
      </c>
      <c r="M113" t="str">
        <f t="shared" si="1"/>
        <v>MIddleAge</v>
      </c>
      <c r="N113" t="s">
        <v>18</v>
      </c>
      <c r="R113">
        <v>22204</v>
      </c>
      <c r="S113" t="s">
        <v>35</v>
      </c>
      <c r="T113" t="s">
        <v>38</v>
      </c>
      <c r="U113" s="4">
        <v>110000</v>
      </c>
      <c r="V113">
        <v>4</v>
      </c>
      <c r="W113" t="s">
        <v>13</v>
      </c>
      <c r="X113" t="s">
        <v>28</v>
      </c>
      <c r="Y113" t="s">
        <v>15</v>
      </c>
      <c r="Z113">
        <v>3</v>
      </c>
      <c r="AA113" t="s">
        <v>22</v>
      </c>
      <c r="AB113" t="s">
        <v>24</v>
      </c>
      <c r="AC113">
        <v>48</v>
      </c>
      <c r="AD113" t="s">
        <v>44</v>
      </c>
      <c r="AG113">
        <v>11641</v>
      </c>
      <c r="AH113" t="s">
        <v>38</v>
      </c>
      <c r="AI113" s="4">
        <v>50000</v>
      </c>
      <c r="AJ113">
        <v>1</v>
      </c>
      <c r="AK113" t="s">
        <v>13</v>
      </c>
      <c r="AL113" t="s">
        <v>15</v>
      </c>
      <c r="AM113">
        <v>36</v>
      </c>
      <c r="AN113" t="s">
        <v>44</v>
      </c>
      <c r="BL113">
        <v>17000</v>
      </c>
      <c r="BM113" t="s">
        <v>36</v>
      </c>
      <c r="BN113" t="s">
        <v>37</v>
      </c>
      <c r="BO113" s="4">
        <v>70000</v>
      </c>
      <c r="BP113" s="4">
        <v>70000</v>
      </c>
      <c r="BQ113">
        <v>4</v>
      </c>
      <c r="BR113" t="s">
        <v>14</v>
      </c>
      <c r="BS113" t="s">
        <v>15</v>
      </c>
      <c r="BT113">
        <v>43</v>
      </c>
      <c r="CB113">
        <v>23195</v>
      </c>
      <c r="CC113" t="s">
        <v>36</v>
      </c>
      <c r="CD113" t="s">
        <v>38</v>
      </c>
      <c r="CE113" s="4">
        <v>50000</v>
      </c>
      <c r="CF113">
        <v>3</v>
      </c>
      <c r="CG113" t="s">
        <v>14</v>
      </c>
      <c r="CH113" t="s">
        <v>15</v>
      </c>
      <c r="CI113">
        <v>41</v>
      </c>
      <c r="CK113">
        <v>23195</v>
      </c>
      <c r="CL113" t="s">
        <v>36</v>
      </c>
      <c r="CM113" t="s">
        <v>38</v>
      </c>
      <c r="CN113" s="4">
        <v>50000</v>
      </c>
      <c r="CO113">
        <v>3</v>
      </c>
      <c r="CP113" t="s">
        <v>14</v>
      </c>
      <c r="CQ113" t="s">
        <v>15</v>
      </c>
      <c r="CR113">
        <v>41</v>
      </c>
      <c r="CS113">
        <v>2</v>
      </c>
    </row>
    <row r="114" spans="1:97" x14ac:dyDescent="0.25">
      <c r="A114">
        <v>25970</v>
      </c>
      <c r="B114" t="s">
        <v>36</v>
      </c>
      <c r="C114" t="s">
        <v>37</v>
      </c>
      <c r="D114" s="11">
        <v>60000</v>
      </c>
      <c r="E114">
        <v>4</v>
      </c>
      <c r="F114" t="s">
        <v>13</v>
      </c>
      <c r="G114" t="s">
        <v>14</v>
      </c>
      <c r="H114" t="s">
        <v>18</v>
      </c>
      <c r="I114">
        <v>2</v>
      </c>
      <c r="J114" t="s">
        <v>16</v>
      </c>
      <c r="K114" t="s">
        <v>31</v>
      </c>
      <c r="L114">
        <v>41</v>
      </c>
      <c r="M114" t="str">
        <f t="shared" si="1"/>
        <v>MIddleAge</v>
      </c>
      <c r="N114" t="s">
        <v>15</v>
      </c>
      <c r="R114">
        <v>13287</v>
      </c>
      <c r="S114" t="s">
        <v>36</v>
      </c>
      <c r="T114" t="s">
        <v>38</v>
      </c>
      <c r="U114" s="4">
        <v>110000</v>
      </c>
      <c r="V114">
        <v>4</v>
      </c>
      <c r="W114" t="s">
        <v>13</v>
      </c>
      <c r="X114" t="s">
        <v>28</v>
      </c>
      <c r="Y114" t="s">
        <v>15</v>
      </c>
      <c r="Z114">
        <v>4</v>
      </c>
      <c r="AA114" t="s">
        <v>23</v>
      </c>
      <c r="AB114" t="s">
        <v>31</v>
      </c>
      <c r="AC114">
        <v>42</v>
      </c>
      <c r="AD114" t="s">
        <v>44</v>
      </c>
      <c r="AG114">
        <v>29143</v>
      </c>
      <c r="AH114" t="s">
        <v>37</v>
      </c>
      <c r="AI114" s="4">
        <v>60000</v>
      </c>
      <c r="AJ114">
        <v>1</v>
      </c>
      <c r="AK114" t="s">
        <v>13</v>
      </c>
      <c r="AL114" t="s">
        <v>18</v>
      </c>
      <c r="AM114">
        <v>44</v>
      </c>
      <c r="AN114" t="s">
        <v>44</v>
      </c>
      <c r="BL114">
        <v>16795</v>
      </c>
      <c r="BM114" t="s">
        <v>35</v>
      </c>
      <c r="BN114" t="s">
        <v>37</v>
      </c>
      <c r="BO114" s="4">
        <v>70000</v>
      </c>
      <c r="BP114" s="4">
        <v>70000</v>
      </c>
      <c r="BQ114">
        <v>4</v>
      </c>
      <c r="BR114" t="s">
        <v>28</v>
      </c>
      <c r="BS114" t="s">
        <v>15</v>
      </c>
      <c r="BT114">
        <v>59</v>
      </c>
      <c r="CB114">
        <v>28972</v>
      </c>
      <c r="CC114" t="s">
        <v>36</v>
      </c>
      <c r="CD114" t="s">
        <v>37</v>
      </c>
      <c r="CE114" s="4">
        <v>60000</v>
      </c>
      <c r="CF114">
        <v>3</v>
      </c>
      <c r="CG114" t="s">
        <v>28</v>
      </c>
      <c r="CH114" t="s">
        <v>15</v>
      </c>
      <c r="CI114">
        <v>66</v>
      </c>
      <c r="CK114">
        <v>28972</v>
      </c>
      <c r="CL114" t="s">
        <v>36</v>
      </c>
      <c r="CM114" t="s">
        <v>37</v>
      </c>
      <c r="CN114" s="4">
        <v>60000</v>
      </c>
      <c r="CO114">
        <v>3</v>
      </c>
      <c r="CP114" t="s">
        <v>28</v>
      </c>
      <c r="CQ114" t="s">
        <v>15</v>
      </c>
      <c r="CR114">
        <v>66</v>
      </c>
      <c r="CS114">
        <v>2</v>
      </c>
    </row>
    <row r="115" spans="1:97" x14ac:dyDescent="0.25">
      <c r="A115">
        <v>24643</v>
      </c>
      <c r="B115" t="s">
        <v>36</v>
      </c>
      <c r="C115" t="s">
        <v>37</v>
      </c>
      <c r="D115" s="11">
        <v>60000</v>
      </c>
      <c r="E115">
        <v>4</v>
      </c>
      <c r="F115" t="s">
        <v>13</v>
      </c>
      <c r="G115" t="s">
        <v>28</v>
      </c>
      <c r="H115" t="s">
        <v>15</v>
      </c>
      <c r="I115">
        <v>2</v>
      </c>
      <c r="J115" t="s">
        <v>42</v>
      </c>
      <c r="K115" t="s">
        <v>31</v>
      </c>
      <c r="L115">
        <v>63</v>
      </c>
      <c r="M115" t="str">
        <f t="shared" si="1"/>
        <v>Old</v>
      </c>
      <c r="N115" t="s">
        <v>18</v>
      </c>
      <c r="R115">
        <v>22830</v>
      </c>
      <c r="S115" t="s">
        <v>35</v>
      </c>
      <c r="T115" t="s">
        <v>38</v>
      </c>
      <c r="U115" s="4">
        <v>120000</v>
      </c>
      <c r="V115">
        <v>4</v>
      </c>
      <c r="W115" t="s">
        <v>19</v>
      </c>
      <c r="X115" t="s">
        <v>28</v>
      </c>
      <c r="Y115" t="s">
        <v>15</v>
      </c>
      <c r="Z115">
        <v>3</v>
      </c>
      <c r="AA115" t="s">
        <v>42</v>
      </c>
      <c r="AB115" t="s">
        <v>17</v>
      </c>
      <c r="AC115">
        <v>56</v>
      </c>
      <c r="AD115" t="s">
        <v>45</v>
      </c>
      <c r="AG115">
        <v>27696</v>
      </c>
      <c r="AH115" t="s">
        <v>38</v>
      </c>
      <c r="AI115" s="4">
        <v>60000</v>
      </c>
      <c r="AJ115">
        <v>1</v>
      </c>
      <c r="AK115" t="s">
        <v>13</v>
      </c>
      <c r="AL115" t="s">
        <v>15</v>
      </c>
      <c r="AM115">
        <v>43</v>
      </c>
      <c r="AN115" t="s">
        <v>44</v>
      </c>
      <c r="BL115">
        <v>16112</v>
      </c>
      <c r="BM115" t="s">
        <v>36</v>
      </c>
      <c r="BN115" t="s">
        <v>38</v>
      </c>
      <c r="BO115" s="4">
        <v>70000</v>
      </c>
      <c r="BP115" s="4">
        <v>70000</v>
      </c>
      <c r="BQ115">
        <v>4</v>
      </c>
      <c r="BR115" t="s">
        <v>21</v>
      </c>
      <c r="BS115" t="s">
        <v>15</v>
      </c>
      <c r="BT115">
        <v>43</v>
      </c>
      <c r="CB115">
        <v>28004</v>
      </c>
      <c r="CC115" t="s">
        <v>35</v>
      </c>
      <c r="CD115" t="s">
        <v>37</v>
      </c>
      <c r="CE115" s="4">
        <v>60000</v>
      </c>
      <c r="CF115">
        <v>3</v>
      </c>
      <c r="CG115" t="s">
        <v>28</v>
      </c>
      <c r="CH115" t="s">
        <v>15</v>
      </c>
      <c r="CI115">
        <v>66</v>
      </c>
      <c r="CK115">
        <v>28004</v>
      </c>
      <c r="CL115" t="s">
        <v>35</v>
      </c>
      <c r="CM115" t="s">
        <v>37</v>
      </c>
      <c r="CN115" s="4">
        <v>60000</v>
      </c>
      <c r="CO115">
        <v>3</v>
      </c>
      <c r="CP115" t="s">
        <v>28</v>
      </c>
      <c r="CQ115" t="s">
        <v>15</v>
      </c>
      <c r="CR115">
        <v>66</v>
      </c>
      <c r="CS115">
        <v>2</v>
      </c>
    </row>
    <row r="116" spans="1:97" x14ac:dyDescent="0.25">
      <c r="A116">
        <v>24324</v>
      </c>
      <c r="B116" t="s">
        <v>36</v>
      </c>
      <c r="C116" t="s">
        <v>37</v>
      </c>
      <c r="D116" s="11">
        <v>60000</v>
      </c>
      <c r="E116">
        <v>4</v>
      </c>
      <c r="F116" t="s">
        <v>13</v>
      </c>
      <c r="G116" t="s">
        <v>14</v>
      </c>
      <c r="H116" t="s">
        <v>15</v>
      </c>
      <c r="I116">
        <v>2</v>
      </c>
      <c r="J116" t="s">
        <v>22</v>
      </c>
      <c r="K116" t="s">
        <v>31</v>
      </c>
      <c r="L116">
        <v>41</v>
      </c>
      <c r="M116" t="str">
        <f t="shared" si="1"/>
        <v>MIddleAge</v>
      </c>
      <c r="N116" t="s">
        <v>15</v>
      </c>
      <c r="R116">
        <v>17522</v>
      </c>
      <c r="S116" t="s">
        <v>35</v>
      </c>
      <c r="T116" t="s">
        <v>38</v>
      </c>
      <c r="U116" s="4">
        <v>120000</v>
      </c>
      <c r="V116">
        <v>4</v>
      </c>
      <c r="W116" t="s">
        <v>13</v>
      </c>
      <c r="X116" t="s">
        <v>28</v>
      </c>
      <c r="Y116" t="s">
        <v>15</v>
      </c>
      <c r="Z116">
        <v>1</v>
      </c>
      <c r="AA116" t="s">
        <v>22</v>
      </c>
      <c r="AB116" t="s">
        <v>24</v>
      </c>
      <c r="AC116">
        <v>47</v>
      </c>
      <c r="AD116" t="s">
        <v>44</v>
      </c>
      <c r="AG116">
        <v>14662</v>
      </c>
      <c r="AH116" t="s">
        <v>38</v>
      </c>
      <c r="AI116" s="4">
        <v>60000</v>
      </c>
      <c r="AJ116">
        <v>1</v>
      </c>
      <c r="AK116" t="s">
        <v>13</v>
      </c>
      <c r="AL116" t="s">
        <v>15</v>
      </c>
      <c r="AM116">
        <v>48</v>
      </c>
      <c r="AN116" t="s">
        <v>44</v>
      </c>
      <c r="BL116">
        <v>15749</v>
      </c>
      <c r="BM116" t="s">
        <v>36</v>
      </c>
      <c r="BN116" t="s">
        <v>37</v>
      </c>
      <c r="BO116" s="4">
        <v>70000</v>
      </c>
      <c r="BP116" s="4">
        <v>70000</v>
      </c>
      <c r="BQ116">
        <v>4</v>
      </c>
      <c r="BR116" t="s">
        <v>28</v>
      </c>
      <c r="BS116" t="s">
        <v>15</v>
      </c>
      <c r="BT116">
        <v>61</v>
      </c>
      <c r="CB116">
        <v>27673</v>
      </c>
      <c r="CC116" t="s">
        <v>36</v>
      </c>
      <c r="CD116" t="s">
        <v>37</v>
      </c>
      <c r="CE116" s="4">
        <v>60000</v>
      </c>
      <c r="CF116">
        <v>3</v>
      </c>
      <c r="CG116" t="s">
        <v>28</v>
      </c>
      <c r="CH116" t="s">
        <v>15</v>
      </c>
      <c r="CI116">
        <v>53</v>
      </c>
      <c r="CK116">
        <v>27673</v>
      </c>
      <c r="CL116" t="s">
        <v>36</v>
      </c>
      <c r="CM116" t="s">
        <v>37</v>
      </c>
      <c r="CN116" s="4">
        <v>60000</v>
      </c>
      <c r="CO116">
        <v>3</v>
      </c>
      <c r="CP116" t="s">
        <v>28</v>
      </c>
      <c r="CQ116" t="s">
        <v>15</v>
      </c>
      <c r="CR116">
        <v>53</v>
      </c>
      <c r="CS116">
        <v>2</v>
      </c>
    </row>
    <row r="117" spans="1:97" x14ac:dyDescent="0.25">
      <c r="A117">
        <v>24322</v>
      </c>
      <c r="B117" t="s">
        <v>35</v>
      </c>
      <c r="C117" t="s">
        <v>37</v>
      </c>
      <c r="D117" s="11">
        <v>60000</v>
      </c>
      <c r="E117">
        <v>4</v>
      </c>
      <c r="F117" t="s">
        <v>13</v>
      </c>
      <c r="G117" t="s">
        <v>14</v>
      </c>
      <c r="H117" t="s">
        <v>18</v>
      </c>
      <c r="I117">
        <v>2</v>
      </c>
      <c r="J117" t="s">
        <v>16</v>
      </c>
      <c r="K117" t="s">
        <v>31</v>
      </c>
      <c r="L117">
        <v>42</v>
      </c>
      <c r="M117" t="str">
        <f t="shared" si="1"/>
        <v>MIddleAge</v>
      </c>
      <c r="N117" t="s">
        <v>18</v>
      </c>
      <c r="R117">
        <v>28918</v>
      </c>
      <c r="S117" t="s">
        <v>35</v>
      </c>
      <c r="T117" t="s">
        <v>37</v>
      </c>
      <c r="U117" s="4">
        <v>130000</v>
      </c>
      <c r="V117">
        <v>4</v>
      </c>
      <c r="W117" t="s">
        <v>27</v>
      </c>
      <c r="X117" t="s">
        <v>28</v>
      </c>
      <c r="Y117" t="s">
        <v>18</v>
      </c>
      <c r="Z117">
        <v>4</v>
      </c>
      <c r="AA117" t="s">
        <v>42</v>
      </c>
      <c r="AB117" t="s">
        <v>17</v>
      </c>
      <c r="AC117">
        <v>58</v>
      </c>
      <c r="AD117" t="s">
        <v>45</v>
      </c>
      <c r="AG117">
        <v>23376</v>
      </c>
      <c r="AH117" t="s">
        <v>38</v>
      </c>
      <c r="AI117" s="4">
        <v>70000</v>
      </c>
      <c r="AJ117">
        <v>1</v>
      </c>
      <c r="AK117" t="s">
        <v>13</v>
      </c>
      <c r="AL117" t="s">
        <v>15</v>
      </c>
      <c r="AM117">
        <v>44</v>
      </c>
      <c r="AN117" t="s">
        <v>44</v>
      </c>
      <c r="BL117">
        <v>15501</v>
      </c>
      <c r="BM117" t="s">
        <v>35</v>
      </c>
      <c r="BN117" t="s">
        <v>38</v>
      </c>
      <c r="BO117" s="4">
        <v>70000</v>
      </c>
      <c r="BP117" s="4">
        <v>70000</v>
      </c>
      <c r="BQ117">
        <v>4</v>
      </c>
      <c r="BR117" t="s">
        <v>21</v>
      </c>
      <c r="BS117" t="s">
        <v>15</v>
      </c>
      <c r="BT117">
        <v>36</v>
      </c>
      <c r="CB117">
        <v>27441</v>
      </c>
      <c r="CC117" t="s">
        <v>35</v>
      </c>
      <c r="CD117" t="s">
        <v>38</v>
      </c>
      <c r="CE117" s="4">
        <v>60000</v>
      </c>
      <c r="CF117">
        <v>3</v>
      </c>
      <c r="CG117" t="s">
        <v>21</v>
      </c>
      <c r="CH117" t="s">
        <v>18</v>
      </c>
      <c r="CI117">
        <v>53</v>
      </c>
      <c r="CK117">
        <v>27441</v>
      </c>
      <c r="CL117" t="s">
        <v>35</v>
      </c>
      <c r="CM117" t="s">
        <v>38</v>
      </c>
      <c r="CN117" s="4">
        <v>60000</v>
      </c>
      <c r="CO117">
        <v>3</v>
      </c>
      <c r="CP117" t="s">
        <v>21</v>
      </c>
      <c r="CQ117" t="s">
        <v>18</v>
      </c>
      <c r="CR117">
        <v>53</v>
      </c>
      <c r="CS117">
        <v>2</v>
      </c>
    </row>
    <row r="118" spans="1:97" x14ac:dyDescent="0.25">
      <c r="A118">
        <v>21770</v>
      </c>
      <c r="B118" t="s">
        <v>35</v>
      </c>
      <c r="C118" t="s">
        <v>38</v>
      </c>
      <c r="D118" s="11">
        <v>60000</v>
      </c>
      <c r="E118">
        <v>4</v>
      </c>
      <c r="F118" t="s">
        <v>13</v>
      </c>
      <c r="G118" t="s">
        <v>28</v>
      </c>
      <c r="H118" t="s">
        <v>15</v>
      </c>
      <c r="I118">
        <v>2</v>
      </c>
      <c r="J118" t="s">
        <v>42</v>
      </c>
      <c r="K118" t="s">
        <v>31</v>
      </c>
      <c r="L118">
        <v>60</v>
      </c>
      <c r="M118" t="str">
        <f t="shared" si="1"/>
        <v>Old</v>
      </c>
      <c r="N118" t="s">
        <v>18</v>
      </c>
      <c r="R118">
        <v>18172</v>
      </c>
      <c r="S118" t="s">
        <v>35</v>
      </c>
      <c r="T118" t="s">
        <v>38</v>
      </c>
      <c r="U118" s="4">
        <v>130000</v>
      </c>
      <c r="V118">
        <v>4</v>
      </c>
      <c r="W118" t="s">
        <v>27</v>
      </c>
      <c r="X118" t="s">
        <v>21</v>
      </c>
      <c r="Y118" t="s">
        <v>15</v>
      </c>
      <c r="Z118">
        <v>3</v>
      </c>
      <c r="AA118" t="s">
        <v>16</v>
      </c>
      <c r="AB118" t="s">
        <v>17</v>
      </c>
      <c r="AC118">
        <v>55</v>
      </c>
      <c r="AD118" t="s">
        <v>45</v>
      </c>
      <c r="AG118">
        <v>12957</v>
      </c>
      <c r="AH118" t="s">
        <v>37</v>
      </c>
      <c r="AI118" s="4">
        <v>70000</v>
      </c>
      <c r="AJ118">
        <v>1</v>
      </c>
      <c r="AK118" t="s">
        <v>13</v>
      </c>
      <c r="AL118" t="s">
        <v>18</v>
      </c>
      <c r="AM118">
        <v>44</v>
      </c>
      <c r="AN118" t="s">
        <v>44</v>
      </c>
      <c r="BL118">
        <v>15319</v>
      </c>
      <c r="BM118" t="s">
        <v>35</v>
      </c>
      <c r="BN118" t="s">
        <v>37</v>
      </c>
      <c r="BO118" s="4">
        <v>70000</v>
      </c>
      <c r="BP118" s="4">
        <v>70000</v>
      </c>
      <c r="BQ118">
        <v>4</v>
      </c>
      <c r="BR118" t="s">
        <v>28</v>
      </c>
      <c r="BS118" t="s">
        <v>18</v>
      </c>
      <c r="BT118">
        <v>59</v>
      </c>
      <c r="CB118">
        <v>27388</v>
      </c>
      <c r="CC118" t="s">
        <v>35</v>
      </c>
      <c r="CD118" t="s">
        <v>38</v>
      </c>
      <c r="CE118" s="4">
        <v>60000</v>
      </c>
      <c r="CF118">
        <v>3</v>
      </c>
      <c r="CG118" t="s">
        <v>28</v>
      </c>
      <c r="CH118" t="s">
        <v>18</v>
      </c>
      <c r="CI118">
        <v>66</v>
      </c>
      <c r="CK118">
        <v>27388</v>
      </c>
      <c r="CL118" t="s">
        <v>35</v>
      </c>
      <c r="CM118" t="s">
        <v>38</v>
      </c>
      <c r="CN118" s="4">
        <v>60000</v>
      </c>
      <c r="CO118">
        <v>3</v>
      </c>
      <c r="CP118" t="s">
        <v>28</v>
      </c>
      <c r="CQ118" t="s">
        <v>18</v>
      </c>
      <c r="CR118">
        <v>66</v>
      </c>
      <c r="CS118">
        <v>2</v>
      </c>
    </row>
    <row r="119" spans="1:97" x14ac:dyDescent="0.25">
      <c r="A119">
        <v>20698</v>
      </c>
      <c r="B119" t="s">
        <v>35</v>
      </c>
      <c r="C119" t="s">
        <v>38</v>
      </c>
      <c r="D119" s="11">
        <v>60000</v>
      </c>
      <c r="E119">
        <v>4</v>
      </c>
      <c r="F119" t="s">
        <v>13</v>
      </c>
      <c r="G119" t="s">
        <v>14</v>
      </c>
      <c r="H119" t="s">
        <v>15</v>
      </c>
      <c r="I119">
        <v>3</v>
      </c>
      <c r="J119" t="s">
        <v>23</v>
      </c>
      <c r="K119" t="s">
        <v>31</v>
      </c>
      <c r="L119">
        <v>42</v>
      </c>
      <c r="M119" t="str">
        <f t="shared" si="1"/>
        <v>MIddleAge</v>
      </c>
      <c r="N119" t="s">
        <v>18</v>
      </c>
      <c r="R119">
        <v>17185</v>
      </c>
      <c r="S119" t="s">
        <v>35</v>
      </c>
      <c r="T119" t="s">
        <v>37</v>
      </c>
      <c r="U119" s="4">
        <v>170000</v>
      </c>
      <c r="V119">
        <v>4</v>
      </c>
      <c r="W119" t="s">
        <v>19</v>
      </c>
      <c r="X119" t="s">
        <v>21</v>
      </c>
      <c r="Y119" t="s">
        <v>18</v>
      </c>
      <c r="Z119">
        <v>3</v>
      </c>
      <c r="AA119" t="s">
        <v>23</v>
      </c>
      <c r="AB119" t="s">
        <v>17</v>
      </c>
      <c r="AC119">
        <v>48</v>
      </c>
      <c r="AD119" t="s">
        <v>44</v>
      </c>
      <c r="AG119">
        <v>26757</v>
      </c>
      <c r="AH119" t="s">
        <v>38</v>
      </c>
      <c r="AI119" s="4">
        <v>90000</v>
      </c>
      <c r="AJ119">
        <v>1</v>
      </c>
      <c r="AK119" t="s">
        <v>13</v>
      </c>
      <c r="AL119" t="s">
        <v>15</v>
      </c>
      <c r="AM119">
        <v>47</v>
      </c>
      <c r="AN119" t="s">
        <v>44</v>
      </c>
      <c r="BL119">
        <v>13886</v>
      </c>
      <c r="BM119" t="s">
        <v>35</v>
      </c>
      <c r="BN119" t="s">
        <v>37</v>
      </c>
      <c r="BO119" s="4">
        <v>70000</v>
      </c>
      <c r="BP119" s="4">
        <v>70000</v>
      </c>
      <c r="BQ119">
        <v>4</v>
      </c>
      <c r="BR119" t="s">
        <v>21</v>
      </c>
      <c r="BS119" t="s">
        <v>15</v>
      </c>
      <c r="BT119">
        <v>35</v>
      </c>
      <c r="CB119">
        <v>24943</v>
      </c>
      <c r="CC119" t="s">
        <v>35</v>
      </c>
      <c r="CD119" t="s">
        <v>38</v>
      </c>
      <c r="CE119" s="4">
        <v>60000</v>
      </c>
      <c r="CF119">
        <v>3</v>
      </c>
      <c r="CG119" t="s">
        <v>28</v>
      </c>
      <c r="CH119" t="s">
        <v>15</v>
      </c>
      <c r="CI119">
        <v>66</v>
      </c>
      <c r="CK119">
        <v>24943</v>
      </c>
      <c r="CL119" t="s">
        <v>35</v>
      </c>
      <c r="CM119" t="s">
        <v>38</v>
      </c>
      <c r="CN119" s="4">
        <v>60000</v>
      </c>
      <c r="CO119">
        <v>3</v>
      </c>
      <c r="CP119" t="s">
        <v>28</v>
      </c>
      <c r="CQ119" t="s">
        <v>15</v>
      </c>
      <c r="CR119">
        <v>66</v>
      </c>
      <c r="CS119">
        <v>2</v>
      </c>
    </row>
    <row r="120" spans="1:97" x14ac:dyDescent="0.25">
      <c r="A120">
        <v>19856</v>
      </c>
      <c r="B120" t="s">
        <v>35</v>
      </c>
      <c r="C120" t="s">
        <v>37</v>
      </c>
      <c r="D120" s="11">
        <v>60000</v>
      </c>
      <c r="E120">
        <v>4</v>
      </c>
      <c r="F120" t="s">
        <v>13</v>
      </c>
      <c r="G120" t="s">
        <v>28</v>
      </c>
      <c r="H120" t="s">
        <v>15</v>
      </c>
      <c r="I120">
        <v>2</v>
      </c>
      <c r="J120" t="s">
        <v>22</v>
      </c>
      <c r="K120" t="s">
        <v>31</v>
      </c>
      <c r="L120">
        <v>60</v>
      </c>
      <c r="M120" t="str">
        <f t="shared" si="1"/>
        <v>Old</v>
      </c>
      <c r="N120" t="s">
        <v>18</v>
      </c>
      <c r="R120">
        <v>26849</v>
      </c>
      <c r="S120" t="s">
        <v>35</v>
      </c>
      <c r="T120" t="s">
        <v>38</v>
      </c>
      <c r="U120" s="4">
        <v>10000</v>
      </c>
      <c r="V120">
        <v>3</v>
      </c>
      <c r="W120" t="s">
        <v>29</v>
      </c>
      <c r="X120" t="s">
        <v>25</v>
      </c>
      <c r="Y120" t="s">
        <v>15</v>
      </c>
      <c r="Z120">
        <v>2</v>
      </c>
      <c r="AA120" t="s">
        <v>16</v>
      </c>
      <c r="AB120" t="s">
        <v>17</v>
      </c>
      <c r="AC120">
        <v>43</v>
      </c>
      <c r="AD120" t="s">
        <v>44</v>
      </c>
      <c r="AG120">
        <v>25058</v>
      </c>
      <c r="AH120" t="s">
        <v>38</v>
      </c>
      <c r="AI120" s="4">
        <v>100000</v>
      </c>
      <c r="AJ120">
        <v>1</v>
      </c>
      <c r="AK120" t="s">
        <v>13</v>
      </c>
      <c r="AL120" t="s">
        <v>15</v>
      </c>
      <c r="AM120">
        <v>47</v>
      </c>
      <c r="AN120" t="s">
        <v>44</v>
      </c>
      <c r="BL120">
        <v>13390</v>
      </c>
      <c r="BM120" t="s">
        <v>35</v>
      </c>
      <c r="BN120" t="s">
        <v>37</v>
      </c>
      <c r="BO120" s="4">
        <v>70000</v>
      </c>
      <c r="BP120" s="4">
        <v>70000</v>
      </c>
      <c r="BQ120">
        <v>4</v>
      </c>
      <c r="BR120" t="s">
        <v>21</v>
      </c>
      <c r="BS120" t="s">
        <v>18</v>
      </c>
      <c r="BT120">
        <v>56</v>
      </c>
      <c r="CB120">
        <v>24941</v>
      </c>
      <c r="CC120" t="s">
        <v>35</v>
      </c>
      <c r="CD120" t="s">
        <v>38</v>
      </c>
      <c r="CE120" s="4">
        <v>60000</v>
      </c>
      <c r="CF120">
        <v>3</v>
      </c>
      <c r="CG120" t="s">
        <v>28</v>
      </c>
      <c r="CH120" t="s">
        <v>15</v>
      </c>
      <c r="CI120">
        <v>66</v>
      </c>
      <c r="CK120">
        <v>24941</v>
      </c>
      <c r="CL120" t="s">
        <v>35</v>
      </c>
      <c r="CM120" t="s">
        <v>38</v>
      </c>
      <c r="CN120" s="4">
        <v>60000</v>
      </c>
      <c r="CO120">
        <v>3</v>
      </c>
      <c r="CP120" t="s">
        <v>28</v>
      </c>
      <c r="CQ120" t="s">
        <v>15</v>
      </c>
      <c r="CR120">
        <v>66</v>
      </c>
      <c r="CS120">
        <v>2</v>
      </c>
    </row>
    <row r="121" spans="1:97" x14ac:dyDescent="0.25">
      <c r="A121">
        <v>18607</v>
      </c>
      <c r="B121" t="s">
        <v>36</v>
      </c>
      <c r="C121" t="s">
        <v>37</v>
      </c>
      <c r="D121" s="11">
        <v>60000</v>
      </c>
      <c r="E121">
        <v>4</v>
      </c>
      <c r="F121" t="s">
        <v>13</v>
      </c>
      <c r="G121" t="s">
        <v>14</v>
      </c>
      <c r="H121" t="s">
        <v>15</v>
      </c>
      <c r="I121">
        <v>2</v>
      </c>
      <c r="J121" t="s">
        <v>22</v>
      </c>
      <c r="K121" t="s">
        <v>31</v>
      </c>
      <c r="L121">
        <v>42</v>
      </c>
      <c r="M121" t="str">
        <f t="shared" si="1"/>
        <v>MIddleAge</v>
      </c>
      <c r="N121" t="s">
        <v>15</v>
      </c>
      <c r="R121">
        <v>26818</v>
      </c>
      <c r="S121" t="s">
        <v>36</v>
      </c>
      <c r="T121" t="s">
        <v>38</v>
      </c>
      <c r="U121" s="4">
        <v>10000</v>
      </c>
      <c r="V121">
        <v>3</v>
      </c>
      <c r="W121" t="s">
        <v>27</v>
      </c>
      <c r="X121" t="s">
        <v>25</v>
      </c>
      <c r="Y121" t="s">
        <v>15</v>
      </c>
      <c r="Z121">
        <v>1</v>
      </c>
      <c r="AA121" t="s">
        <v>16</v>
      </c>
      <c r="AB121" t="s">
        <v>17</v>
      </c>
      <c r="AC121">
        <v>39</v>
      </c>
      <c r="AD121" t="s">
        <v>44</v>
      </c>
      <c r="AG121">
        <v>29243</v>
      </c>
      <c r="AH121" t="s">
        <v>38</v>
      </c>
      <c r="AI121" s="4">
        <v>110000</v>
      </c>
      <c r="AJ121">
        <v>1</v>
      </c>
      <c r="AK121" t="s">
        <v>13</v>
      </c>
      <c r="AL121" t="s">
        <v>15</v>
      </c>
      <c r="AM121">
        <v>43</v>
      </c>
      <c r="AN121" t="s">
        <v>44</v>
      </c>
      <c r="BL121">
        <v>13351</v>
      </c>
      <c r="BM121" t="s">
        <v>36</v>
      </c>
      <c r="BN121" t="s">
        <v>37</v>
      </c>
      <c r="BO121" s="4">
        <v>70000</v>
      </c>
      <c r="BP121" s="4">
        <v>70000</v>
      </c>
      <c r="BQ121">
        <v>4</v>
      </c>
      <c r="BR121" t="s">
        <v>28</v>
      </c>
      <c r="BS121" t="s">
        <v>15</v>
      </c>
      <c r="BT121">
        <v>62</v>
      </c>
      <c r="CB121">
        <v>23672</v>
      </c>
      <c r="CC121" t="s">
        <v>35</v>
      </c>
      <c r="CD121" t="s">
        <v>37</v>
      </c>
      <c r="CE121" s="4">
        <v>60000</v>
      </c>
      <c r="CF121">
        <v>3</v>
      </c>
      <c r="CG121" t="s">
        <v>28</v>
      </c>
      <c r="CH121" t="s">
        <v>15</v>
      </c>
      <c r="CI121">
        <v>67</v>
      </c>
      <c r="CK121">
        <v>23672</v>
      </c>
      <c r="CL121" t="s">
        <v>35</v>
      </c>
      <c r="CM121" t="s">
        <v>37</v>
      </c>
      <c r="CN121" s="4">
        <v>60000</v>
      </c>
      <c r="CO121">
        <v>3</v>
      </c>
      <c r="CP121" t="s">
        <v>28</v>
      </c>
      <c r="CQ121" t="s">
        <v>15</v>
      </c>
      <c r="CR121">
        <v>67</v>
      </c>
      <c r="CS121">
        <v>2</v>
      </c>
    </row>
    <row r="122" spans="1:97" x14ac:dyDescent="0.25">
      <c r="A122">
        <v>16247</v>
      </c>
      <c r="B122" t="s">
        <v>36</v>
      </c>
      <c r="C122" t="s">
        <v>37</v>
      </c>
      <c r="D122" s="11">
        <v>60000</v>
      </c>
      <c r="E122">
        <v>4</v>
      </c>
      <c r="F122" t="s">
        <v>30</v>
      </c>
      <c r="G122" t="s">
        <v>14</v>
      </c>
      <c r="H122" t="s">
        <v>18</v>
      </c>
      <c r="I122">
        <v>0</v>
      </c>
      <c r="J122" t="s">
        <v>26</v>
      </c>
      <c r="K122" t="s">
        <v>31</v>
      </c>
      <c r="L122">
        <v>47</v>
      </c>
      <c r="M122" t="str">
        <f t="shared" si="1"/>
        <v>MIddleAge</v>
      </c>
      <c r="N122" t="s">
        <v>18</v>
      </c>
      <c r="R122">
        <v>13572</v>
      </c>
      <c r="S122" t="s">
        <v>36</v>
      </c>
      <c r="T122" t="s">
        <v>38</v>
      </c>
      <c r="U122" s="4">
        <v>10000</v>
      </c>
      <c r="V122">
        <v>3</v>
      </c>
      <c r="W122" t="s">
        <v>27</v>
      </c>
      <c r="X122" t="s">
        <v>25</v>
      </c>
      <c r="Y122" t="s">
        <v>15</v>
      </c>
      <c r="Z122">
        <v>0</v>
      </c>
      <c r="AA122" t="s">
        <v>16</v>
      </c>
      <c r="AB122" t="s">
        <v>17</v>
      </c>
      <c r="AC122">
        <v>37</v>
      </c>
      <c r="AD122" t="s">
        <v>44</v>
      </c>
      <c r="AG122">
        <v>13296</v>
      </c>
      <c r="AH122" t="s">
        <v>38</v>
      </c>
      <c r="AI122" s="4">
        <v>110000</v>
      </c>
      <c r="AJ122">
        <v>1</v>
      </c>
      <c r="AK122" t="s">
        <v>13</v>
      </c>
      <c r="AL122" t="s">
        <v>15</v>
      </c>
      <c r="AM122">
        <v>45</v>
      </c>
      <c r="AN122" t="s">
        <v>44</v>
      </c>
      <c r="BL122">
        <v>11817</v>
      </c>
      <c r="BM122" t="s">
        <v>36</v>
      </c>
      <c r="BN122" t="s">
        <v>37</v>
      </c>
      <c r="BO122" s="4">
        <v>70000</v>
      </c>
      <c r="BP122" s="4">
        <v>70000</v>
      </c>
      <c r="BQ122">
        <v>4</v>
      </c>
      <c r="BR122" t="s">
        <v>21</v>
      </c>
      <c r="BS122" t="s">
        <v>15</v>
      </c>
      <c r="BT122">
        <v>35</v>
      </c>
      <c r="CB122">
        <v>22127</v>
      </c>
      <c r="CC122" t="s">
        <v>35</v>
      </c>
      <c r="CD122" t="s">
        <v>38</v>
      </c>
      <c r="CE122" s="4">
        <v>60000</v>
      </c>
      <c r="CF122">
        <v>3</v>
      </c>
      <c r="CG122" t="s">
        <v>28</v>
      </c>
      <c r="CH122" t="s">
        <v>15</v>
      </c>
      <c r="CI122">
        <v>67</v>
      </c>
      <c r="CK122">
        <v>22127</v>
      </c>
      <c r="CL122" t="s">
        <v>35</v>
      </c>
      <c r="CM122" t="s">
        <v>38</v>
      </c>
      <c r="CN122" s="4">
        <v>60000</v>
      </c>
      <c r="CO122">
        <v>3</v>
      </c>
      <c r="CP122" t="s">
        <v>28</v>
      </c>
      <c r="CQ122" t="s">
        <v>15</v>
      </c>
      <c r="CR122">
        <v>67</v>
      </c>
      <c r="CS122">
        <v>2</v>
      </c>
    </row>
    <row r="123" spans="1:97" x14ac:dyDescent="0.25">
      <c r="A123">
        <v>16185</v>
      </c>
      <c r="B123" t="s">
        <v>36</v>
      </c>
      <c r="C123" t="s">
        <v>38</v>
      </c>
      <c r="D123" s="11">
        <v>60000</v>
      </c>
      <c r="E123">
        <v>4</v>
      </c>
      <c r="F123" t="s">
        <v>13</v>
      </c>
      <c r="G123" t="s">
        <v>21</v>
      </c>
      <c r="H123" t="s">
        <v>15</v>
      </c>
      <c r="I123">
        <v>3</v>
      </c>
      <c r="J123" t="s">
        <v>42</v>
      </c>
      <c r="K123" t="s">
        <v>24</v>
      </c>
      <c r="L123">
        <v>41</v>
      </c>
      <c r="M123" t="str">
        <f t="shared" si="1"/>
        <v>MIddleAge</v>
      </c>
      <c r="N123" t="s">
        <v>18</v>
      </c>
      <c r="R123">
        <v>25347</v>
      </c>
      <c r="S123" t="s">
        <v>36</v>
      </c>
      <c r="T123" t="s">
        <v>37</v>
      </c>
      <c r="U123" s="4">
        <v>20000</v>
      </c>
      <c r="V123">
        <v>3</v>
      </c>
      <c r="W123" t="s">
        <v>29</v>
      </c>
      <c r="X123" t="s">
        <v>20</v>
      </c>
      <c r="Y123" t="s">
        <v>18</v>
      </c>
      <c r="Z123">
        <v>2</v>
      </c>
      <c r="AA123" t="s">
        <v>16</v>
      </c>
      <c r="AB123" t="s">
        <v>31</v>
      </c>
      <c r="AC123">
        <v>49</v>
      </c>
      <c r="AD123" t="s">
        <v>44</v>
      </c>
      <c r="AG123">
        <v>16917</v>
      </c>
      <c r="AH123" t="s">
        <v>38</v>
      </c>
      <c r="AI123" s="4">
        <v>120000</v>
      </c>
      <c r="AJ123">
        <v>1</v>
      </c>
      <c r="AK123" t="s">
        <v>13</v>
      </c>
      <c r="AL123" t="s">
        <v>15</v>
      </c>
      <c r="AM123">
        <v>38</v>
      </c>
      <c r="AN123" t="s">
        <v>44</v>
      </c>
      <c r="BL123">
        <v>11663</v>
      </c>
      <c r="BM123" t="s">
        <v>35</v>
      </c>
      <c r="BN123" t="s">
        <v>38</v>
      </c>
      <c r="BO123" s="4">
        <v>70000</v>
      </c>
      <c r="BP123" s="4">
        <v>70000</v>
      </c>
      <c r="BQ123">
        <v>4</v>
      </c>
      <c r="BR123" t="s">
        <v>21</v>
      </c>
      <c r="BS123" t="s">
        <v>15</v>
      </c>
      <c r="BT123">
        <v>36</v>
      </c>
      <c r="CB123">
        <v>21752</v>
      </c>
      <c r="CC123" t="s">
        <v>35</v>
      </c>
      <c r="CD123" t="s">
        <v>38</v>
      </c>
      <c r="CE123" s="4">
        <v>60000</v>
      </c>
      <c r="CF123">
        <v>3</v>
      </c>
      <c r="CG123" t="s">
        <v>28</v>
      </c>
      <c r="CH123" t="s">
        <v>15</v>
      </c>
      <c r="CI123">
        <v>64</v>
      </c>
      <c r="CK123">
        <v>21752</v>
      </c>
      <c r="CL123" t="s">
        <v>35</v>
      </c>
      <c r="CM123" t="s">
        <v>38</v>
      </c>
      <c r="CN123" s="4">
        <v>60000</v>
      </c>
      <c r="CO123">
        <v>3</v>
      </c>
      <c r="CP123" t="s">
        <v>28</v>
      </c>
      <c r="CQ123" t="s">
        <v>15</v>
      </c>
      <c r="CR123">
        <v>64</v>
      </c>
      <c r="CS123">
        <v>2</v>
      </c>
    </row>
    <row r="124" spans="1:97" x14ac:dyDescent="0.25">
      <c r="A124">
        <v>15532</v>
      </c>
      <c r="B124" t="s">
        <v>36</v>
      </c>
      <c r="C124" t="s">
        <v>38</v>
      </c>
      <c r="D124" s="11">
        <v>60000</v>
      </c>
      <c r="E124">
        <v>4</v>
      </c>
      <c r="F124" t="s">
        <v>13</v>
      </c>
      <c r="G124" t="s">
        <v>21</v>
      </c>
      <c r="H124" t="s">
        <v>15</v>
      </c>
      <c r="I124">
        <v>2</v>
      </c>
      <c r="J124" t="s">
        <v>22</v>
      </c>
      <c r="K124" t="s">
        <v>31</v>
      </c>
      <c r="L124">
        <v>43</v>
      </c>
      <c r="M124" t="str">
        <f t="shared" si="1"/>
        <v>MIddleAge</v>
      </c>
      <c r="N124" t="s">
        <v>15</v>
      </c>
      <c r="R124">
        <v>14517</v>
      </c>
      <c r="S124" t="s">
        <v>35</v>
      </c>
      <c r="T124" t="s">
        <v>37</v>
      </c>
      <c r="U124" s="4">
        <v>20000</v>
      </c>
      <c r="V124">
        <v>3</v>
      </c>
      <c r="W124" t="s">
        <v>27</v>
      </c>
      <c r="X124" t="s">
        <v>14</v>
      </c>
      <c r="Y124" t="s">
        <v>18</v>
      </c>
      <c r="Z124">
        <v>2</v>
      </c>
      <c r="AA124" t="s">
        <v>26</v>
      </c>
      <c r="AB124" t="s">
        <v>24</v>
      </c>
      <c r="AC124">
        <v>62</v>
      </c>
      <c r="AD124" t="s">
        <v>45</v>
      </c>
      <c r="AG124">
        <v>28269</v>
      </c>
      <c r="AH124" t="s">
        <v>37</v>
      </c>
      <c r="AI124" s="4">
        <v>130000</v>
      </c>
      <c r="AJ124">
        <v>1</v>
      </c>
      <c r="AK124" t="s">
        <v>13</v>
      </c>
      <c r="AL124" t="s">
        <v>18</v>
      </c>
      <c r="AM124">
        <v>45</v>
      </c>
      <c r="AN124" t="s">
        <v>44</v>
      </c>
      <c r="BL124">
        <v>11255</v>
      </c>
      <c r="BM124" t="s">
        <v>35</v>
      </c>
      <c r="BN124" t="s">
        <v>38</v>
      </c>
      <c r="BO124" s="4">
        <v>70000</v>
      </c>
      <c r="BP124" s="4">
        <v>70000</v>
      </c>
      <c r="BQ124">
        <v>4</v>
      </c>
      <c r="BR124" t="s">
        <v>28</v>
      </c>
      <c r="BS124" t="s">
        <v>15</v>
      </c>
      <c r="BT124">
        <v>73</v>
      </c>
      <c r="CB124">
        <v>21751</v>
      </c>
      <c r="CC124" t="s">
        <v>35</v>
      </c>
      <c r="CD124" t="s">
        <v>38</v>
      </c>
      <c r="CE124" s="4">
        <v>60000</v>
      </c>
      <c r="CF124">
        <v>3</v>
      </c>
      <c r="CG124" t="s">
        <v>28</v>
      </c>
      <c r="CH124" t="s">
        <v>15</v>
      </c>
      <c r="CI124">
        <v>63</v>
      </c>
      <c r="CK124">
        <v>21751</v>
      </c>
      <c r="CL124" t="s">
        <v>35</v>
      </c>
      <c r="CM124" t="s">
        <v>38</v>
      </c>
      <c r="CN124" s="4">
        <v>60000</v>
      </c>
      <c r="CO124">
        <v>3</v>
      </c>
      <c r="CP124" t="s">
        <v>28</v>
      </c>
      <c r="CQ124" t="s">
        <v>15</v>
      </c>
      <c r="CR124">
        <v>63</v>
      </c>
      <c r="CS124">
        <v>2</v>
      </c>
    </row>
    <row r="125" spans="1:97" x14ac:dyDescent="0.25">
      <c r="A125">
        <v>15529</v>
      </c>
      <c r="B125" t="s">
        <v>35</v>
      </c>
      <c r="C125" t="s">
        <v>38</v>
      </c>
      <c r="D125" s="11">
        <v>60000</v>
      </c>
      <c r="E125">
        <v>4</v>
      </c>
      <c r="F125" t="s">
        <v>13</v>
      </c>
      <c r="G125" t="s">
        <v>21</v>
      </c>
      <c r="H125" t="s">
        <v>15</v>
      </c>
      <c r="I125">
        <v>2</v>
      </c>
      <c r="J125" t="s">
        <v>22</v>
      </c>
      <c r="K125" t="s">
        <v>31</v>
      </c>
      <c r="L125">
        <v>43</v>
      </c>
      <c r="M125" t="str">
        <f t="shared" si="1"/>
        <v>MIddleAge</v>
      </c>
      <c r="N125" t="s">
        <v>15</v>
      </c>
      <c r="R125">
        <v>29094</v>
      </c>
      <c r="S125" t="s">
        <v>35</v>
      </c>
      <c r="T125" t="s">
        <v>38</v>
      </c>
      <c r="U125" s="4">
        <v>30000</v>
      </c>
      <c r="V125">
        <v>3</v>
      </c>
      <c r="W125" t="s">
        <v>27</v>
      </c>
      <c r="X125" t="s">
        <v>14</v>
      </c>
      <c r="Y125" t="s">
        <v>15</v>
      </c>
      <c r="Z125">
        <v>2</v>
      </c>
      <c r="AA125" t="s">
        <v>23</v>
      </c>
      <c r="AB125" t="s">
        <v>24</v>
      </c>
      <c r="AC125">
        <v>54</v>
      </c>
      <c r="AD125" t="s">
        <v>44</v>
      </c>
      <c r="AG125">
        <v>16867</v>
      </c>
      <c r="AH125" t="s">
        <v>37</v>
      </c>
      <c r="AI125" s="4">
        <v>130000</v>
      </c>
      <c r="AJ125">
        <v>1</v>
      </c>
      <c r="AK125" t="s">
        <v>13</v>
      </c>
      <c r="AL125" t="s">
        <v>18</v>
      </c>
      <c r="AM125">
        <v>45</v>
      </c>
      <c r="AN125" t="s">
        <v>44</v>
      </c>
      <c r="BL125">
        <v>11233</v>
      </c>
      <c r="BM125" t="s">
        <v>35</v>
      </c>
      <c r="BN125" t="s">
        <v>38</v>
      </c>
      <c r="BO125" s="4">
        <v>70000</v>
      </c>
      <c r="BP125" s="4">
        <v>70000</v>
      </c>
      <c r="BQ125">
        <v>4</v>
      </c>
      <c r="BR125" t="s">
        <v>21</v>
      </c>
      <c r="BS125" t="s">
        <v>15</v>
      </c>
      <c r="BT125">
        <v>53</v>
      </c>
      <c r="CB125">
        <v>20380</v>
      </c>
      <c r="CC125" t="s">
        <v>35</v>
      </c>
      <c r="CD125" t="s">
        <v>37</v>
      </c>
      <c r="CE125" s="4">
        <v>60000</v>
      </c>
      <c r="CF125">
        <v>3</v>
      </c>
      <c r="CG125" t="s">
        <v>28</v>
      </c>
      <c r="CH125" t="s">
        <v>15</v>
      </c>
      <c r="CI125">
        <v>69</v>
      </c>
      <c r="CK125">
        <v>20380</v>
      </c>
      <c r="CL125" t="s">
        <v>35</v>
      </c>
      <c r="CM125" t="s">
        <v>37</v>
      </c>
      <c r="CN125" s="4">
        <v>60000</v>
      </c>
      <c r="CO125">
        <v>3</v>
      </c>
      <c r="CP125" t="s">
        <v>28</v>
      </c>
      <c r="CQ125" t="s">
        <v>15</v>
      </c>
      <c r="CR125">
        <v>69</v>
      </c>
      <c r="CS125">
        <v>2</v>
      </c>
    </row>
    <row r="126" spans="1:97" x14ac:dyDescent="0.25">
      <c r="A126">
        <v>15313</v>
      </c>
      <c r="B126" t="s">
        <v>35</v>
      </c>
      <c r="C126" t="s">
        <v>38</v>
      </c>
      <c r="D126" s="11">
        <v>60000</v>
      </c>
      <c r="E126">
        <v>4</v>
      </c>
      <c r="F126" t="s">
        <v>13</v>
      </c>
      <c r="G126" t="s">
        <v>28</v>
      </c>
      <c r="H126" t="s">
        <v>15</v>
      </c>
      <c r="I126">
        <v>2</v>
      </c>
      <c r="J126" t="s">
        <v>22</v>
      </c>
      <c r="K126" t="s">
        <v>31</v>
      </c>
      <c r="L126">
        <v>59</v>
      </c>
      <c r="M126" t="str">
        <f t="shared" si="1"/>
        <v>Old</v>
      </c>
      <c r="N126" t="s">
        <v>18</v>
      </c>
      <c r="R126">
        <v>27814</v>
      </c>
      <c r="S126" t="s">
        <v>36</v>
      </c>
      <c r="T126" t="s">
        <v>37</v>
      </c>
      <c r="U126" s="4">
        <v>30000</v>
      </c>
      <c r="V126">
        <v>3</v>
      </c>
      <c r="W126" t="s">
        <v>19</v>
      </c>
      <c r="X126" t="s">
        <v>20</v>
      </c>
      <c r="Y126" t="s">
        <v>18</v>
      </c>
      <c r="Z126">
        <v>1</v>
      </c>
      <c r="AA126" t="s">
        <v>16</v>
      </c>
      <c r="AB126" t="s">
        <v>17</v>
      </c>
      <c r="AC126">
        <v>26</v>
      </c>
      <c r="AD126" t="s">
        <v>43</v>
      </c>
      <c r="AG126">
        <v>25559</v>
      </c>
      <c r="AH126" t="s">
        <v>38</v>
      </c>
      <c r="AI126" s="4">
        <v>20000</v>
      </c>
      <c r="AJ126">
        <v>0</v>
      </c>
      <c r="AK126" t="s">
        <v>13</v>
      </c>
      <c r="AL126" t="s">
        <v>15</v>
      </c>
      <c r="AM126">
        <v>25</v>
      </c>
      <c r="AN126" t="s">
        <v>43</v>
      </c>
      <c r="BL126">
        <v>11200</v>
      </c>
      <c r="BM126" t="s">
        <v>35</v>
      </c>
      <c r="BN126" t="s">
        <v>38</v>
      </c>
      <c r="BO126" s="4">
        <v>70000</v>
      </c>
      <c r="BP126" s="4">
        <v>70000</v>
      </c>
      <c r="BQ126">
        <v>4</v>
      </c>
      <c r="BR126" t="s">
        <v>28</v>
      </c>
      <c r="BS126" t="s">
        <v>15</v>
      </c>
      <c r="BT126">
        <v>58</v>
      </c>
      <c r="CB126">
        <v>20236</v>
      </c>
      <c r="CC126" t="s">
        <v>36</v>
      </c>
      <c r="CD126" t="s">
        <v>38</v>
      </c>
      <c r="CE126" s="4">
        <v>60000</v>
      </c>
      <c r="CF126">
        <v>3</v>
      </c>
      <c r="CG126" t="s">
        <v>21</v>
      </c>
      <c r="CH126" t="s">
        <v>18</v>
      </c>
      <c r="CI126">
        <v>43</v>
      </c>
      <c r="CK126">
        <v>20236</v>
      </c>
      <c r="CL126" t="s">
        <v>36</v>
      </c>
      <c r="CM126" t="s">
        <v>38</v>
      </c>
      <c r="CN126" s="4">
        <v>60000</v>
      </c>
      <c r="CO126">
        <v>3</v>
      </c>
      <c r="CP126" t="s">
        <v>21</v>
      </c>
      <c r="CQ126" t="s">
        <v>18</v>
      </c>
      <c r="CR126">
        <v>43</v>
      </c>
      <c r="CS126">
        <v>2</v>
      </c>
    </row>
    <row r="127" spans="1:97" x14ac:dyDescent="0.25">
      <c r="A127">
        <v>13760</v>
      </c>
      <c r="B127" t="s">
        <v>35</v>
      </c>
      <c r="C127" t="s">
        <v>38</v>
      </c>
      <c r="D127" s="11">
        <v>60000</v>
      </c>
      <c r="E127">
        <v>4</v>
      </c>
      <c r="F127" t="s">
        <v>30</v>
      </c>
      <c r="G127" t="s">
        <v>14</v>
      </c>
      <c r="H127" t="s">
        <v>18</v>
      </c>
      <c r="I127">
        <v>0</v>
      </c>
      <c r="J127" t="s">
        <v>16</v>
      </c>
      <c r="K127" t="s">
        <v>31</v>
      </c>
      <c r="L127">
        <v>47</v>
      </c>
      <c r="M127" t="str">
        <f t="shared" si="1"/>
        <v>MIddleAge</v>
      </c>
      <c r="N127" t="s">
        <v>18</v>
      </c>
      <c r="R127">
        <v>24187</v>
      </c>
      <c r="S127" t="s">
        <v>36</v>
      </c>
      <c r="T127" t="s">
        <v>37</v>
      </c>
      <c r="U127" s="4">
        <v>30000</v>
      </c>
      <c r="V127">
        <v>3</v>
      </c>
      <c r="W127" t="s">
        <v>30</v>
      </c>
      <c r="X127" t="s">
        <v>20</v>
      </c>
      <c r="Y127" t="s">
        <v>18</v>
      </c>
      <c r="Z127">
        <v>0</v>
      </c>
      <c r="AA127" t="s">
        <v>16</v>
      </c>
      <c r="AB127" t="s">
        <v>17</v>
      </c>
      <c r="AC127">
        <v>46</v>
      </c>
      <c r="AD127" t="s">
        <v>44</v>
      </c>
      <c r="AG127">
        <v>24174</v>
      </c>
      <c r="AH127" t="s">
        <v>38</v>
      </c>
      <c r="AI127" s="4">
        <v>20000</v>
      </c>
      <c r="AJ127">
        <v>0</v>
      </c>
      <c r="AK127" t="s">
        <v>13</v>
      </c>
      <c r="AL127" t="s">
        <v>15</v>
      </c>
      <c r="AM127">
        <v>27</v>
      </c>
      <c r="AN127" t="s">
        <v>43</v>
      </c>
      <c r="BL127">
        <v>11199</v>
      </c>
      <c r="BM127" t="s">
        <v>35</v>
      </c>
      <c r="BN127" t="s">
        <v>37</v>
      </c>
      <c r="BO127" s="4">
        <v>70000</v>
      </c>
      <c r="BP127" s="4">
        <v>70000</v>
      </c>
      <c r="BQ127">
        <v>4</v>
      </c>
      <c r="BR127" t="s">
        <v>28</v>
      </c>
      <c r="BS127" t="s">
        <v>15</v>
      </c>
      <c r="BT127">
        <v>59</v>
      </c>
      <c r="CB127">
        <v>18267</v>
      </c>
      <c r="CC127" t="s">
        <v>35</v>
      </c>
      <c r="CD127" t="s">
        <v>38</v>
      </c>
      <c r="CE127" s="4">
        <v>60000</v>
      </c>
      <c r="CF127">
        <v>3</v>
      </c>
      <c r="CG127" t="s">
        <v>21</v>
      </c>
      <c r="CH127" t="s">
        <v>15</v>
      </c>
      <c r="CI127">
        <v>43</v>
      </c>
      <c r="CK127">
        <v>18267</v>
      </c>
      <c r="CL127" t="s">
        <v>35</v>
      </c>
      <c r="CM127" t="s">
        <v>38</v>
      </c>
      <c r="CN127" s="4">
        <v>60000</v>
      </c>
      <c r="CO127">
        <v>3</v>
      </c>
      <c r="CP127" t="s">
        <v>21</v>
      </c>
      <c r="CQ127" t="s">
        <v>15</v>
      </c>
      <c r="CR127">
        <v>43</v>
      </c>
      <c r="CS127">
        <v>2</v>
      </c>
    </row>
    <row r="128" spans="1:97" x14ac:dyDescent="0.25">
      <c r="A128">
        <v>13353</v>
      </c>
      <c r="B128" t="s">
        <v>36</v>
      </c>
      <c r="C128" t="s">
        <v>37</v>
      </c>
      <c r="D128" s="11">
        <v>60000</v>
      </c>
      <c r="E128">
        <v>4</v>
      </c>
      <c r="F128" t="s">
        <v>30</v>
      </c>
      <c r="G128" t="s">
        <v>28</v>
      </c>
      <c r="H128" t="s">
        <v>15</v>
      </c>
      <c r="I128">
        <v>2</v>
      </c>
      <c r="J128" t="s">
        <v>42</v>
      </c>
      <c r="K128" t="s">
        <v>31</v>
      </c>
      <c r="L128">
        <v>61</v>
      </c>
      <c r="M128" t="str">
        <f t="shared" si="1"/>
        <v>Old</v>
      </c>
      <c r="N128" t="s">
        <v>15</v>
      </c>
      <c r="R128">
        <v>24107</v>
      </c>
      <c r="S128" t="s">
        <v>35</v>
      </c>
      <c r="T128" t="s">
        <v>38</v>
      </c>
      <c r="U128" s="4">
        <v>30000</v>
      </c>
      <c r="V128">
        <v>3</v>
      </c>
      <c r="W128" t="s">
        <v>19</v>
      </c>
      <c r="X128" t="s">
        <v>20</v>
      </c>
      <c r="Y128" t="s">
        <v>15</v>
      </c>
      <c r="Z128">
        <v>1</v>
      </c>
      <c r="AA128" t="s">
        <v>16</v>
      </c>
      <c r="AB128" t="s">
        <v>17</v>
      </c>
      <c r="AC128">
        <v>43</v>
      </c>
      <c r="AD128" t="s">
        <v>44</v>
      </c>
      <c r="AG128">
        <v>20994</v>
      </c>
      <c r="AH128" t="s">
        <v>37</v>
      </c>
      <c r="AI128" s="4">
        <v>20000</v>
      </c>
      <c r="AJ128">
        <v>0</v>
      </c>
      <c r="AK128" t="s">
        <v>13</v>
      </c>
      <c r="AL128" t="s">
        <v>18</v>
      </c>
      <c r="AM128">
        <v>26</v>
      </c>
      <c r="AN128" t="s">
        <v>43</v>
      </c>
      <c r="BL128">
        <v>29231</v>
      </c>
      <c r="BM128" t="s">
        <v>36</v>
      </c>
      <c r="BN128" t="s">
        <v>38</v>
      </c>
      <c r="BO128" s="4">
        <v>80000</v>
      </c>
      <c r="BP128" s="4">
        <v>80000</v>
      </c>
      <c r="BQ128">
        <v>4</v>
      </c>
      <c r="BR128" t="s">
        <v>21</v>
      </c>
      <c r="BS128" t="s">
        <v>18</v>
      </c>
      <c r="BT128">
        <v>43</v>
      </c>
      <c r="CB128">
        <v>16890</v>
      </c>
      <c r="CC128" t="s">
        <v>35</v>
      </c>
      <c r="CD128" t="s">
        <v>38</v>
      </c>
      <c r="CE128" s="4">
        <v>60000</v>
      </c>
      <c r="CF128">
        <v>3</v>
      </c>
      <c r="CG128" t="s">
        <v>14</v>
      </c>
      <c r="CH128" t="s">
        <v>15</v>
      </c>
      <c r="CI128">
        <v>52</v>
      </c>
      <c r="CK128">
        <v>16890</v>
      </c>
      <c r="CL128" t="s">
        <v>35</v>
      </c>
      <c r="CM128" t="s">
        <v>38</v>
      </c>
      <c r="CN128" s="4">
        <v>60000</v>
      </c>
      <c r="CO128">
        <v>3</v>
      </c>
      <c r="CP128" t="s">
        <v>14</v>
      </c>
      <c r="CQ128" t="s">
        <v>15</v>
      </c>
      <c r="CR128">
        <v>52</v>
      </c>
      <c r="CS128">
        <v>2</v>
      </c>
    </row>
    <row r="129" spans="1:97" x14ac:dyDescent="0.25">
      <c r="A129">
        <v>12452</v>
      </c>
      <c r="B129" t="s">
        <v>35</v>
      </c>
      <c r="C129" t="s">
        <v>38</v>
      </c>
      <c r="D129" s="11">
        <v>60000</v>
      </c>
      <c r="E129">
        <v>4</v>
      </c>
      <c r="F129" t="s">
        <v>30</v>
      </c>
      <c r="G129" t="s">
        <v>14</v>
      </c>
      <c r="H129" t="s">
        <v>15</v>
      </c>
      <c r="I129">
        <v>0</v>
      </c>
      <c r="J129" t="s">
        <v>26</v>
      </c>
      <c r="K129" t="s">
        <v>31</v>
      </c>
      <c r="L129">
        <v>47</v>
      </c>
      <c r="M129" t="str">
        <f t="shared" si="1"/>
        <v>MIddleAge</v>
      </c>
      <c r="N129" t="s">
        <v>15</v>
      </c>
      <c r="R129">
        <v>22518</v>
      </c>
      <c r="S129" t="s">
        <v>36</v>
      </c>
      <c r="T129" t="s">
        <v>37</v>
      </c>
      <c r="U129" s="4">
        <v>30000</v>
      </c>
      <c r="V129">
        <v>3</v>
      </c>
      <c r="W129" t="s">
        <v>19</v>
      </c>
      <c r="X129" t="s">
        <v>20</v>
      </c>
      <c r="Y129" t="s">
        <v>18</v>
      </c>
      <c r="Z129">
        <v>2</v>
      </c>
      <c r="AA129" t="s">
        <v>16</v>
      </c>
      <c r="AB129" t="s">
        <v>17</v>
      </c>
      <c r="AC129">
        <v>27</v>
      </c>
      <c r="AD129" t="s">
        <v>43</v>
      </c>
      <c r="AG129">
        <v>15030</v>
      </c>
      <c r="AH129" t="s">
        <v>38</v>
      </c>
      <c r="AI129" s="4">
        <v>20000</v>
      </c>
      <c r="AJ129">
        <v>0</v>
      </c>
      <c r="AK129" t="s">
        <v>13</v>
      </c>
      <c r="AL129" t="s">
        <v>15</v>
      </c>
      <c r="AM129">
        <v>26</v>
      </c>
      <c r="AN129" t="s">
        <v>43</v>
      </c>
      <c r="BL129">
        <v>28906</v>
      </c>
      <c r="BM129" t="s">
        <v>35</v>
      </c>
      <c r="BN129" t="s">
        <v>38</v>
      </c>
      <c r="BO129" s="4">
        <v>80000</v>
      </c>
      <c r="BP129" s="4">
        <v>80000</v>
      </c>
      <c r="BQ129">
        <v>4</v>
      </c>
      <c r="BR129" t="s">
        <v>21</v>
      </c>
      <c r="BS129" t="s">
        <v>15</v>
      </c>
      <c r="BT129">
        <v>54</v>
      </c>
      <c r="CB129">
        <v>14417</v>
      </c>
      <c r="CC129" t="s">
        <v>36</v>
      </c>
      <c r="CD129" t="s">
        <v>38</v>
      </c>
      <c r="CE129" s="4">
        <v>60000</v>
      </c>
      <c r="CF129">
        <v>3</v>
      </c>
      <c r="CG129" t="s">
        <v>21</v>
      </c>
      <c r="CH129" t="s">
        <v>15</v>
      </c>
      <c r="CI129">
        <v>54</v>
      </c>
      <c r="CK129">
        <v>14417</v>
      </c>
      <c r="CL129" t="s">
        <v>36</v>
      </c>
      <c r="CM129" t="s">
        <v>38</v>
      </c>
      <c r="CN129" s="4">
        <v>60000</v>
      </c>
      <c r="CO129">
        <v>3</v>
      </c>
      <c r="CP129" t="s">
        <v>21</v>
      </c>
      <c r="CQ129" t="s">
        <v>15</v>
      </c>
      <c r="CR129">
        <v>54</v>
      </c>
      <c r="CS129">
        <v>2</v>
      </c>
    </row>
    <row r="130" spans="1:97" x14ac:dyDescent="0.25">
      <c r="A130">
        <v>11738</v>
      </c>
      <c r="B130" t="s">
        <v>35</v>
      </c>
      <c r="C130" t="s">
        <v>38</v>
      </c>
      <c r="D130" s="11">
        <v>60000</v>
      </c>
      <c r="E130">
        <v>4</v>
      </c>
      <c r="F130" t="s">
        <v>13</v>
      </c>
      <c r="G130" t="s">
        <v>21</v>
      </c>
      <c r="H130" t="s">
        <v>15</v>
      </c>
      <c r="I130">
        <v>0</v>
      </c>
      <c r="J130" t="s">
        <v>22</v>
      </c>
      <c r="K130" t="s">
        <v>31</v>
      </c>
      <c r="L130">
        <v>46</v>
      </c>
      <c r="M130" t="str">
        <f t="shared" ref="M130:M193" si="2">IF(L130&gt; 54, "Old",IF(L130&gt;= 31, "MIddleAge",IF(L130&lt;31, "Adolescent", "Adult")))</f>
        <v>MIddleAge</v>
      </c>
      <c r="N130" t="s">
        <v>18</v>
      </c>
      <c r="R130">
        <v>22174</v>
      </c>
      <c r="S130" t="s">
        <v>35</v>
      </c>
      <c r="T130" t="s">
        <v>38</v>
      </c>
      <c r="U130" s="4">
        <v>30000</v>
      </c>
      <c r="V130">
        <v>3</v>
      </c>
      <c r="W130" t="s">
        <v>27</v>
      </c>
      <c r="X130" t="s">
        <v>14</v>
      </c>
      <c r="Y130" t="s">
        <v>15</v>
      </c>
      <c r="Z130">
        <v>2</v>
      </c>
      <c r="AA130" t="s">
        <v>23</v>
      </c>
      <c r="AB130" t="s">
        <v>24</v>
      </c>
      <c r="AC130">
        <v>54</v>
      </c>
      <c r="AD130" t="s">
        <v>44</v>
      </c>
      <c r="AG130">
        <v>26941</v>
      </c>
      <c r="AH130" t="s">
        <v>38</v>
      </c>
      <c r="AI130" s="4">
        <v>30000</v>
      </c>
      <c r="AJ130">
        <v>0</v>
      </c>
      <c r="AK130" t="s">
        <v>13</v>
      </c>
      <c r="AL130" t="s">
        <v>15</v>
      </c>
      <c r="AM130">
        <v>47</v>
      </c>
      <c r="AN130" t="s">
        <v>44</v>
      </c>
      <c r="BL130">
        <v>28207</v>
      </c>
      <c r="BM130" t="s">
        <v>35</v>
      </c>
      <c r="BN130" t="s">
        <v>38</v>
      </c>
      <c r="BO130" s="4">
        <v>80000</v>
      </c>
      <c r="BP130" s="4">
        <v>80000</v>
      </c>
      <c r="BQ130">
        <v>4</v>
      </c>
      <c r="BR130" t="s">
        <v>28</v>
      </c>
      <c r="BS130" t="s">
        <v>15</v>
      </c>
      <c r="BT130">
        <v>36</v>
      </c>
      <c r="CB130">
        <v>12121</v>
      </c>
      <c r="CC130" t="s">
        <v>36</v>
      </c>
      <c r="CD130" t="s">
        <v>38</v>
      </c>
      <c r="CE130" s="4">
        <v>60000</v>
      </c>
      <c r="CF130">
        <v>3</v>
      </c>
      <c r="CG130" t="s">
        <v>21</v>
      </c>
      <c r="CH130" t="s">
        <v>15</v>
      </c>
      <c r="CI130">
        <v>53</v>
      </c>
      <c r="CK130">
        <v>12121</v>
      </c>
      <c r="CL130" t="s">
        <v>36</v>
      </c>
      <c r="CM130" t="s">
        <v>38</v>
      </c>
      <c r="CN130" s="4">
        <v>60000</v>
      </c>
      <c r="CO130">
        <v>3</v>
      </c>
      <c r="CP130" t="s">
        <v>21</v>
      </c>
      <c r="CQ130" t="s">
        <v>15</v>
      </c>
      <c r="CR130">
        <v>53</v>
      </c>
      <c r="CS130">
        <v>2</v>
      </c>
    </row>
    <row r="131" spans="1:97" x14ac:dyDescent="0.25">
      <c r="A131">
        <v>11540</v>
      </c>
      <c r="B131" t="s">
        <v>36</v>
      </c>
      <c r="C131" t="s">
        <v>38</v>
      </c>
      <c r="D131" s="11">
        <v>60000</v>
      </c>
      <c r="E131">
        <v>4</v>
      </c>
      <c r="F131" t="s">
        <v>30</v>
      </c>
      <c r="G131" t="s">
        <v>14</v>
      </c>
      <c r="H131" t="s">
        <v>15</v>
      </c>
      <c r="I131">
        <v>0</v>
      </c>
      <c r="J131" t="s">
        <v>26</v>
      </c>
      <c r="K131" t="s">
        <v>31</v>
      </c>
      <c r="L131">
        <v>47</v>
      </c>
      <c r="M131" t="str">
        <f t="shared" si="2"/>
        <v>MIddleAge</v>
      </c>
      <c r="N131" t="s">
        <v>15</v>
      </c>
      <c r="R131">
        <v>22173</v>
      </c>
      <c r="S131" t="s">
        <v>35</v>
      </c>
      <c r="T131" t="s">
        <v>37</v>
      </c>
      <c r="U131" s="4">
        <v>30000</v>
      </c>
      <c r="V131">
        <v>3</v>
      </c>
      <c r="W131" t="s">
        <v>27</v>
      </c>
      <c r="X131" t="s">
        <v>14</v>
      </c>
      <c r="Y131" t="s">
        <v>18</v>
      </c>
      <c r="Z131">
        <v>2</v>
      </c>
      <c r="AA131" t="s">
        <v>26</v>
      </c>
      <c r="AB131" t="s">
        <v>24</v>
      </c>
      <c r="AC131">
        <v>54</v>
      </c>
      <c r="AD131" t="s">
        <v>44</v>
      </c>
      <c r="AG131">
        <v>22610</v>
      </c>
      <c r="AH131" t="s">
        <v>38</v>
      </c>
      <c r="AI131" s="4">
        <v>30000</v>
      </c>
      <c r="AJ131">
        <v>0</v>
      </c>
      <c r="AK131" t="s">
        <v>13</v>
      </c>
      <c r="AL131" t="s">
        <v>15</v>
      </c>
      <c r="AM131">
        <v>35</v>
      </c>
      <c r="AN131" t="s">
        <v>44</v>
      </c>
      <c r="BL131">
        <v>27951</v>
      </c>
      <c r="BM131" t="s">
        <v>36</v>
      </c>
      <c r="BN131" t="s">
        <v>38</v>
      </c>
      <c r="BO131" s="4">
        <v>80000</v>
      </c>
      <c r="BP131" s="4">
        <v>80000</v>
      </c>
      <c r="BQ131">
        <v>4</v>
      </c>
      <c r="BR131" t="s">
        <v>21</v>
      </c>
      <c r="BS131" t="s">
        <v>18</v>
      </c>
      <c r="BT131">
        <v>54</v>
      </c>
      <c r="CB131">
        <v>26728</v>
      </c>
      <c r="CC131" t="s">
        <v>36</v>
      </c>
      <c r="CD131" t="s">
        <v>38</v>
      </c>
      <c r="CE131" s="4">
        <v>70000</v>
      </c>
      <c r="CF131">
        <v>3</v>
      </c>
      <c r="CG131" t="s">
        <v>28</v>
      </c>
      <c r="CH131" t="s">
        <v>18</v>
      </c>
      <c r="CI131">
        <v>53</v>
      </c>
      <c r="CK131">
        <v>26728</v>
      </c>
      <c r="CL131" t="s">
        <v>36</v>
      </c>
      <c r="CM131" t="s">
        <v>38</v>
      </c>
      <c r="CN131" s="4">
        <v>70000</v>
      </c>
      <c r="CO131">
        <v>3</v>
      </c>
      <c r="CP131" t="s">
        <v>28</v>
      </c>
      <c r="CQ131" t="s">
        <v>18</v>
      </c>
      <c r="CR131">
        <v>53</v>
      </c>
      <c r="CS131">
        <v>2</v>
      </c>
    </row>
    <row r="132" spans="1:97" x14ac:dyDescent="0.25">
      <c r="A132">
        <v>11538</v>
      </c>
      <c r="B132" t="s">
        <v>36</v>
      </c>
      <c r="C132" t="s">
        <v>37</v>
      </c>
      <c r="D132" s="11">
        <v>60000</v>
      </c>
      <c r="E132">
        <v>4</v>
      </c>
      <c r="F132" t="s">
        <v>30</v>
      </c>
      <c r="G132" t="s">
        <v>14</v>
      </c>
      <c r="H132" t="s">
        <v>18</v>
      </c>
      <c r="I132">
        <v>0</v>
      </c>
      <c r="J132" t="s">
        <v>16</v>
      </c>
      <c r="K132" t="s">
        <v>31</v>
      </c>
      <c r="L132">
        <v>47</v>
      </c>
      <c r="M132" t="str">
        <f t="shared" si="2"/>
        <v>MIddleAge</v>
      </c>
      <c r="N132" t="s">
        <v>15</v>
      </c>
      <c r="R132">
        <v>22170</v>
      </c>
      <c r="S132" t="s">
        <v>35</v>
      </c>
      <c r="T132" t="s">
        <v>37</v>
      </c>
      <c r="U132" s="4">
        <v>30000</v>
      </c>
      <c r="V132">
        <v>3</v>
      </c>
      <c r="W132" t="s">
        <v>19</v>
      </c>
      <c r="X132" t="s">
        <v>20</v>
      </c>
      <c r="Y132" t="s">
        <v>18</v>
      </c>
      <c r="Z132">
        <v>2</v>
      </c>
      <c r="AA132" t="s">
        <v>26</v>
      </c>
      <c r="AB132" t="s">
        <v>24</v>
      </c>
      <c r="AC132">
        <v>55</v>
      </c>
      <c r="AD132" t="s">
        <v>45</v>
      </c>
      <c r="AG132">
        <v>14154</v>
      </c>
      <c r="AH132" t="s">
        <v>38</v>
      </c>
      <c r="AI132" s="4">
        <v>30000</v>
      </c>
      <c r="AJ132">
        <v>0</v>
      </c>
      <c r="AK132" t="s">
        <v>13</v>
      </c>
      <c r="AL132" t="s">
        <v>15</v>
      </c>
      <c r="AM132">
        <v>35</v>
      </c>
      <c r="AN132" t="s">
        <v>44</v>
      </c>
      <c r="BL132">
        <v>27941</v>
      </c>
      <c r="BM132" t="s">
        <v>35</v>
      </c>
      <c r="BN132" t="s">
        <v>37</v>
      </c>
      <c r="BO132" s="4">
        <v>80000</v>
      </c>
      <c r="BP132" s="4">
        <v>80000</v>
      </c>
      <c r="BQ132">
        <v>4</v>
      </c>
      <c r="BR132" t="s">
        <v>21</v>
      </c>
      <c r="BS132" t="s">
        <v>15</v>
      </c>
      <c r="BT132">
        <v>53</v>
      </c>
      <c r="CB132">
        <v>22118</v>
      </c>
      <c r="CC132" t="s">
        <v>36</v>
      </c>
      <c r="CD132" t="s">
        <v>37</v>
      </c>
      <c r="CE132" s="4">
        <v>70000</v>
      </c>
      <c r="CF132">
        <v>3</v>
      </c>
      <c r="CG132" t="s">
        <v>28</v>
      </c>
      <c r="CH132" t="s">
        <v>15</v>
      </c>
      <c r="CI132">
        <v>53</v>
      </c>
      <c r="CK132">
        <v>22118</v>
      </c>
      <c r="CL132" t="s">
        <v>36</v>
      </c>
      <c r="CM132" t="s">
        <v>37</v>
      </c>
      <c r="CN132" s="4">
        <v>70000</v>
      </c>
      <c r="CO132">
        <v>3</v>
      </c>
      <c r="CP132" t="s">
        <v>28</v>
      </c>
      <c r="CQ132" t="s">
        <v>15</v>
      </c>
      <c r="CR132">
        <v>53</v>
      </c>
      <c r="CS132">
        <v>2</v>
      </c>
    </row>
    <row r="133" spans="1:97" x14ac:dyDescent="0.25">
      <c r="A133">
        <v>28672</v>
      </c>
      <c r="B133" t="s">
        <v>36</v>
      </c>
      <c r="C133" t="s">
        <v>38</v>
      </c>
      <c r="D133" s="11">
        <v>70000</v>
      </c>
      <c r="E133">
        <v>4</v>
      </c>
      <c r="F133" t="s">
        <v>30</v>
      </c>
      <c r="G133" t="s">
        <v>21</v>
      </c>
      <c r="H133" t="s">
        <v>15</v>
      </c>
      <c r="I133">
        <v>0</v>
      </c>
      <c r="J133" t="s">
        <v>22</v>
      </c>
      <c r="K133" t="s">
        <v>31</v>
      </c>
      <c r="L133">
        <v>35</v>
      </c>
      <c r="M133" t="str">
        <f t="shared" si="2"/>
        <v>MIddleAge</v>
      </c>
      <c r="N133" t="s">
        <v>15</v>
      </c>
      <c r="R133">
        <v>18018</v>
      </c>
      <c r="S133" t="s">
        <v>36</v>
      </c>
      <c r="T133" t="s">
        <v>38</v>
      </c>
      <c r="U133" s="4">
        <v>30000</v>
      </c>
      <c r="V133">
        <v>3</v>
      </c>
      <c r="W133" t="s">
        <v>19</v>
      </c>
      <c r="X133" t="s">
        <v>20</v>
      </c>
      <c r="Y133" t="s">
        <v>15</v>
      </c>
      <c r="Z133">
        <v>0</v>
      </c>
      <c r="AA133" t="s">
        <v>16</v>
      </c>
      <c r="AB133" t="s">
        <v>17</v>
      </c>
      <c r="AC133">
        <v>43</v>
      </c>
      <c r="AD133" t="s">
        <v>44</v>
      </c>
      <c r="AG133">
        <v>12284</v>
      </c>
      <c r="AH133" t="s">
        <v>37</v>
      </c>
      <c r="AI133" s="4">
        <v>30000</v>
      </c>
      <c r="AJ133">
        <v>0</v>
      </c>
      <c r="AK133" t="s">
        <v>13</v>
      </c>
      <c r="AL133" t="s">
        <v>18</v>
      </c>
      <c r="AM133">
        <v>36</v>
      </c>
      <c r="AN133" t="s">
        <v>44</v>
      </c>
      <c r="BL133">
        <v>27660</v>
      </c>
      <c r="BM133" t="s">
        <v>35</v>
      </c>
      <c r="BN133" t="s">
        <v>38</v>
      </c>
      <c r="BO133" s="4">
        <v>80000</v>
      </c>
      <c r="BP133" s="4">
        <v>80000</v>
      </c>
      <c r="BQ133">
        <v>4</v>
      </c>
      <c r="BR133" t="s">
        <v>28</v>
      </c>
      <c r="BS133" t="s">
        <v>15</v>
      </c>
      <c r="BT133">
        <v>70</v>
      </c>
      <c r="CB133">
        <v>21741</v>
      </c>
      <c r="CC133" t="s">
        <v>35</v>
      </c>
      <c r="CD133" t="s">
        <v>37</v>
      </c>
      <c r="CE133" s="4">
        <v>70000</v>
      </c>
      <c r="CF133">
        <v>3</v>
      </c>
      <c r="CG133" t="s">
        <v>21</v>
      </c>
      <c r="CH133" t="s">
        <v>15</v>
      </c>
      <c r="CI133">
        <v>50</v>
      </c>
      <c r="CK133">
        <v>21741</v>
      </c>
      <c r="CL133" t="s">
        <v>35</v>
      </c>
      <c r="CM133" t="s">
        <v>37</v>
      </c>
      <c r="CN133" s="4">
        <v>70000</v>
      </c>
      <c r="CO133">
        <v>3</v>
      </c>
      <c r="CP133" t="s">
        <v>21</v>
      </c>
      <c r="CQ133" t="s">
        <v>15</v>
      </c>
      <c r="CR133">
        <v>50</v>
      </c>
      <c r="CS133">
        <v>2</v>
      </c>
    </row>
    <row r="134" spans="1:97" x14ac:dyDescent="0.25">
      <c r="A134">
        <v>27650</v>
      </c>
      <c r="B134" t="s">
        <v>35</v>
      </c>
      <c r="C134" t="s">
        <v>38</v>
      </c>
      <c r="D134" s="11">
        <v>70000</v>
      </c>
      <c r="E134">
        <v>4</v>
      </c>
      <c r="F134" t="s">
        <v>27</v>
      </c>
      <c r="G134" t="s">
        <v>21</v>
      </c>
      <c r="H134" t="s">
        <v>15</v>
      </c>
      <c r="I134">
        <v>0</v>
      </c>
      <c r="J134" t="s">
        <v>23</v>
      </c>
      <c r="K134" t="s">
        <v>31</v>
      </c>
      <c r="L134">
        <v>51</v>
      </c>
      <c r="M134" t="str">
        <f t="shared" si="2"/>
        <v>MIddleAge</v>
      </c>
      <c r="N134" t="s">
        <v>18</v>
      </c>
      <c r="R134">
        <v>16489</v>
      </c>
      <c r="S134" t="s">
        <v>35</v>
      </c>
      <c r="T134" t="s">
        <v>38</v>
      </c>
      <c r="U134" s="4">
        <v>30000</v>
      </c>
      <c r="V134">
        <v>3</v>
      </c>
      <c r="W134" t="s">
        <v>27</v>
      </c>
      <c r="X134" t="s">
        <v>14</v>
      </c>
      <c r="Y134" t="s">
        <v>15</v>
      </c>
      <c r="Z134">
        <v>2</v>
      </c>
      <c r="AA134" t="s">
        <v>23</v>
      </c>
      <c r="AB134" t="s">
        <v>24</v>
      </c>
      <c r="AC134">
        <v>55</v>
      </c>
      <c r="AD134" t="s">
        <v>45</v>
      </c>
      <c r="AG134">
        <v>27775</v>
      </c>
      <c r="AH134" t="s">
        <v>37</v>
      </c>
      <c r="AI134" s="4">
        <v>40000</v>
      </c>
      <c r="AJ134">
        <v>0</v>
      </c>
      <c r="AK134" t="s">
        <v>13</v>
      </c>
      <c r="AL134" t="s">
        <v>18</v>
      </c>
      <c r="AM134">
        <v>38</v>
      </c>
      <c r="AN134" t="s">
        <v>44</v>
      </c>
      <c r="BL134">
        <v>26651</v>
      </c>
      <c r="BM134" t="s">
        <v>36</v>
      </c>
      <c r="BN134" t="s">
        <v>38</v>
      </c>
      <c r="BO134" s="4">
        <v>80000</v>
      </c>
      <c r="BP134" s="4">
        <v>80000</v>
      </c>
      <c r="BQ134">
        <v>4</v>
      </c>
      <c r="BR134" t="s">
        <v>28</v>
      </c>
      <c r="BS134" t="s">
        <v>15</v>
      </c>
      <c r="BT134">
        <v>36</v>
      </c>
      <c r="CB134">
        <v>20376</v>
      </c>
      <c r="CC134" t="s">
        <v>36</v>
      </c>
      <c r="CD134" t="s">
        <v>37</v>
      </c>
      <c r="CE134" s="4">
        <v>70000</v>
      </c>
      <c r="CF134">
        <v>3</v>
      </c>
      <c r="CG134" t="s">
        <v>28</v>
      </c>
      <c r="CH134" t="s">
        <v>15</v>
      </c>
      <c r="CI134">
        <v>52</v>
      </c>
      <c r="CK134">
        <v>20376</v>
      </c>
      <c r="CL134" t="s">
        <v>36</v>
      </c>
      <c r="CM134" t="s">
        <v>37</v>
      </c>
      <c r="CN134" s="4">
        <v>70000</v>
      </c>
      <c r="CO134">
        <v>3</v>
      </c>
      <c r="CP134" t="s">
        <v>28</v>
      </c>
      <c r="CQ134" t="s">
        <v>15</v>
      </c>
      <c r="CR134">
        <v>52</v>
      </c>
      <c r="CS134">
        <v>2</v>
      </c>
    </row>
    <row r="135" spans="1:97" x14ac:dyDescent="0.25">
      <c r="A135">
        <v>27434</v>
      </c>
      <c r="B135" t="s">
        <v>36</v>
      </c>
      <c r="C135" t="s">
        <v>38</v>
      </c>
      <c r="D135" s="11">
        <v>70000</v>
      </c>
      <c r="E135">
        <v>4</v>
      </c>
      <c r="F135" t="s">
        <v>19</v>
      </c>
      <c r="G135" t="s">
        <v>21</v>
      </c>
      <c r="H135" t="s">
        <v>15</v>
      </c>
      <c r="I135">
        <v>1</v>
      </c>
      <c r="J135" t="s">
        <v>42</v>
      </c>
      <c r="K135" t="s">
        <v>31</v>
      </c>
      <c r="L135">
        <v>56</v>
      </c>
      <c r="M135" t="str">
        <f t="shared" si="2"/>
        <v>Old</v>
      </c>
      <c r="N135" t="s">
        <v>18</v>
      </c>
      <c r="R135">
        <v>15657</v>
      </c>
      <c r="S135" t="s">
        <v>35</v>
      </c>
      <c r="T135" t="s">
        <v>38</v>
      </c>
      <c r="U135" s="4">
        <v>30000</v>
      </c>
      <c r="V135">
        <v>3</v>
      </c>
      <c r="W135" t="s">
        <v>30</v>
      </c>
      <c r="X135" t="s">
        <v>20</v>
      </c>
      <c r="Y135" t="s">
        <v>15</v>
      </c>
      <c r="Z135">
        <v>0</v>
      </c>
      <c r="AA135" t="s">
        <v>16</v>
      </c>
      <c r="AB135" t="s">
        <v>17</v>
      </c>
      <c r="AC135">
        <v>46</v>
      </c>
      <c r="AD135" t="s">
        <v>44</v>
      </c>
      <c r="AG135">
        <v>22636</v>
      </c>
      <c r="AH135" t="s">
        <v>37</v>
      </c>
      <c r="AI135" s="4">
        <v>40000</v>
      </c>
      <c r="AJ135">
        <v>0</v>
      </c>
      <c r="AK135" t="s">
        <v>13</v>
      </c>
      <c r="AL135" t="s">
        <v>18</v>
      </c>
      <c r="AM135">
        <v>38</v>
      </c>
      <c r="AN135" t="s">
        <v>44</v>
      </c>
      <c r="BL135">
        <v>25293</v>
      </c>
      <c r="BM135" t="s">
        <v>35</v>
      </c>
      <c r="BN135" t="s">
        <v>38</v>
      </c>
      <c r="BO135" s="4">
        <v>80000</v>
      </c>
      <c r="BP135" s="4">
        <v>80000</v>
      </c>
      <c r="BQ135">
        <v>4</v>
      </c>
      <c r="BR135" t="s">
        <v>28</v>
      </c>
      <c r="BS135" t="s">
        <v>15</v>
      </c>
      <c r="BT135">
        <v>42</v>
      </c>
      <c r="CB135">
        <v>20370</v>
      </c>
      <c r="CC135" t="s">
        <v>35</v>
      </c>
      <c r="CD135" t="s">
        <v>38</v>
      </c>
      <c r="CE135" s="4">
        <v>70000</v>
      </c>
      <c r="CF135">
        <v>3</v>
      </c>
      <c r="CG135" t="s">
        <v>14</v>
      </c>
      <c r="CH135" t="s">
        <v>15</v>
      </c>
      <c r="CI135">
        <v>52</v>
      </c>
      <c r="CK135">
        <v>20370</v>
      </c>
      <c r="CL135" t="s">
        <v>35</v>
      </c>
      <c r="CM135" t="s">
        <v>38</v>
      </c>
      <c r="CN135" s="4">
        <v>70000</v>
      </c>
      <c r="CO135">
        <v>3</v>
      </c>
      <c r="CP135" t="s">
        <v>14</v>
      </c>
      <c r="CQ135" t="s">
        <v>15</v>
      </c>
      <c r="CR135">
        <v>52</v>
      </c>
      <c r="CS135">
        <v>2</v>
      </c>
    </row>
    <row r="136" spans="1:97" x14ac:dyDescent="0.25">
      <c r="A136">
        <v>26327</v>
      </c>
      <c r="B136" t="s">
        <v>35</v>
      </c>
      <c r="C136" t="s">
        <v>38</v>
      </c>
      <c r="D136" s="11">
        <v>70000</v>
      </c>
      <c r="E136">
        <v>4</v>
      </c>
      <c r="F136" t="s">
        <v>30</v>
      </c>
      <c r="G136" t="s">
        <v>21</v>
      </c>
      <c r="H136" t="s">
        <v>15</v>
      </c>
      <c r="I136">
        <v>0</v>
      </c>
      <c r="J136" t="s">
        <v>22</v>
      </c>
      <c r="K136" t="s">
        <v>31</v>
      </c>
      <c r="L136">
        <v>36</v>
      </c>
      <c r="M136" t="str">
        <f t="shared" si="2"/>
        <v>MIddleAge</v>
      </c>
      <c r="N136" t="s">
        <v>15</v>
      </c>
      <c r="R136">
        <v>13813</v>
      </c>
      <c r="S136" t="s">
        <v>35</v>
      </c>
      <c r="T136" t="s">
        <v>37</v>
      </c>
      <c r="U136" s="4">
        <v>30000</v>
      </c>
      <c r="V136">
        <v>3</v>
      </c>
      <c r="W136" t="s">
        <v>19</v>
      </c>
      <c r="X136" t="s">
        <v>20</v>
      </c>
      <c r="Y136" t="s">
        <v>18</v>
      </c>
      <c r="Z136">
        <v>0</v>
      </c>
      <c r="AA136" t="s">
        <v>16</v>
      </c>
      <c r="AB136" t="s">
        <v>17</v>
      </c>
      <c r="AC136">
        <v>42</v>
      </c>
      <c r="AD136" t="s">
        <v>44</v>
      </c>
      <c r="AG136">
        <v>19477</v>
      </c>
      <c r="AH136" t="s">
        <v>38</v>
      </c>
      <c r="AI136" s="4">
        <v>40000</v>
      </c>
      <c r="AJ136">
        <v>0</v>
      </c>
      <c r="AK136" t="s">
        <v>13</v>
      </c>
      <c r="AL136" t="s">
        <v>15</v>
      </c>
      <c r="AM136">
        <v>40</v>
      </c>
      <c r="AN136" t="s">
        <v>44</v>
      </c>
      <c r="BL136">
        <v>19741</v>
      </c>
      <c r="BM136" t="s">
        <v>36</v>
      </c>
      <c r="BN136" t="s">
        <v>37</v>
      </c>
      <c r="BO136" s="4">
        <v>80000</v>
      </c>
      <c r="BP136" s="4">
        <v>80000</v>
      </c>
      <c r="BQ136">
        <v>4</v>
      </c>
      <c r="BR136" t="s">
        <v>28</v>
      </c>
      <c r="BS136" t="s">
        <v>15</v>
      </c>
      <c r="BT136">
        <v>65</v>
      </c>
      <c r="CB136">
        <v>17462</v>
      </c>
      <c r="CC136" t="s">
        <v>35</v>
      </c>
      <c r="CD136" t="s">
        <v>38</v>
      </c>
      <c r="CE136" s="4">
        <v>70000</v>
      </c>
      <c r="CF136">
        <v>3</v>
      </c>
      <c r="CG136" t="s">
        <v>28</v>
      </c>
      <c r="CH136" t="s">
        <v>15</v>
      </c>
      <c r="CI136">
        <v>53</v>
      </c>
      <c r="CK136">
        <v>17462</v>
      </c>
      <c r="CL136" t="s">
        <v>35</v>
      </c>
      <c r="CM136" t="s">
        <v>38</v>
      </c>
      <c r="CN136" s="4">
        <v>70000</v>
      </c>
      <c r="CO136">
        <v>3</v>
      </c>
      <c r="CP136" t="s">
        <v>28</v>
      </c>
      <c r="CQ136" t="s">
        <v>15</v>
      </c>
      <c r="CR136">
        <v>53</v>
      </c>
      <c r="CS136">
        <v>2</v>
      </c>
    </row>
    <row r="137" spans="1:97" x14ac:dyDescent="0.25">
      <c r="A137">
        <v>25074</v>
      </c>
      <c r="B137" t="s">
        <v>35</v>
      </c>
      <c r="C137" t="s">
        <v>37</v>
      </c>
      <c r="D137" s="11">
        <v>70000</v>
      </c>
      <c r="E137">
        <v>4</v>
      </c>
      <c r="F137" t="s">
        <v>13</v>
      </c>
      <c r="G137" t="s">
        <v>21</v>
      </c>
      <c r="H137" t="s">
        <v>15</v>
      </c>
      <c r="I137">
        <v>2</v>
      </c>
      <c r="J137" t="s">
        <v>22</v>
      </c>
      <c r="K137" t="s">
        <v>31</v>
      </c>
      <c r="L137">
        <v>42</v>
      </c>
      <c r="M137" t="str">
        <f t="shared" si="2"/>
        <v>MIddleAge</v>
      </c>
      <c r="N137" t="s">
        <v>15</v>
      </c>
      <c r="R137">
        <v>11047</v>
      </c>
      <c r="S137" t="s">
        <v>35</v>
      </c>
      <c r="T137" t="s">
        <v>37</v>
      </c>
      <c r="U137" s="4">
        <v>30000</v>
      </c>
      <c r="V137">
        <v>3</v>
      </c>
      <c r="W137" t="s">
        <v>27</v>
      </c>
      <c r="X137" t="s">
        <v>14</v>
      </c>
      <c r="Y137" t="s">
        <v>18</v>
      </c>
      <c r="Z137">
        <v>2</v>
      </c>
      <c r="AA137" t="s">
        <v>26</v>
      </c>
      <c r="AB137" t="s">
        <v>24</v>
      </c>
      <c r="AC137">
        <v>56</v>
      </c>
      <c r="AD137" t="s">
        <v>45</v>
      </c>
      <c r="AG137">
        <v>19475</v>
      </c>
      <c r="AH137" t="s">
        <v>37</v>
      </c>
      <c r="AI137" s="4">
        <v>40000</v>
      </c>
      <c r="AJ137">
        <v>0</v>
      </c>
      <c r="AK137" t="s">
        <v>13</v>
      </c>
      <c r="AL137" t="s">
        <v>18</v>
      </c>
      <c r="AM137">
        <v>40</v>
      </c>
      <c r="AN137" t="s">
        <v>44</v>
      </c>
      <c r="BL137">
        <v>19731</v>
      </c>
      <c r="BM137" t="s">
        <v>35</v>
      </c>
      <c r="BN137" t="s">
        <v>38</v>
      </c>
      <c r="BO137" s="4">
        <v>80000</v>
      </c>
      <c r="BP137" s="4">
        <v>80000</v>
      </c>
      <c r="BQ137">
        <v>4</v>
      </c>
      <c r="BR137" t="s">
        <v>28</v>
      </c>
      <c r="BS137" t="s">
        <v>15</v>
      </c>
      <c r="BT137">
        <v>68</v>
      </c>
      <c r="CB137">
        <v>14493</v>
      </c>
      <c r="CC137" t="s">
        <v>36</v>
      </c>
      <c r="CD137" t="s">
        <v>37</v>
      </c>
      <c r="CE137" s="4">
        <v>70000</v>
      </c>
      <c r="CF137">
        <v>3</v>
      </c>
      <c r="CG137" t="s">
        <v>28</v>
      </c>
      <c r="CH137" t="s">
        <v>18</v>
      </c>
      <c r="CI137">
        <v>53</v>
      </c>
      <c r="CK137">
        <v>14493</v>
      </c>
      <c r="CL137" t="s">
        <v>36</v>
      </c>
      <c r="CM137" t="s">
        <v>37</v>
      </c>
      <c r="CN137" s="4">
        <v>70000</v>
      </c>
      <c r="CO137">
        <v>3</v>
      </c>
      <c r="CP137" t="s">
        <v>28</v>
      </c>
      <c r="CQ137" t="s">
        <v>18</v>
      </c>
      <c r="CR137">
        <v>53</v>
      </c>
      <c r="CS137">
        <v>2</v>
      </c>
    </row>
    <row r="138" spans="1:97" x14ac:dyDescent="0.25">
      <c r="A138">
        <v>23041</v>
      </c>
      <c r="B138" t="s">
        <v>36</v>
      </c>
      <c r="C138" t="s">
        <v>37</v>
      </c>
      <c r="D138" s="11">
        <v>70000</v>
      </c>
      <c r="E138">
        <v>4</v>
      </c>
      <c r="F138" t="s">
        <v>27</v>
      </c>
      <c r="G138" t="s">
        <v>21</v>
      </c>
      <c r="H138" t="s">
        <v>15</v>
      </c>
      <c r="I138">
        <v>0</v>
      </c>
      <c r="J138" t="s">
        <v>23</v>
      </c>
      <c r="K138" t="s">
        <v>31</v>
      </c>
      <c r="L138">
        <v>50</v>
      </c>
      <c r="M138" t="str">
        <f t="shared" si="2"/>
        <v>MIddleAge</v>
      </c>
      <c r="N138" t="s">
        <v>15</v>
      </c>
      <c r="R138">
        <v>25329</v>
      </c>
      <c r="S138" t="s">
        <v>36</v>
      </c>
      <c r="T138" t="s">
        <v>37</v>
      </c>
      <c r="U138" s="4">
        <v>40000</v>
      </c>
      <c r="V138">
        <v>3</v>
      </c>
      <c r="W138" t="s">
        <v>19</v>
      </c>
      <c r="X138" t="s">
        <v>20</v>
      </c>
      <c r="Y138" t="s">
        <v>18</v>
      </c>
      <c r="Z138">
        <v>2</v>
      </c>
      <c r="AA138" t="s">
        <v>16</v>
      </c>
      <c r="AB138" t="s">
        <v>31</v>
      </c>
      <c r="AC138">
        <v>32</v>
      </c>
      <c r="AD138" t="s">
        <v>44</v>
      </c>
      <c r="AG138">
        <v>17926</v>
      </c>
      <c r="AH138" t="s">
        <v>37</v>
      </c>
      <c r="AI138" s="4">
        <v>40000</v>
      </c>
      <c r="AJ138">
        <v>0</v>
      </c>
      <c r="AK138" t="s">
        <v>13</v>
      </c>
      <c r="AL138" t="s">
        <v>18</v>
      </c>
      <c r="AM138">
        <v>28</v>
      </c>
      <c r="AN138" t="s">
        <v>43</v>
      </c>
      <c r="BL138">
        <v>19660</v>
      </c>
      <c r="BM138" t="s">
        <v>35</v>
      </c>
      <c r="BN138" t="s">
        <v>38</v>
      </c>
      <c r="BO138" s="4">
        <v>80000</v>
      </c>
      <c r="BP138" s="4">
        <v>80000</v>
      </c>
      <c r="BQ138">
        <v>4</v>
      </c>
      <c r="BR138" t="s">
        <v>28</v>
      </c>
      <c r="BS138" t="s">
        <v>15</v>
      </c>
      <c r="BT138">
        <v>43</v>
      </c>
      <c r="CB138">
        <v>12195</v>
      </c>
      <c r="CC138" t="s">
        <v>36</v>
      </c>
      <c r="CD138" t="s">
        <v>37</v>
      </c>
      <c r="CE138" s="4">
        <v>70000</v>
      </c>
      <c r="CF138">
        <v>3</v>
      </c>
      <c r="CG138" t="s">
        <v>28</v>
      </c>
      <c r="CH138" t="s">
        <v>15</v>
      </c>
      <c r="CI138">
        <v>52</v>
      </c>
      <c r="CK138">
        <v>12195</v>
      </c>
      <c r="CL138" t="s">
        <v>36</v>
      </c>
      <c r="CM138" t="s">
        <v>37</v>
      </c>
      <c r="CN138" s="4">
        <v>70000</v>
      </c>
      <c r="CO138">
        <v>3</v>
      </c>
      <c r="CP138" t="s">
        <v>28</v>
      </c>
      <c r="CQ138" t="s">
        <v>15</v>
      </c>
      <c r="CR138">
        <v>52</v>
      </c>
      <c r="CS138">
        <v>2</v>
      </c>
    </row>
    <row r="139" spans="1:97" x14ac:dyDescent="0.25">
      <c r="A139">
        <v>21801</v>
      </c>
      <c r="B139" t="s">
        <v>35</v>
      </c>
      <c r="C139" t="s">
        <v>37</v>
      </c>
      <c r="D139" s="11">
        <v>70000</v>
      </c>
      <c r="E139">
        <v>4</v>
      </c>
      <c r="F139" t="s">
        <v>19</v>
      </c>
      <c r="G139" t="s">
        <v>21</v>
      </c>
      <c r="H139" t="s">
        <v>15</v>
      </c>
      <c r="I139">
        <v>1</v>
      </c>
      <c r="J139" t="s">
        <v>26</v>
      </c>
      <c r="K139" t="s">
        <v>31</v>
      </c>
      <c r="L139">
        <v>55</v>
      </c>
      <c r="M139" t="str">
        <f t="shared" si="2"/>
        <v>Old</v>
      </c>
      <c r="N139" t="s">
        <v>18</v>
      </c>
      <c r="R139">
        <v>16895</v>
      </c>
      <c r="S139" t="s">
        <v>35</v>
      </c>
      <c r="T139" t="s">
        <v>37</v>
      </c>
      <c r="U139" s="4">
        <v>40000</v>
      </c>
      <c r="V139">
        <v>3</v>
      </c>
      <c r="W139" t="s">
        <v>19</v>
      </c>
      <c r="X139" t="s">
        <v>21</v>
      </c>
      <c r="Y139" t="s">
        <v>18</v>
      </c>
      <c r="Z139">
        <v>2</v>
      </c>
      <c r="AA139" t="s">
        <v>26</v>
      </c>
      <c r="AB139" t="s">
        <v>31</v>
      </c>
      <c r="AC139">
        <v>54</v>
      </c>
      <c r="AD139" t="s">
        <v>44</v>
      </c>
      <c r="AG139">
        <v>14939</v>
      </c>
      <c r="AH139" t="s">
        <v>38</v>
      </c>
      <c r="AI139" s="4">
        <v>40000</v>
      </c>
      <c r="AJ139">
        <v>0</v>
      </c>
      <c r="AK139" t="s">
        <v>13</v>
      </c>
      <c r="AL139" t="s">
        <v>15</v>
      </c>
      <c r="AM139">
        <v>39</v>
      </c>
      <c r="AN139" t="s">
        <v>44</v>
      </c>
      <c r="BL139">
        <v>18674</v>
      </c>
      <c r="BM139" t="s">
        <v>36</v>
      </c>
      <c r="BN139" t="s">
        <v>37</v>
      </c>
      <c r="BO139" s="4">
        <v>80000</v>
      </c>
      <c r="BP139" s="4">
        <v>80000</v>
      </c>
      <c r="BQ139">
        <v>4</v>
      </c>
      <c r="BR139" t="s">
        <v>14</v>
      </c>
      <c r="BS139" t="s">
        <v>18</v>
      </c>
      <c r="BT139">
        <v>48</v>
      </c>
      <c r="CB139">
        <v>19143</v>
      </c>
      <c r="CC139" t="s">
        <v>36</v>
      </c>
      <c r="CD139" t="s">
        <v>37</v>
      </c>
      <c r="CE139" s="4">
        <v>80000</v>
      </c>
      <c r="CF139">
        <v>3</v>
      </c>
      <c r="CG139" t="s">
        <v>14</v>
      </c>
      <c r="CH139" t="s">
        <v>15</v>
      </c>
      <c r="CI139">
        <v>41</v>
      </c>
      <c r="CK139">
        <v>19143</v>
      </c>
      <c r="CL139" t="s">
        <v>36</v>
      </c>
      <c r="CM139" t="s">
        <v>37</v>
      </c>
      <c r="CN139" s="4">
        <v>80000</v>
      </c>
      <c r="CO139">
        <v>3</v>
      </c>
      <c r="CP139" t="s">
        <v>14</v>
      </c>
      <c r="CQ139" t="s">
        <v>15</v>
      </c>
      <c r="CR139">
        <v>41</v>
      </c>
      <c r="CS139">
        <v>2</v>
      </c>
    </row>
    <row r="140" spans="1:97" x14ac:dyDescent="0.25">
      <c r="A140">
        <v>20535</v>
      </c>
      <c r="B140" t="s">
        <v>35</v>
      </c>
      <c r="C140" t="s">
        <v>37</v>
      </c>
      <c r="D140" s="11">
        <v>70000</v>
      </c>
      <c r="E140">
        <v>4</v>
      </c>
      <c r="F140" t="s">
        <v>19</v>
      </c>
      <c r="G140" t="s">
        <v>21</v>
      </c>
      <c r="H140" t="s">
        <v>15</v>
      </c>
      <c r="I140">
        <v>1</v>
      </c>
      <c r="J140" t="s">
        <v>42</v>
      </c>
      <c r="K140" t="s">
        <v>31</v>
      </c>
      <c r="L140">
        <v>56</v>
      </c>
      <c r="M140" t="str">
        <f t="shared" si="2"/>
        <v>Old</v>
      </c>
      <c r="N140" t="s">
        <v>18</v>
      </c>
      <c r="R140">
        <v>27756</v>
      </c>
      <c r="S140" t="s">
        <v>36</v>
      </c>
      <c r="T140" t="s">
        <v>37</v>
      </c>
      <c r="U140" s="4">
        <v>50000</v>
      </c>
      <c r="V140">
        <v>3</v>
      </c>
      <c r="W140" t="s">
        <v>13</v>
      </c>
      <c r="X140" t="s">
        <v>14</v>
      </c>
      <c r="Y140" t="s">
        <v>18</v>
      </c>
      <c r="Z140">
        <v>1</v>
      </c>
      <c r="AA140" t="s">
        <v>16</v>
      </c>
      <c r="AB140" t="s">
        <v>31</v>
      </c>
      <c r="AC140">
        <v>40</v>
      </c>
      <c r="AD140" t="s">
        <v>44</v>
      </c>
      <c r="AG140">
        <v>12821</v>
      </c>
      <c r="AH140" t="s">
        <v>38</v>
      </c>
      <c r="AI140" s="4">
        <v>40000</v>
      </c>
      <c r="AJ140">
        <v>0</v>
      </c>
      <c r="AK140" t="s">
        <v>13</v>
      </c>
      <c r="AL140" t="s">
        <v>15</v>
      </c>
      <c r="AM140">
        <v>39</v>
      </c>
      <c r="AN140" t="s">
        <v>44</v>
      </c>
      <c r="BL140">
        <v>17471</v>
      </c>
      <c r="BM140" t="s">
        <v>36</v>
      </c>
      <c r="BN140" t="s">
        <v>37</v>
      </c>
      <c r="BO140" s="4">
        <v>80000</v>
      </c>
      <c r="BP140" s="4">
        <v>80000</v>
      </c>
      <c r="BQ140">
        <v>4</v>
      </c>
      <c r="BR140" t="s">
        <v>28</v>
      </c>
      <c r="BS140" t="s">
        <v>15</v>
      </c>
      <c r="BT140">
        <v>67</v>
      </c>
      <c r="CB140">
        <v>18594</v>
      </c>
      <c r="CC140" t="s">
        <v>36</v>
      </c>
      <c r="CD140" t="s">
        <v>37</v>
      </c>
      <c r="CE140" s="4">
        <v>80000</v>
      </c>
      <c r="CF140">
        <v>3</v>
      </c>
      <c r="CG140" t="s">
        <v>14</v>
      </c>
      <c r="CH140" t="s">
        <v>15</v>
      </c>
      <c r="CI140">
        <v>40</v>
      </c>
      <c r="CK140">
        <v>18594</v>
      </c>
      <c r="CL140" t="s">
        <v>36</v>
      </c>
      <c r="CM140" t="s">
        <v>37</v>
      </c>
      <c r="CN140" s="4">
        <v>80000</v>
      </c>
      <c r="CO140">
        <v>3</v>
      </c>
      <c r="CP140" t="s">
        <v>14</v>
      </c>
      <c r="CQ140" t="s">
        <v>15</v>
      </c>
      <c r="CR140">
        <v>40</v>
      </c>
      <c r="CS140">
        <v>3</v>
      </c>
    </row>
    <row r="141" spans="1:97" x14ac:dyDescent="0.25">
      <c r="A141">
        <v>19163</v>
      </c>
      <c r="B141" t="s">
        <v>35</v>
      </c>
      <c r="C141" t="s">
        <v>37</v>
      </c>
      <c r="D141" s="11">
        <v>70000</v>
      </c>
      <c r="E141">
        <v>4</v>
      </c>
      <c r="F141" t="s">
        <v>13</v>
      </c>
      <c r="G141" t="s">
        <v>21</v>
      </c>
      <c r="H141" t="s">
        <v>15</v>
      </c>
      <c r="I141">
        <v>2</v>
      </c>
      <c r="J141" t="s">
        <v>16</v>
      </c>
      <c r="K141" t="s">
        <v>31</v>
      </c>
      <c r="L141">
        <v>43</v>
      </c>
      <c r="M141" t="str">
        <f t="shared" si="2"/>
        <v>MIddleAge</v>
      </c>
      <c r="N141" t="s">
        <v>15</v>
      </c>
      <c r="R141">
        <v>26452</v>
      </c>
      <c r="S141" t="s">
        <v>36</v>
      </c>
      <c r="T141" t="s">
        <v>38</v>
      </c>
      <c r="U141" s="4">
        <v>50000</v>
      </c>
      <c r="V141">
        <v>3</v>
      </c>
      <c r="W141" t="s">
        <v>30</v>
      </c>
      <c r="X141" t="s">
        <v>28</v>
      </c>
      <c r="Y141" t="s">
        <v>15</v>
      </c>
      <c r="Z141">
        <v>2</v>
      </c>
      <c r="AA141" t="s">
        <v>42</v>
      </c>
      <c r="AB141" t="s">
        <v>31</v>
      </c>
      <c r="AC141">
        <v>69</v>
      </c>
      <c r="AD141" t="s">
        <v>45</v>
      </c>
      <c r="AG141">
        <v>12808</v>
      </c>
      <c r="AH141" t="s">
        <v>38</v>
      </c>
      <c r="AI141" s="4">
        <v>40000</v>
      </c>
      <c r="AJ141">
        <v>0</v>
      </c>
      <c r="AK141" t="s">
        <v>13</v>
      </c>
      <c r="AL141" t="s">
        <v>15</v>
      </c>
      <c r="AM141">
        <v>38</v>
      </c>
      <c r="AN141" t="s">
        <v>44</v>
      </c>
      <c r="BL141">
        <v>16377</v>
      </c>
      <c r="BM141" t="s">
        <v>36</v>
      </c>
      <c r="BN141" t="s">
        <v>37</v>
      </c>
      <c r="BO141" s="4">
        <v>80000</v>
      </c>
      <c r="BP141" s="4">
        <v>80000</v>
      </c>
      <c r="BQ141">
        <v>4</v>
      </c>
      <c r="BR141" t="s">
        <v>14</v>
      </c>
      <c r="BS141" t="s">
        <v>18</v>
      </c>
      <c r="BT141">
        <v>47</v>
      </c>
      <c r="CB141">
        <v>15372</v>
      </c>
      <c r="CC141" t="s">
        <v>35</v>
      </c>
      <c r="CD141" t="s">
        <v>38</v>
      </c>
      <c r="CE141" s="4">
        <v>80000</v>
      </c>
      <c r="CF141">
        <v>3</v>
      </c>
      <c r="CG141" t="s">
        <v>21</v>
      </c>
      <c r="CH141" t="s">
        <v>18</v>
      </c>
      <c r="CI141">
        <v>50</v>
      </c>
      <c r="CK141">
        <v>15372</v>
      </c>
      <c r="CL141" t="s">
        <v>35</v>
      </c>
      <c r="CM141" t="s">
        <v>38</v>
      </c>
      <c r="CN141" s="4">
        <v>80000</v>
      </c>
      <c r="CO141">
        <v>3</v>
      </c>
      <c r="CP141" t="s">
        <v>21</v>
      </c>
      <c r="CQ141" t="s">
        <v>18</v>
      </c>
      <c r="CR141">
        <v>50</v>
      </c>
      <c r="CS141">
        <v>2</v>
      </c>
    </row>
    <row r="142" spans="1:97" x14ac:dyDescent="0.25">
      <c r="A142">
        <v>17000</v>
      </c>
      <c r="B142" t="s">
        <v>36</v>
      </c>
      <c r="C142" t="s">
        <v>37</v>
      </c>
      <c r="D142" s="11">
        <v>70000</v>
      </c>
      <c r="E142">
        <v>4</v>
      </c>
      <c r="F142" t="s">
        <v>13</v>
      </c>
      <c r="G142" t="s">
        <v>14</v>
      </c>
      <c r="H142" t="s">
        <v>15</v>
      </c>
      <c r="I142">
        <v>2</v>
      </c>
      <c r="J142" t="s">
        <v>22</v>
      </c>
      <c r="K142" t="s">
        <v>31</v>
      </c>
      <c r="L142">
        <v>43</v>
      </c>
      <c r="M142" t="str">
        <f t="shared" si="2"/>
        <v>MIddleAge</v>
      </c>
      <c r="N142" t="s">
        <v>15</v>
      </c>
      <c r="R142">
        <v>23893</v>
      </c>
      <c r="S142" t="s">
        <v>35</v>
      </c>
      <c r="T142" t="s">
        <v>38</v>
      </c>
      <c r="U142" s="4">
        <v>50000</v>
      </c>
      <c r="V142">
        <v>3</v>
      </c>
      <c r="W142" t="s">
        <v>13</v>
      </c>
      <c r="X142" t="s">
        <v>14</v>
      </c>
      <c r="Y142" t="s">
        <v>15</v>
      </c>
      <c r="Z142">
        <v>3</v>
      </c>
      <c r="AA142" t="s">
        <v>42</v>
      </c>
      <c r="AB142" t="s">
        <v>31</v>
      </c>
      <c r="AC142">
        <v>41</v>
      </c>
      <c r="AD142" t="s">
        <v>44</v>
      </c>
      <c r="AG142">
        <v>27540</v>
      </c>
      <c r="AH142" t="s">
        <v>37</v>
      </c>
      <c r="AI142" s="4">
        <v>70000</v>
      </c>
      <c r="AJ142">
        <v>0</v>
      </c>
      <c r="AK142" t="s">
        <v>13</v>
      </c>
      <c r="AL142" t="s">
        <v>18</v>
      </c>
      <c r="AM142">
        <v>37</v>
      </c>
      <c r="AN142" t="s">
        <v>44</v>
      </c>
      <c r="BL142">
        <v>16245</v>
      </c>
      <c r="BM142" t="s">
        <v>36</v>
      </c>
      <c r="BN142" t="s">
        <v>37</v>
      </c>
      <c r="BO142" s="4">
        <v>80000</v>
      </c>
      <c r="BP142" s="4">
        <v>80000</v>
      </c>
      <c r="BQ142">
        <v>4</v>
      </c>
      <c r="BR142" t="s">
        <v>14</v>
      </c>
      <c r="BS142" t="s">
        <v>15</v>
      </c>
      <c r="BT142">
        <v>47</v>
      </c>
      <c r="CB142">
        <v>13911</v>
      </c>
      <c r="CC142" t="s">
        <v>36</v>
      </c>
      <c r="CD142" t="s">
        <v>37</v>
      </c>
      <c r="CE142" s="4">
        <v>80000</v>
      </c>
      <c r="CF142">
        <v>3</v>
      </c>
      <c r="CG142" t="s">
        <v>14</v>
      </c>
      <c r="CH142" t="s">
        <v>15</v>
      </c>
      <c r="CI142">
        <v>41</v>
      </c>
      <c r="CK142">
        <v>13911</v>
      </c>
      <c r="CL142" t="s">
        <v>36</v>
      </c>
      <c r="CM142" t="s">
        <v>37</v>
      </c>
      <c r="CN142" s="4">
        <v>80000</v>
      </c>
      <c r="CO142">
        <v>3</v>
      </c>
      <c r="CP142" t="s">
        <v>14</v>
      </c>
      <c r="CQ142" t="s">
        <v>15</v>
      </c>
      <c r="CR142">
        <v>41</v>
      </c>
      <c r="CS142">
        <v>2</v>
      </c>
    </row>
    <row r="143" spans="1:97" x14ac:dyDescent="0.25">
      <c r="A143">
        <v>16795</v>
      </c>
      <c r="B143" t="s">
        <v>35</v>
      </c>
      <c r="C143" t="s">
        <v>37</v>
      </c>
      <c r="D143" s="11">
        <v>70000</v>
      </c>
      <c r="E143">
        <v>4</v>
      </c>
      <c r="F143" t="s">
        <v>13</v>
      </c>
      <c r="G143" t="s">
        <v>28</v>
      </c>
      <c r="H143" t="s">
        <v>15</v>
      </c>
      <c r="I143">
        <v>1</v>
      </c>
      <c r="J143" t="s">
        <v>26</v>
      </c>
      <c r="K143" t="s">
        <v>31</v>
      </c>
      <c r="L143">
        <v>59</v>
      </c>
      <c r="M143" t="str">
        <f t="shared" si="2"/>
        <v>Old</v>
      </c>
      <c r="N143" t="s">
        <v>18</v>
      </c>
      <c r="R143">
        <v>23197</v>
      </c>
      <c r="S143" t="s">
        <v>35</v>
      </c>
      <c r="T143" t="s">
        <v>38</v>
      </c>
      <c r="U143" s="4">
        <v>50000</v>
      </c>
      <c r="V143">
        <v>3</v>
      </c>
      <c r="W143" t="s">
        <v>13</v>
      </c>
      <c r="X143" t="s">
        <v>14</v>
      </c>
      <c r="Y143" t="s">
        <v>15</v>
      </c>
      <c r="Z143">
        <v>2</v>
      </c>
      <c r="AA143" t="s">
        <v>22</v>
      </c>
      <c r="AB143" t="s">
        <v>31</v>
      </c>
      <c r="AC143">
        <v>40</v>
      </c>
      <c r="AD143" t="s">
        <v>44</v>
      </c>
      <c r="AG143">
        <v>26150</v>
      </c>
      <c r="AH143" t="s">
        <v>37</v>
      </c>
      <c r="AI143" s="4">
        <v>70000</v>
      </c>
      <c r="AJ143">
        <v>0</v>
      </c>
      <c r="AK143" t="s">
        <v>13</v>
      </c>
      <c r="AL143" t="s">
        <v>18</v>
      </c>
      <c r="AM143">
        <v>41</v>
      </c>
      <c r="AN143" t="s">
        <v>44</v>
      </c>
      <c r="BL143">
        <v>14669</v>
      </c>
      <c r="BM143" t="s">
        <v>35</v>
      </c>
      <c r="BN143" t="s">
        <v>37</v>
      </c>
      <c r="BO143" s="4">
        <v>80000</v>
      </c>
      <c r="BP143" s="4">
        <v>80000</v>
      </c>
      <c r="BQ143">
        <v>4</v>
      </c>
      <c r="BR143" t="s">
        <v>28</v>
      </c>
      <c r="BS143" t="s">
        <v>15</v>
      </c>
      <c r="BT143">
        <v>36</v>
      </c>
      <c r="CB143">
        <v>13283</v>
      </c>
      <c r="CC143" t="s">
        <v>35</v>
      </c>
      <c r="CD143" t="s">
        <v>38</v>
      </c>
      <c r="CE143" s="4">
        <v>80000</v>
      </c>
      <c r="CF143">
        <v>3</v>
      </c>
      <c r="CG143" t="s">
        <v>21</v>
      </c>
      <c r="CH143" t="s">
        <v>18</v>
      </c>
      <c r="CI143">
        <v>49</v>
      </c>
      <c r="CK143">
        <v>13283</v>
      </c>
      <c r="CL143" t="s">
        <v>35</v>
      </c>
      <c r="CM143" t="s">
        <v>38</v>
      </c>
      <c r="CN143" s="4">
        <v>80000</v>
      </c>
      <c r="CO143">
        <v>3</v>
      </c>
      <c r="CP143" t="s">
        <v>21</v>
      </c>
      <c r="CQ143" t="s">
        <v>18</v>
      </c>
      <c r="CR143">
        <v>49</v>
      </c>
      <c r="CS143">
        <v>2</v>
      </c>
    </row>
    <row r="144" spans="1:97" x14ac:dyDescent="0.25">
      <c r="A144">
        <v>16112</v>
      </c>
      <c r="B144" t="s">
        <v>36</v>
      </c>
      <c r="C144" t="s">
        <v>38</v>
      </c>
      <c r="D144" s="11">
        <v>70000</v>
      </c>
      <c r="E144">
        <v>4</v>
      </c>
      <c r="F144" t="s">
        <v>13</v>
      </c>
      <c r="G144" t="s">
        <v>21</v>
      </c>
      <c r="H144" t="s">
        <v>15</v>
      </c>
      <c r="I144">
        <v>2</v>
      </c>
      <c r="J144" t="s">
        <v>22</v>
      </c>
      <c r="K144" t="s">
        <v>31</v>
      </c>
      <c r="L144">
        <v>43</v>
      </c>
      <c r="M144" t="str">
        <f t="shared" si="2"/>
        <v>MIddleAge</v>
      </c>
      <c r="N144" t="s">
        <v>15</v>
      </c>
      <c r="R144">
        <v>23195</v>
      </c>
      <c r="S144" t="s">
        <v>36</v>
      </c>
      <c r="T144" t="s">
        <v>38</v>
      </c>
      <c r="U144" s="4">
        <v>50000</v>
      </c>
      <c r="V144">
        <v>3</v>
      </c>
      <c r="W144" t="s">
        <v>13</v>
      </c>
      <c r="X144" t="s">
        <v>14</v>
      </c>
      <c r="Y144" t="s">
        <v>15</v>
      </c>
      <c r="Z144">
        <v>2</v>
      </c>
      <c r="AA144" t="s">
        <v>22</v>
      </c>
      <c r="AB144" t="s">
        <v>31</v>
      </c>
      <c r="AC144">
        <v>41</v>
      </c>
      <c r="AD144" t="s">
        <v>44</v>
      </c>
      <c r="AG144">
        <v>24381</v>
      </c>
      <c r="AH144" t="s">
        <v>38</v>
      </c>
      <c r="AI144" s="4">
        <v>70000</v>
      </c>
      <c r="AJ144">
        <v>0</v>
      </c>
      <c r="AK144" t="s">
        <v>13</v>
      </c>
      <c r="AL144" t="s">
        <v>15</v>
      </c>
      <c r="AM144">
        <v>41</v>
      </c>
      <c r="AN144" t="s">
        <v>44</v>
      </c>
      <c r="BL144">
        <v>13754</v>
      </c>
      <c r="BM144" t="s">
        <v>36</v>
      </c>
      <c r="BN144" t="s">
        <v>37</v>
      </c>
      <c r="BO144" s="4">
        <v>80000</v>
      </c>
      <c r="BP144" s="4">
        <v>80000</v>
      </c>
      <c r="BQ144">
        <v>4</v>
      </c>
      <c r="BR144" t="s">
        <v>14</v>
      </c>
      <c r="BS144" t="s">
        <v>15</v>
      </c>
      <c r="BT144">
        <v>48</v>
      </c>
      <c r="CB144">
        <v>19664</v>
      </c>
      <c r="CC144" t="s">
        <v>36</v>
      </c>
      <c r="CD144" t="s">
        <v>38</v>
      </c>
      <c r="CE144" s="4">
        <v>100000</v>
      </c>
      <c r="CF144">
        <v>3</v>
      </c>
      <c r="CG144" t="s">
        <v>28</v>
      </c>
      <c r="CH144" t="s">
        <v>18</v>
      </c>
      <c r="CI144">
        <v>38</v>
      </c>
      <c r="CK144">
        <v>19664</v>
      </c>
      <c r="CL144" t="s">
        <v>36</v>
      </c>
      <c r="CM144" t="s">
        <v>38</v>
      </c>
      <c r="CN144" s="4">
        <v>100000</v>
      </c>
      <c r="CO144">
        <v>3</v>
      </c>
      <c r="CP144" t="s">
        <v>28</v>
      </c>
      <c r="CQ144" t="s">
        <v>18</v>
      </c>
      <c r="CR144">
        <v>38</v>
      </c>
      <c r="CS144">
        <v>3</v>
      </c>
    </row>
    <row r="145" spans="1:97" x14ac:dyDescent="0.25">
      <c r="A145">
        <v>15749</v>
      </c>
      <c r="B145" t="s">
        <v>36</v>
      </c>
      <c r="C145" t="s">
        <v>37</v>
      </c>
      <c r="D145" s="11">
        <v>70000</v>
      </c>
      <c r="E145">
        <v>4</v>
      </c>
      <c r="F145" t="s">
        <v>13</v>
      </c>
      <c r="G145" t="s">
        <v>28</v>
      </c>
      <c r="H145" t="s">
        <v>15</v>
      </c>
      <c r="I145">
        <v>2</v>
      </c>
      <c r="J145" t="s">
        <v>42</v>
      </c>
      <c r="K145" t="s">
        <v>31</v>
      </c>
      <c r="L145">
        <v>61</v>
      </c>
      <c r="M145" t="str">
        <f t="shared" si="2"/>
        <v>Old</v>
      </c>
      <c r="N145" t="s">
        <v>18</v>
      </c>
      <c r="R145">
        <v>24943</v>
      </c>
      <c r="S145" t="s">
        <v>35</v>
      </c>
      <c r="T145" t="s">
        <v>38</v>
      </c>
      <c r="U145" s="4">
        <v>60000</v>
      </c>
      <c r="V145">
        <v>3</v>
      </c>
      <c r="W145" t="s">
        <v>13</v>
      </c>
      <c r="X145" t="s">
        <v>28</v>
      </c>
      <c r="Y145" t="s">
        <v>15</v>
      </c>
      <c r="Z145">
        <v>2</v>
      </c>
      <c r="AA145" t="s">
        <v>42</v>
      </c>
      <c r="AB145" t="s">
        <v>31</v>
      </c>
      <c r="AC145">
        <v>66</v>
      </c>
      <c r="AD145" t="s">
        <v>45</v>
      </c>
      <c r="AG145">
        <v>23432</v>
      </c>
      <c r="AH145" t="s">
        <v>38</v>
      </c>
      <c r="AI145" s="4">
        <v>70000</v>
      </c>
      <c r="AJ145">
        <v>0</v>
      </c>
      <c r="AK145" t="s">
        <v>13</v>
      </c>
      <c r="AL145" t="s">
        <v>15</v>
      </c>
      <c r="AM145">
        <v>37</v>
      </c>
      <c r="AN145" t="s">
        <v>44</v>
      </c>
      <c r="BL145">
        <v>13749</v>
      </c>
      <c r="BM145" t="s">
        <v>35</v>
      </c>
      <c r="BN145" t="s">
        <v>38</v>
      </c>
      <c r="BO145" s="4">
        <v>80000</v>
      </c>
      <c r="BP145" s="4">
        <v>80000</v>
      </c>
      <c r="BQ145">
        <v>4</v>
      </c>
      <c r="BR145" t="s">
        <v>14</v>
      </c>
      <c r="BS145" t="s">
        <v>15</v>
      </c>
      <c r="BT145">
        <v>47</v>
      </c>
      <c r="CB145">
        <v>19057</v>
      </c>
      <c r="CC145" t="s">
        <v>35</v>
      </c>
      <c r="CD145" t="s">
        <v>37</v>
      </c>
      <c r="CE145" s="4">
        <v>120000</v>
      </c>
      <c r="CF145">
        <v>3</v>
      </c>
      <c r="CG145" t="s">
        <v>28</v>
      </c>
      <c r="CH145" t="s">
        <v>18</v>
      </c>
      <c r="CI145">
        <v>52</v>
      </c>
      <c r="CK145">
        <v>19057</v>
      </c>
      <c r="CL145" t="s">
        <v>35</v>
      </c>
      <c r="CM145" t="s">
        <v>37</v>
      </c>
      <c r="CN145" s="4">
        <v>120000</v>
      </c>
      <c r="CO145">
        <v>3</v>
      </c>
      <c r="CP145" t="s">
        <v>28</v>
      </c>
      <c r="CQ145" t="s">
        <v>18</v>
      </c>
      <c r="CR145">
        <v>52</v>
      </c>
      <c r="CS145">
        <v>2</v>
      </c>
    </row>
    <row r="146" spans="1:97" x14ac:dyDescent="0.25">
      <c r="A146">
        <v>15501</v>
      </c>
      <c r="B146" t="s">
        <v>35</v>
      </c>
      <c r="C146" t="s">
        <v>38</v>
      </c>
      <c r="D146" s="11">
        <v>70000</v>
      </c>
      <c r="E146">
        <v>4</v>
      </c>
      <c r="F146" t="s">
        <v>30</v>
      </c>
      <c r="G146" t="s">
        <v>21</v>
      </c>
      <c r="H146" t="s">
        <v>15</v>
      </c>
      <c r="I146">
        <v>0</v>
      </c>
      <c r="J146" t="s">
        <v>22</v>
      </c>
      <c r="K146" t="s">
        <v>31</v>
      </c>
      <c r="L146">
        <v>36</v>
      </c>
      <c r="M146" t="str">
        <f t="shared" si="2"/>
        <v>MIddleAge</v>
      </c>
      <c r="N146" t="s">
        <v>15</v>
      </c>
      <c r="R146">
        <v>24941</v>
      </c>
      <c r="S146" t="s">
        <v>35</v>
      </c>
      <c r="T146" t="s">
        <v>38</v>
      </c>
      <c r="U146" s="4">
        <v>60000</v>
      </c>
      <c r="V146">
        <v>3</v>
      </c>
      <c r="W146" t="s">
        <v>13</v>
      </c>
      <c r="X146" t="s">
        <v>28</v>
      </c>
      <c r="Y146" t="s">
        <v>15</v>
      </c>
      <c r="Z146">
        <v>2</v>
      </c>
      <c r="AA146" t="s">
        <v>42</v>
      </c>
      <c r="AB146" t="s">
        <v>31</v>
      </c>
      <c r="AC146">
        <v>66</v>
      </c>
      <c r="AD146" t="s">
        <v>45</v>
      </c>
      <c r="AG146">
        <v>22294</v>
      </c>
      <c r="AH146" t="s">
        <v>37</v>
      </c>
      <c r="AI146" s="4">
        <v>70000</v>
      </c>
      <c r="AJ146">
        <v>0</v>
      </c>
      <c r="AK146" t="s">
        <v>13</v>
      </c>
      <c r="AL146" t="s">
        <v>18</v>
      </c>
      <c r="AM146">
        <v>37</v>
      </c>
      <c r="AN146" t="s">
        <v>44</v>
      </c>
      <c r="BL146">
        <v>13586</v>
      </c>
      <c r="BM146" t="s">
        <v>35</v>
      </c>
      <c r="BN146" t="s">
        <v>38</v>
      </c>
      <c r="BO146" s="4">
        <v>80000</v>
      </c>
      <c r="BP146" s="4">
        <v>80000</v>
      </c>
      <c r="BQ146">
        <v>4</v>
      </c>
      <c r="BR146" t="s">
        <v>21</v>
      </c>
      <c r="BS146" t="s">
        <v>15</v>
      </c>
      <c r="BT146">
        <v>53</v>
      </c>
      <c r="CB146">
        <v>18140</v>
      </c>
      <c r="CC146" t="s">
        <v>35</v>
      </c>
      <c r="CD146" t="s">
        <v>38</v>
      </c>
      <c r="CE146" s="4">
        <v>130000</v>
      </c>
      <c r="CF146">
        <v>3</v>
      </c>
      <c r="CG146" t="s">
        <v>21</v>
      </c>
      <c r="CH146" t="s">
        <v>18</v>
      </c>
      <c r="CI146">
        <v>51</v>
      </c>
      <c r="CK146">
        <v>18140</v>
      </c>
      <c r="CL146" t="s">
        <v>35</v>
      </c>
      <c r="CM146" t="s">
        <v>38</v>
      </c>
      <c r="CN146" s="4">
        <v>130000</v>
      </c>
      <c r="CO146">
        <v>3</v>
      </c>
      <c r="CP146" t="s">
        <v>21</v>
      </c>
      <c r="CQ146" t="s">
        <v>18</v>
      </c>
      <c r="CR146">
        <v>51</v>
      </c>
      <c r="CS146">
        <v>3</v>
      </c>
    </row>
    <row r="147" spans="1:97" x14ac:dyDescent="0.25">
      <c r="A147">
        <v>15319</v>
      </c>
      <c r="B147" t="s">
        <v>35</v>
      </c>
      <c r="C147" t="s">
        <v>37</v>
      </c>
      <c r="D147" s="11">
        <v>70000</v>
      </c>
      <c r="E147">
        <v>4</v>
      </c>
      <c r="F147" t="s">
        <v>13</v>
      </c>
      <c r="G147" t="s">
        <v>28</v>
      </c>
      <c r="H147" t="s">
        <v>18</v>
      </c>
      <c r="I147">
        <v>1</v>
      </c>
      <c r="J147" t="s">
        <v>26</v>
      </c>
      <c r="K147" t="s">
        <v>31</v>
      </c>
      <c r="L147">
        <v>59</v>
      </c>
      <c r="M147" t="str">
        <f t="shared" si="2"/>
        <v>Old</v>
      </c>
      <c r="N147" t="s">
        <v>18</v>
      </c>
      <c r="R147">
        <v>22127</v>
      </c>
      <c r="S147" t="s">
        <v>35</v>
      </c>
      <c r="T147" t="s">
        <v>38</v>
      </c>
      <c r="U147" s="4">
        <v>60000</v>
      </c>
      <c r="V147">
        <v>3</v>
      </c>
      <c r="W147" t="s">
        <v>30</v>
      </c>
      <c r="X147" t="s">
        <v>28</v>
      </c>
      <c r="Y147" t="s">
        <v>15</v>
      </c>
      <c r="Z147">
        <v>2</v>
      </c>
      <c r="AA147" t="s">
        <v>26</v>
      </c>
      <c r="AB147" t="s">
        <v>31</v>
      </c>
      <c r="AC147">
        <v>67</v>
      </c>
      <c r="AD147" t="s">
        <v>45</v>
      </c>
      <c r="AG147">
        <v>19164</v>
      </c>
      <c r="AH147" t="s">
        <v>37</v>
      </c>
      <c r="AI147" s="4">
        <v>70000</v>
      </c>
      <c r="AJ147">
        <v>0</v>
      </c>
      <c r="AK147" t="s">
        <v>13</v>
      </c>
      <c r="AL147" t="s">
        <v>18</v>
      </c>
      <c r="AM147">
        <v>38</v>
      </c>
      <c r="AN147" t="s">
        <v>44</v>
      </c>
      <c r="BL147">
        <v>13585</v>
      </c>
      <c r="BM147" t="s">
        <v>35</v>
      </c>
      <c r="BN147" t="s">
        <v>37</v>
      </c>
      <c r="BO147" s="4">
        <v>80000</v>
      </c>
      <c r="BP147" s="4">
        <v>80000</v>
      </c>
      <c r="BQ147">
        <v>4</v>
      </c>
      <c r="BR147" t="s">
        <v>21</v>
      </c>
      <c r="BS147" t="s">
        <v>18</v>
      </c>
      <c r="BT147">
        <v>53</v>
      </c>
      <c r="CB147">
        <v>17191</v>
      </c>
      <c r="CC147" t="s">
        <v>36</v>
      </c>
      <c r="CD147" t="s">
        <v>38</v>
      </c>
      <c r="CE147" s="4">
        <v>130000</v>
      </c>
      <c r="CF147">
        <v>3</v>
      </c>
      <c r="CG147" t="s">
        <v>21</v>
      </c>
      <c r="CH147" t="s">
        <v>18</v>
      </c>
      <c r="CI147">
        <v>51</v>
      </c>
      <c r="CK147">
        <v>17191</v>
      </c>
      <c r="CL147" t="s">
        <v>36</v>
      </c>
      <c r="CM147" t="s">
        <v>38</v>
      </c>
      <c r="CN147" s="4">
        <v>130000</v>
      </c>
      <c r="CO147">
        <v>3</v>
      </c>
      <c r="CP147" t="s">
        <v>21</v>
      </c>
      <c r="CQ147" t="s">
        <v>18</v>
      </c>
      <c r="CR147">
        <v>51</v>
      </c>
      <c r="CS147">
        <v>3</v>
      </c>
    </row>
    <row r="148" spans="1:97" x14ac:dyDescent="0.25">
      <c r="A148">
        <v>13886</v>
      </c>
      <c r="B148" t="s">
        <v>35</v>
      </c>
      <c r="C148" t="s">
        <v>37</v>
      </c>
      <c r="D148" s="11">
        <v>70000</v>
      </c>
      <c r="E148">
        <v>4</v>
      </c>
      <c r="F148" t="s">
        <v>30</v>
      </c>
      <c r="G148" t="s">
        <v>21</v>
      </c>
      <c r="H148" t="s">
        <v>15</v>
      </c>
      <c r="I148">
        <v>0</v>
      </c>
      <c r="J148" t="s">
        <v>22</v>
      </c>
      <c r="K148" t="s">
        <v>31</v>
      </c>
      <c r="L148">
        <v>35</v>
      </c>
      <c r="M148" t="str">
        <f t="shared" si="2"/>
        <v>MIddleAge</v>
      </c>
      <c r="N148" t="s">
        <v>15</v>
      </c>
      <c r="R148">
        <v>21752</v>
      </c>
      <c r="S148" t="s">
        <v>35</v>
      </c>
      <c r="T148" t="s">
        <v>38</v>
      </c>
      <c r="U148" s="4">
        <v>60000</v>
      </c>
      <c r="V148">
        <v>3</v>
      </c>
      <c r="W148" t="s">
        <v>30</v>
      </c>
      <c r="X148" t="s">
        <v>28</v>
      </c>
      <c r="Y148" t="s">
        <v>15</v>
      </c>
      <c r="Z148">
        <v>2</v>
      </c>
      <c r="AA148" t="s">
        <v>42</v>
      </c>
      <c r="AB148" t="s">
        <v>31</v>
      </c>
      <c r="AC148">
        <v>64</v>
      </c>
      <c r="AD148" t="s">
        <v>45</v>
      </c>
      <c r="AG148">
        <v>17319</v>
      </c>
      <c r="AH148" t="s">
        <v>37</v>
      </c>
      <c r="AI148" s="4">
        <v>70000</v>
      </c>
      <c r="AJ148">
        <v>0</v>
      </c>
      <c r="AK148" t="s">
        <v>13</v>
      </c>
      <c r="AL148" t="s">
        <v>18</v>
      </c>
      <c r="AM148">
        <v>42</v>
      </c>
      <c r="AN148" t="s">
        <v>44</v>
      </c>
      <c r="BL148">
        <v>12207</v>
      </c>
      <c r="BM148" t="s">
        <v>36</v>
      </c>
      <c r="BN148" t="s">
        <v>38</v>
      </c>
      <c r="BO148" s="4">
        <v>80000</v>
      </c>
      <c r="BP148" s="4">
        <v>80000</v>
      </c>
      <c r="BQ148">
        <v>4</v>
      </c>
      <c r="BR148" t="s">
        <v>28</v>
      </c>
      <c r="BS148" t="s">
        <v>15</v>
      </c>
      <c r="BT148">
        <v>66</v>
      </c>
      <c r="CB148">
        <v>13453</v>
      </c>
      <c r="CC148" t="s">
        <v>35</v>
      </c>
      <c r="CD148" t="s">
        <v>37</v>
      </c>
      <c r="CE148" s="4">
        <v>130000</v>
      </c>
      <c r="CF148">
        <v>3</v>
      </c>
      <c r="CG148" t="s">
        <v>28</v>
      </c>
      <c r="CH148" t="s">
        <v>15</v>
      </c>
      <c r="CI148">
        <v>45</v>
      </c>
      <c r="CK148">
        <v>13453</v>
      </c>
      <c r="CL148" t="s">
        <v>35</v>
      </c>
      <c r="CM148" t="s">
        <v>37</v>
      </c>
      <c r="CN148" s="4">
        <v>130000</v>
      </c>
      <c r="CO148">
        <v>3</v>
      </c>
      <c r="CP148" t="s">
        <v>28</v>
      </c>
      <c r="CQ148" t="s">
        <v>15</v>
      </c>
      <c r="CR148">
        <v>45</v>
      </c>
      <c r="CS148">
        <v>3</v>
      </c>
    </row>
    <row r="149" spans="1:97" x14ac:dyDescent="0.25">
      <c r="A149">
        <v>13390</v>
      </c>
      <c r="B149" t="s">
        <v>35</v>
      </c>
      <c r="C149" t="s">
        <v>37</v>
      </c>
      <c r="D149" s="11">
        <v>70000</v>
      </c>
      <c r="E149">
        <v>4</v>
      </c>
      <c r="F149" t="s">
        <v>19</v>
      </c>
      <c r="G149" t="s">
        <v>21</v>
      </c>
      <c r="H149" t="s">
        <v>18</v>
      </c>
      <c r="I149">
        <v>1</v>
      </c>
      <c r="J149" t="s">
        <v>26</v>
      </c>
      <c r="K149" t="s">
        <v>31</v>
      </c>
      <c r="L149">
        <v>56</v>
      </c>
      <c r="M149" t="str">
        <f t="shared" si="2"/>
        <v>Old</v>
      </c>
      <c r="N149" t="s">
        <v>18</v>
      </c>
      <c r="R149">
        <v>21751</v>
      </c>
      <c r="S149" t="s">
        <v>35</v>
      </c>
      <c r="T149" t="s">
        <v>38</v>
      </c>
      <c r="U149" s="4">
        <v>60000</v>
      </c>
      <c r="V149">
        <v>3</v>
      </c>
      <c r="W149" t="s">
        <v>30</v>
      </c>
      <c r="X149" t="s">
        <v>28</v>
      </c>
      <c r="Y149" t="s">
        <v>15</v>
      </c>
      <c r="Z149">
        <v>2</v>
      </c>
      <c r="AA149" t="s">
        <v>26</v>
      </c>
      <c r="AB149" t="s">
        <v>31</v>
      </c>
      <c r="AC149">
        <v>63</v>
      </c>
      <c r="AD149" t="s">
        <v>45</v>
      </c>
      <c r="AG149">
        <v>14682</v>
      </c>
      <c r="AH149" t="s">
        <v>37</v>
      </c>
      <c r="AI149" s="4">
        <v>70000</v>
      </c>
      <c r="AJ149">
        <v>0</v>
      </c>
      <c r="AK149" t="s">
        <v>13</v>
      </c>
      <c r="AL149" t="s">
        <v>18</v>
      </c>
      <c r="AM149">
        <v>38</v>
      </c>
      <c r="AN149" t="s">
        <v>44</v>
      </c>
      <c r="BL149">
        <v>11275</v>
      </c>
      <c r="BM149" t="s">
        <v>35</v>
      </c>
      <c r="BN149" t="s">
        <v>37</v>
      </c>
      <c r="BO149" s="4">
        <v>80000</v>
      </c>
      <c r="BP149" s="4">
        <v>80000</v>
      </c>
      <c r="BQ149">
        <v>4</v>
      </c>
      <c r="BR149" t="s">
        <v>28</v>
      </c>
      <c r="BS149" t="s">
        <v>15</v>
      </c>
      <c r="BT149">
        <v>72</v>
      </c>
      <c r="CB149">
        <v>12133</v>
      </c>
      <c r="CC149" t="s">
        <v>35</v>
      </c>
      <c r="CD149" t="s">
        <v>37</v>
      </c>
      <c r="CE149" s="4">
        <v>130000</v>
      </c>
      <c r="CF149">
        <v>3</v>
      </c>
      <c r="CG149" t="s">
        <v>21</v>
      </c>
      <c r="CH149" t="s">
        <v>15</v>
      </c>
      <c r="CI149">
        <v>50</v>
      </c>
      <c r="CK149">
        <v>12133</v>
      </c>
      <c r="CL149" t="s">
        <v>35</v>
      </c>
      <c r="CM149" t="s">
        <v>37</v>
      </c>
      <c r="CN149" s="4">
        <v>130000</v>
      </c>
      <c r="CO149">
        <v>3</v>
      </c>
      <c r="CP149" t="s">
        <v>21</v>
      </c>
      <c r="CQ149" t="s">
        <v>15</v>
      </c>
      <c r="CR149">
        <v>50</v>
      </c>
      <c r="CS149">
        <v>3</v>
      </c>
    </row>
    <row r="150" spans="1:97" x14ac:dyDescent="0.25">
      <c r="A150">
        <v>13351</v>
      </c>
      <c r="B150" t="s">
        <v>36</v>
      </c>
      <c r="C150" t="s">
        <v>37</v>
      </c>
      <c r="D150" s="11">
        <v>70000</v>
      </c>
      <c r="E150">
        <v>4</v>
      </c>
      <c r="F150" t="s">
        <v>13</v>
      </c>
      <c r="G150" t="s">
        <v>28</v>
      </c>
      <c r="H150" t="s">
        <v>15</v>
      </c>
      <c r="I150">
        <v>2</v>
      </c>
      <c r="J150" t="s">
        <v>26</v>
      </c>
      <c r="K150" t="s">
        <v>31</v>
      </c>
      <c r="L150">
        <v>62</v>
      </c>
      <c r="M150" t="str">
        <f t="shared" si="2"/>
        <v>Old</v>
      </c>
      <c r="N150" t="s">
        <v>15</v>
      </c>
      <c r="R150">
        <v>18267</v>
      </c>
      <c r="S150" t="s">
        <v>35</v>
      </c>
      <c r="T150" t="s">
        <v>38</v>
      </c>
      <c r="U150" s="4">
        <v>60000</v>
      </c>
      <c r="V150">
        <v>3</v>
      </c>
      <c r="W150" t="s">
        <v>13</v>
      </c>
      <c r="X150" t="s">
        <v>21</v>
      </c>
      <c r="Y150" t="s">
        <v>15</v>
      </c>
      <c r="Z150">
        <v>2</v>
      </c>
      <c r="AA150" t="s">
        <v>23</v>
      </c>
      <c r="AB150" t="s">
        <v>24</v>
      </c>
      <c r="AC150">
        <v>43</v>
      </c>
      <c r="AD150" t="s">
        <v>44</v>
      </c>
      <c r="AG150">
        <v>14063</v>
      </c>
      <c r="AH150" t="s">
        <v>37</v>
      </c>
      <c r="AI150" s="4">
        <v>70000</v>
      </c>
      <c r="AJ150">
        <v>0</v>
      </c>
      <c r="AK150" t="s">
        <v>13</v>
      </c>
      <c r="AL150" t="s">
        <v>18</v>
      </c>
      <c r="AM150">
        <v>42</v>
      </c>
      <c r="AN150" t="s">
        <v>44</v>
      </c>
      <c r="BL150">
        <v>11262</v>
      </c>
      <c r="BM150" t="s">
        <v>35</v>
      </c>
      <c r="BN150" t="s">
        <v>37</v>
      </c>
      <c r="BO150" s="4">
        <v>80000</v>
      </c>
      <c r="BP150" s="4">
        <v>80000</v>
      </c>
      <c r="BQ150">
        <v>4</v>
      </c>
      <c r="BR150" t="s">
        <v>28</v>
      </c>
      <c r="BS150" t="s">
        <v>15</v>
      </c>
      <c r="BT150">
        <v>42</v>
      </c>
      <c r="CB150">
        <v>11249</v>
      </c>
      <c r="CC150" t="s">
        <v>35</v>
      </c>
      <c r="CD150" t="s">
        <v>37</v>
      </c>
      <c r="CE150" s="4">
        <v>130000</v>
      </c>
      <c r="CF150">
        <v>3</v>
      </c>
      <c r="CG150" t="s">
        <v>21</v>
      </c>
      <c r="CH150" t="s">
        <v>15</v>
      </c>
      <c r="CI150">
        <v>51</v>
      </c>
      <c r="CK150">
        <v>11249</v>
      </c>
      <c r="CL150" t="s">
        <v>35</v>
      </c>
      <c r="CM150" t="s">
        <v>37</v>
      </c>
      <c r="CN150" s="4">
        <v>130000</v>
      </c>
      <c r="CO150">
        <v>3</v>
      </c>
      <c r="CP150" t="s">
        <v>21</v>
      </c>
      <c r="CQ150" t="s">
        <v>15</v>
      </c>
      <c r="CR150">
        <v>51</v>
      </c>
      <c r="CS150">
        <v>3</v>
      </c>
    </row>
    <row r="151" spans="1:97" x14ac:dyDescent="0.25">
      <c r="A151">
        <v>11817</v>
      </c>
      <c r="B151" t="s">
        <v>36</v>
      </c>
      <c r="C151" t="s">
        <v>37</v>
      </c>
      <c r="D151" s="11">
        <v>70000</v>
      </c>
      <c r="E151">
        <v>4</v>
      </c>
      <c r="F151" t="s">
        <v>30</v>
      </c>
      <c r="G151" t="s">
        <v>21</v>
      </c>
      <c r="H151" t="s">
        <v>15</v>
      </c>
      <c r="I151">
        <v>0</v>
      </c>
      <c r="J151" t="s">
        <v>22</v>
      </c>
      <c r="K151" t="s">
        <v>31</v>
      </c>
      <c r="L151">
        <v>35</v>
      </c>
      <c r="M151" t="str">
        <f t="shared" si="2"/>
        <v>MIddleAge</v>
      </c>
      <c r="N151" t="s">
        <v>15</v>
      </c>
      <c r="R151">
        <v>16890</v>
      </c>
      <c r="S151" t="s">
        <v>35</v>
      </c>
      <c r="T151" t="s">
        <v>38</v>
      </c>
      <c r="U151" s="4">
        <v>60000</v>
      </c>
      <c r="V151">
        <v>3</v>
      </c>
      <c r="W151" t="s">
        <v>29</v>
      </c>
      <c r="X151" t="s">
        <v>14</v>
      </c>
      <c r="Y151" t="s">
        <v>15</v>
      </c>
      <c r="Z151">
        <v>2</v>
      </c>
      <c r="AA151" t="s">
        <v>23</v>
      </c>
      <c r="AB151" t="s">
        <v>31</v>
      </c>
      <c r="AC151">
        <v>52</v>
      </c>
      <c r="AD151" t="s">
        <v>44</v>
      </c>
      <c r="AG151">
        <v>27969</v>
      </c>
      <c r="AH151" t="s">
        <v>38</v>
      </c>
      <c r="AI151" s="4">
        <v>80000</v>
      </c>
      <c r="AJ151">
        <v>0</v>
      </c>
      <c r="AK151" t="s">
        <v>13</v>
      </c>
      <c r="AL151" t="s">
        <v>15</v>
      </c>
      <c r="AM151">
        <v>29</v>
      </c>
      <c r="AN151" t="s">
        <v>43</v>
      </c>
      <c r="BL151">
        <v>26415</v>
      </c>
      <c r="BM151" t="s">
        <v>35</v>
      </c>
      <c r="BN151" t="s">
        <v>37</v>
      </c>
      <c r="BO151" s="4">
        <v>90000</v>
      </c>
      <c r="BP151" s="4">
        <v>90000</v>
      </c>
      <c r="BQ151">
        <v>4</v>
      </c>
      <c r="BR151" t="s">
        <v>14</v>
      </c>
      <c r="BS151" t="s">
        <v>15</v>
      </c>
      <c r="BT151">
        <v>58</v>
      </c>
      <c r="CB151">
        <v>28278</v>
      </c>
      <c r="CC151" t="s">
        <v>35</v>
      </c>
      <c r="CD151" t="s">
        <v>38</v>
      </c>
      <c r="CE151" s="4">
        <v>50000</v>
      </c>
      <c r="CF151">
        <v>2</v>
      </c>
      <c r="CG151" t="s">
        <v>28</v>
      </c>
      <c r="CH151" t="s">
        <v>15</v>
      </c>
      <c r="CI151">
        <v>71</v>
      </c>
      <c r="CK151">
        <v>28278</v>
      </c>
      <c r="CL151" t="s">
        <v>35</v>
      </c>
      <c r="CM151" t="s">
        <v>38</v>
      </c>
      <c r="CN151" s="4">
        <v>50000</v>
      </c>
      <c r="CO151">
        <v>2</v>
      </c>
      <c r="CP151" t="s">
        <v>28</v>
      </c>
      <c r="CQ151" t="s">
        <v>15</v>
      </c>
      <c r="CR151">
        <v>71</v>
      </c>
      <c r="CS151">
        <v>2</v>
      </c>
    </row>
    <row r="152" spans="1:97" x14ac:dyDescent="0.25">
      <c r="A152">
        <v>11663</v>
      </c>
      <c r="B152" t="s">
        <v>35</v>
      </c>
      <c r="C152" t="s">
        <v>38</v>
      </c>
      <c r="D152" s="11">
        <v>70000</v>
      </c>
      <c r="E152">
        <v>4</v>
      </c>
      <c r="F152" t="s">
        <v>30</v>
      </c>
      <c r="G152" t="s">
        <v>21</v>
      </c>
      <c r="H152" t="s">
        <v>15</v>
      </c>
      <c r="I152">
        <v>0</v>
      </c>
      <c r="J152" t="s">
        <v>16</v>
      </c>
      <c r="K152" t="s">
        <v>31</v>
      </c>
      <c r="L152">
        <v>36</v>
      </c>
      <c r="M152" t="str">
        <f t="shared" si="2"/>
        <v>MIddleAge</v>
      </c>
      <c r="N152" t="s">
        <v>15</v>
      </c>
      <c r="R152">
        <v>14417</v>
      </c>
      <c r="S152" t="s">
        <v>36</v>
      </c>
      <c r="T152" t="s">
        <v>38</v>
      </c>
      <c r="U152" s="4">
        <v>60000</v>
      </c>
      <c r="V152">
        <v>3</v>
      </c>
      <c r="W152" t="s">
        <v>27</v>
      </c>
      <c r="X152" t="s">
        <v>21</v>
      </c>
      <c r="Y152" t="s">
        <v>15</v>
      </c>
      <c r="Z152">
        <v>2</v>
      </c>
      <c r="AA152" t="s">
        <v>42</v>
      </c>
      <c r="AB152" t="s">
        <v>31</v>
      </c>
      <c r="AC152">
        <v>54</v>
      </c>
      <c r="AD152" t="s">
        <v>44</v>
      </c>
      <c r="AG152">
        <v>22046</v>
      </c>
      <c r="AH152" t="s">
        <v>37</v>
      </c>
      <c r="AI152" s="4">
        <v>80000</v>
      </c>
      <c r="AJ152">
        <v>0</v>
      </c>
      <c r="AK152" t="s">
        <v>13</v>
      </c>
      <c r="AL152" t="s">
        <v>18</v>
      </c>
      <c r="AM152">
        <v>38</v>
      </c>
      <c r="AN152" t="s">
        <v>44</v>
      </c>
      <c r="BL152">
        <v>24871</v>
      </c>
      <c r="BM152" t="s">
        <v>36</v>
      </c>
      <c r="BN152" t="s">
        <v>37</v>
      </c>
      <c r="BO152" s="4">
        <v>90000</v>
      </c>
      <c r="BP152" s="4">
        <v>90000</v>
      </c>
      <c r="BQ152">
        <v>4</v>
      </c>
      <c r="BR152" t="s">
        <v>28</v>
      </c>
      <c r="BS152" t="s">
        <v>18</v>
      </c>
      <c r="BT152">
        <v>56</v>
      </c>
      <c r="CB152">
        <v>20361</v>
      </c>
      <c r="CC152" t="s">
        <v>35</v>
      </c>
      <c r="CD152" t="s">
        <v>38</v>
      </c>
      <c r="CE152" s="4">
        <v>50000</v>
      </c>
      <c r="CF152">
        <v>2</v>
      </c>
      <c r="CG152" t="s">
        <v>28</v>
      </c>
      <c r="CH152" t="s">
        <v>15</v>
      </c>
      <c r="CI152">
        <v>69</v>
      </c>
      <c r="CK152">
        <v>20361</v>
      </c>
      <c r="CL152" t="s">
        <v>35</v>
      </c>
      <c r="CM152" t="s">
        <v>38</v>
      </c>
      <c r="CN152" s="4">
        <v>50000</v>
      </c>
      <c r="CO152">
        <v>2</v>
      </c>
      <c r="CP152" t="s">
        <v>28</v>
      </c>
      <c r="CQ152" t="s">
        <v>15</v>
      </c>
      <c r="CR152">
        <v>69</v>
      </c>
      <c r="CS152">
        <v>2</v>
      </c>
    </row>
    <row r="153" spans="1:97" x14ac:dyDescent="0.25">
      <c r="A153">
        <v>11255</v>
      </c>
      <c r="B153" t="s">
        <v>35</v>
      </c>
      <c r="C153" t="s">
        <v>38</v>
      </c>
      <c r="D153" s="11">
        <v>70000</v>
      </c>
      <c r="E153">
        <v>4</v>
      </c>
      <c r="F153" t="s">
        <v>30</v>
      </c>
      <c r="G153" t="s">
        <v>28</v>
      </c>
      <c r="H153" t="s">
        <v>15</v>
      </c>
      <c r="I153">
        <v>2</v>
      </c>
      <c r="J153" t="s">
        <v>23</v>
      </c>
      <c r="K153" t="s">
        <v>31</v>
      </c>
      <c r="L153">
        <v>73</v>
      </c>
      <c r="M153" t="str">
        <f t="shared" si="2"/>
        <v>Old</v>
      </c>
      <c r="N153" t="s">
        <v>18</v>
      </c>
      <c r="R153">
        <v>12121</v>
      </c>
      <c r="S153" t="s">
        <v>36</v>
      </c>
      <c r="T153" t="s">
        <v>38</v>
      </c>
      <c r="U153" s="4">
        <v>60000</v>
      </c>
      <c r="V153">
        <v>3</v>
      </c>
      <c r="W153" t="s">
        <v>27</v>
      </c>
      <c r="X153" t="s">
        <v>21</v>
      </c>
      <c r="Y153" t="s">
        <v>15</v>
      </c>
      <c r="Z153">
        <v>2</v>
      </c>
      <c r="AA153" t="s">
        <v>42</v>
      </c>
      <c r="AB153" t="s">
        <v>31</v>
      </c>
      <c r="AC153">
        <v>53</v>
      </c>
      <c r="AD153" t="s">
        <v>44</v>
      </c>
      <c r="AG153">
        <v>21554</v>
      </c>
      <c r="AH153" t="s">
        <v>37</v>
      </c>
      <c r="AI153" s="4">
        <v>80000</v>
      </c>
      <c r="AJ153">
        <v>0</v>
      </c>
      <c r="AK153" t="s">
        <v>13</v>
      </c>
      <c r="AL153" t="s">
        <v>18</v>
      </c>
      <c r="AM153">
        <v>33</v>
      </c>
      <c r="AN153" t="s">
        <v>44</v>
      </c>
      <c r="BL153">
        <v>24416</v>
      </c>
      <c r="BM153" t="s">
        <v>35</v>
      </c>
      <c r="BN153" t="s">
        <v>38</v>
      </c>
      <c r="BO153" s="4">
        <v>90000</v>
      </c>
      <c r="BP153" s="4">
        <v>90000</v>
      </c>
      <c r="BQ153">
        <v>4</v>
      </c>
      <c r="BR153" t="s">
        <v>21</v>
      </c>
      <c r="BS153" t="s">
        <v>15</v>
      </c>
      <c r="BT153">
        <v>45</v>
      </c>
      <c r="CB153">
        <v>28052</v>
      </c>
      <c r="CC153" t="s">
        <v>35</v>
      </c>
      <c r="CD153" t="s">
        <v>38</v>
      </c>
      <c r="CE153" s="4">
        <v>60000</v>
      </c>
      <c r="CF153">
        <v>2</v>
      </c>
      <c r="CG153" t="s">
        <v>21</v>
      </c>
      <c r="CH153" t="s">
        <v>15</v>
      </c>
      <c r="CI153">
        <v>55</v>
      </c>
      <c r="CK153">
        <v>28052</v>
      </c>
      <c r="CL153" t="s">
        <v>35</v>
      </c>
      <c r="CM153" t="s">
        <v>38</v>
      </c>
      <c r="CN153" s="4">
        <v>60000</v>
      </c>
      <c r="CO153">
        <v>2</v>
      </c>
      <c r="CP153" t="s">
        <v>21</v>
      </c>
      <c r="CQ153" t="s">
        <v>15</v>
      </c>
      <c r="CR153">
        <v>55</v>
      </c>
      <c r="CS153">
        <v>2</v>
      </c>
    </row>
    <row r="154" spans="1:97" x14ac:dyDescent="0.25">
      <c r="A154">
        <v>11233</v>
      </c>
      <c r="B154" t="s">
        <v>35</v>
      </c>
      <c r="C154" t="s">
        <v>38</v>
      </c>
      <c r="D154" s="11">
        <v>70000</v>
      </c>
      <c r="E154">
        <v>4</v>
      </c>
      <c r="F154" t="s">
        <v>19</v>
      </c>
      <c r="G154" t="s">
        <v>21</v>
      </c>
      <c r="H154" t="s">
        <v>15</v>
      </c>
      <c r="I154">
        <v>2</v>
      </c>
      <c r="J154" t="s">
        <v>42</v>
      </c>
      <c r="K154" t="s">
        <v>31</v>
      </c>
      <c r="L154">
        <v>53</v>
      </c>
      <c r="M154" t="str">
        <f t="shared" si="2"/>
        <v>MIddleAge</v>
      </c>
      <c r="N154" t="s">
        <v>18</v>
      </c>
      <c r="R154">
        <v>26693</v>
      </c>
      <c r="S154" t="s">
        <v>35</v>
      </c>
      <c r="T154" t="s">
        <v>38</v>
      </c>
      <c r="U154" s="4">
        <v>70000</v>
      </c>
      <c r="V154">
        <v>3</v>
      </c>
      <c r="W154" t="s">
        <v>19</v>
      </c>
      <c r="X154" t="s">
        <v>21</v>
      </c>
      <c r="Y154" t="s">
        <v>15</v>
      </c>
      <c r="Z154">
        <v>1</v>
      </c>
      <c r="AA154" t="s">
        <v>23</v>
      </c>
      <c r="AB154" t="s">
        <v>31</v>
      </c>
      <c r="AC154">
        <v>49</v>
      </c>
      <c r="AD154" t="s">
        <v>44</v>
      </c>
      <c r="AG154">
        <v>17238</v>
      </c>
      <c r="AH154" t="s">
        <v>38</v>
      </c>
      <c r="AI154" s="4">
        <v>80000</v>
      </c>
      <c r="AJ154">
        <v>0</v>
      </c>
      <c r="AK154" t="s">
        <v>13</v>
      </c>
      <c r="AL154" t="s">
        <v>15</v>
      </c>
      <c r="AM154">
        <v>32</v>
      </c>
      <c r="AN154" t="s">
        <v>44</v>
      </c>
      <c r="BL154">
        <v>22930</v>
      </c>
      <c r="BM154" t="s">
        <v>35</v>
      </c>
      <c r="BN154" t="s">
        <v>38</v>
      </c>
      <c r="BO154" s="4">
        <v>90000</v>
      </c>
      <c r="BP154" s="4">
        <v>90000</v>
      </c>
      <c r="BQ154">
        <v>4</v>
      </c>
      <c r="BR154" t="s">
        <v>21</v>
      </c>
      <c r="BS154" t="s">
        <v>15</v>
      </c>
      <c r="BT154">
        <v>38</v>
      </c>
      <c r="CB154">
        <v>25886</v>
      </c>
      <c r="CC154" t="s">
        <v>35</v>
      </c>
      <c r="CD154" t="s">
        <v>37</v>
      </c>
      <c r="CE154" s="4">
        <v>60000</v>
      </c>
      <c r="CF154">
        <v>2</v>
      </c>
      <c r="CG154" t="s">
        <v>21</v>
      </c>
      <c r="CH154" t="s">
        <v>15</v>
      </c>
      <c r="CI154">
        <v>56</v>
      </c>
      <c r="CK154">
        <v>25886</v>
      </c>
      <c r="CL154" t="s">
        <v>35</v>
      </c>
      <c r="CM154" t="s">
        <v>37</v>
      </c>
      <c r="CN154" s="4">
        <v>60000</v>
      </c>
      <c r="CO154">
        <v>2</v>
      </c>
      <c r="CP154" t="s">
        <v>21</v>
      </c>
      <c r="CQ154" t="s">
        <v>15</v>
      </c>
      <c r="CR154">
        <v>56</v>
      </c>
      <c r="CS154">
        <v>2</v>
      </c>
    </row>
    <row r="155" spans="1:97" x14ac:dyDescent="0.25">
      <c r="A155">
        <v>11200</v>
      </c>
      <c r="B155" t="s">
        <v>35</v>
      </c>
      <c r="C155" t="s">
        <v>38</v>
      </c>
      <c r="D155" s="11">
        <v>70000</v>
      </c>
      <c r="E155">
        <v>4</v>
      </c>
      <c r="F155" t="s">
        <v>13</v>
      </c>
      <c r="G155" t="s">
        <v>28</v>
      </c>
      <c r="H155" t="s">
        <v>15</v>
      </c>
      <c r="I155">
        <v>1</v>
      </c>
      <c r="J155" t="s">
        <v>26</v>
      </c>
      <c r="K155" t="s">
        <v>31</v>
      </c>
      <c r="L155">
        <v>58</v>
      </c>
      <c r="M155" t="str">
        <f t="shared" si="2"/>
        <v>Old</v>
      </c>
      <c r="N155" t="s">
        <v>18</v>
      </c>
      <c r="R155">
        <v>20659</v>
      </c>
      <c r="S155" t="s">
        <v>35</v>
      </c>
      <c r="T155" t="s">
        <v>38</v>
      </c>
      <c r="U155" s="4">
        <v>70000</v>
      </c>
      <c r="V155">
        <v>3</v>
      </c>
      <c r="W155" t="s">
        <v>30</v>
      </c>
      <c r="X155" t="s">
        <v>21</v>
      </c>
      <c r="Y155" t="s">
        <v>15</v>
      </c>
      <c r="Z155">
        <v>0</v>
      </c>
      <c r="AA155" t="s">
        <v>16</v>
      </c>
      <c r="AB155" t="s">
        <v>31</v>
      </c>
      <c r="AC155">
        <v>35</v>
      </c>
      <c r="AD155" t="s">
        <v>44</v>
      </c>
      <c r="AG155">
        <v>17230</v>
      </c>
      <c r="AH155" t="s">
        <v>38</v>
      </c>
      <c r="AI155" s="4">
        <v>80000</v>
      </c>
      <c r="AJ155">
        <v>0</v>
      </c>
      <c r="AK155" t="s">
        <v>13</v>
      </c>
      <c r="AL155" t="s">
        <v>15</v>
      </c>
      <c r="AM155">
        <v>30</v>
      </c>
      <c r="AN155" t="s">
        <v>43</v>
      </c>
      <c r="BL155">
        <v>22050</v>
      </c>
      <c r="BM155" t="s">
        <v>36</v>
      </c>
      <c r="BN155" t="s">
        <v>38</v>
      </c>
      <c r="BO155" s="4">
        <v>90000</v>
      </c>
      <c r="BP155" s="4">
        <v>90000</v>
      </c>
      <c r="BQ155">
        <v>4</v>
      </c>
      <c r="BR155" t="s">
        <v>28</v>
      </c>
      <c r="BS155" t="s">
        <v>15</v>
      </c>
      <c r="BT155">
        <v>38</v>
      </c>
      <c r="CB155">
        <v>25148</v>
      </c>
      <c r="CC155" t="s">
        <v>35</v>
      </c>
      <c r="CD155" t="s">
        <v>38</v>
      </c>
      <c r="CE155" s="4">
        <v>60000</v>
      </c>
      <c r="CF155">
        <v>2</v>
      </c>
      <c r="CG155" t="s">
        <v>21</v>
      </c>
      <c r="CH155" t="s">
        <v>18</v>
      </c>
      <c r="CI155">
        <v>48</v>
      </c>
      <c r="CK155">
        <v>25148</v>
      </c>
      <c r="CL155" t="s">
        <v>35</v>
      </c>
      <c r="CM155" t="s">
        <v>38</v>
      </c>
      <c r="CN155" s="4">
        <v>60000</v>
      </c>
      <c r="CO155">
        <v>2</v>
      </c>
      <c r="CP155" t="s">
        <v>21</v>
      </c>
      <c r="CQ155" t="s">
        <v>18</v>
      </c>
      <c r="CR155">
        <v>48</v>
      </c>
      <c r="CS155">
        <v>2</v>
      </c>
    </row>
    <row r="156" spans="1:97" x14ac:dyDescent="0.25">
      <c r="A156">
        <v>11199</v>
      </c>
      <c r="B156" t="s">
        <v>35</v>
      </c>
      <c r="C156" t="s">
        <v>37</v>
      </c>
      <c r="D156" s="11">
        <v>70000</v>
      </c>
      <c r="E156">
        <v>4</v>
      </c>
      <c r="F156" t="s">
        <v>13</v>
      </c>
      <c r="G156" t="s">
        <v>28</v>
      </c>
      <c r="H156" t="s">
        <v>15</v>
      </c>
      <c r="I156">
        <v>1</v>
      </c>
      <c r="J156" t="s">
        <v>42</v>
      </c>
      <c r="K156" t="s">
        <v>31</v>
      </c>
      <c r="L156">
        <v>59</v>
      </c>
      <c r="M156" t="str">
        <f t="shared" si="2"/>
        <v>Old</v>
      </c>
      <c r="N156" t="s">
        <v>18</v>
      </c>
      <c r="R156">
        <v>20370</v>
      </c>
      <c r="S156" t="s">
        <v>35</v>
      </c>
      <c r="T156" t="s">
        <v>38</v>
      </c>
      <c r="U156" s="4">
        <v>70000</v>
      </c>
      <c r="V156">
        <v>3</v>
      </c>
      <c r="W156" t="s">
        <v>29</v>
      </c>
      <c r="X156" t="s">
        <v>14</v>
      </c>
      <c r="Y156" t="s">
        <v>15</v>
      </c>
      <c r="Z156">
        <v>2</v>
      </c>
      <c r="AA156" t="s">
        <v>23</v>
      </c>
      <c r="AB156" t="s">
        <v>31</v>
      </c>
      <c r="AC156">
        <v>52</v>
      </c>
      <c r="AD156" t="s">
        <v>44</v>
      </c>
      <c r="AG156">
        <v>12344</v>
      </c>
      <c r="AH156" t="s">
        <v>37</v>
      </c>
      <c r="AI156" s="4">
        <v>80000</v>
      </c>
      <c r="AJ156">
        <v>0</v>
      </c>
      <c r="AK156" t="s">
        <v>13</v>
      </c>
      <c r="AL156" t="s">
        <v>18</v>
      </c>
      <c r="AM156">
        <v>31</v>
      </c>
      <c r="AN156" t="s">
        <v>44</v>
      </c>
      <c r="BL156">
        <v>20343</v>
      </c>
      <c r="BM156" t="s">
        <v>35</v>
      </c>
      <c r="BN156" t="s">
        <v>37</v>
      </c>
      <c r="BO156" s="4">
        <v>90000</v>
      </c>
      <c r="BP156" s="4">
        <v>90000</v>
      </c>
      <c r="BQ156">
        <v>4</v>
      </c>
      <c r="BR156" t="s">
        <v>21</v>
      </c>
      <c r="BS156" t="s">
        <v>15</v>
      </c>
      <c r="BT156">
        <v>45</v>
      </c>
      <c r="CB156">
        <v>24981</v>
      </c>
      <c r="CC156" t="s">
        <v>35</v>
      </c>
      <c r="CD156" t="s">
        <v>38</v>
      </c>
      <c r="CE156" s="4">
        <v>60000</v>
      </c>
      <c r="CF156">
        <v>2</v>
      </c>
      <c r="CG156" t="s">
        <v>21</v>
      </c>
      <c r="CH156" t="s">
        <v>15</v>
      </c>
      <c r="CI156">
        <v>56</v>
      </c>
      <c r="CK156">
        <v>24981</v>
      </c>
      <c r="CL156" t="s">
        <v>35</v>
      </c>
      <c r="CM156" t="s">
        <v>38</v>
      </c>
      <c r="CN156" s="4">
        <v>60000</v>
      </c>
      <c r="CO156">
        <v>2</v>
      </c>
      <c r="CP156" t="s">
        <v>21</v>
      </c>
      <c r="CQ156" t="s">
        <v>15</v>
      </c>
      <c r="CR156">
        <v>56</v>
      </c>
      <c r="CS156">
        <v>2</v>
      </c>
    </row>
    <row r="157" spans="1:97" x14ac:dyDescent="0.25">
      <c r="A157">
        <v>29231</v>
      </c>
      <c r="B157" t="s">
        <v>36</v>
      </c>
      <c r="C157" t="s">
        <v>38</v>
      </c>
      <c r="D157" s="11">
        <v>80000</v>
      </c>
      <c r="E157">
        <v>4</v>
      </c>
      <c r="F157" t="s">
        <v>19</v>
      </c>
      <c r="G157" t="s">
        <v>21</v>
      </c>
      <c r="H157" t="s">
        <v>18</v>
      </c>
      <c r="I157">
        <v>2</v>
      </c>
      <c r="J157" t="s">
        <v>16</v>
      </c>
      <c r="K157" t="s">
        <v>31</v>
      </c>
      <c r="L157">
        <v>43</v>
      </c>
      <c r="M157" t="str">
        <f t="shared" si="2"/>
        <v>MIddleAge</v>
      </c>
      <c r="N157" t="s">
        <v>18</v>
      </c>
      <c r="R157">
        <v>17462</v>
      </c>
      <c r="S157" t="s">
        <v>35</v>
      </c>
      <c r="T157" t="s">
        <v>38</v>
      </c>
      <c r="U157" s="4">
        <v>70000</v>
      </c>
      <c r="V157">
        <v>3</v>
      </c>
      <c r="W157" t="s">
        <v>30</v>
      </c>
      <c r="X157" t="s">
        <v>28</v>
      </c>
      <c r="Y157" t="s">
        <v>15</v>
      </c>
      <c r="Z157">
        <v>2</v>
      </c>
      <c r="AA157" t="s">
        <v>23</v>
      </c>
      <c r="AB157" t="s">
        <v>31</v>
      </c>
      <c r="AC157">
        <v>53</v>
      </c>
      <c r="AD157" t="s">
        <v>44</v>
      </c>
      <c r="AG157">
        <v>12697</v>
      </c>
      <c r="AH157" t="s">
        <v>37</v>
      </c>
      <c r="AI157" s="4">
        <v>90000</v>
      </c>
      <c r="AJ157">
        <v>0</v>
      </c>
      <c r="AK157" t="s">
        <v>13</v>
      </c>
      <c r="AL157" t="s">
        <v>18</v>
      </c>
      <c r="AM157">
        <v>36</v>
      </c>
      <c r="AN157" t="s">
        <v>44</v>
      </c>
      <c r="BL157">
        <v>19661</v>
      </c>
      <c r="BM157" t="s">
        <v>36</v>
      </c>
      <c r="BN157" t="s">
        <v>38</v>
      </c>
      <c r="BO157" s="4">
        <v>90000</v>
      </c>
      <c r="BP157" s="4">
        <v>90000</v>
      </c>
      <c r="BQ157">
        <v>4</v>
      </c>
      <c r="BR157" t="s">
        <v>28</v>
      </c>
      <c r="BS157" t="s">
        <v>15</v>
      </c>
      <c r="BT157">
        <v>38</v>
      </c>
      <c r="CB157">
        <v>24979</v>
      </c>
      <c r="CC157" t="s">
        <v>35</v>
      </c>
      <c r="CD157" t="s">
        <v>37</v>
      </c>
      <c r="CE157" s="4">
        <v>60000</v>
      </c>
      <c r="CF157">
        <v>2</v>
      </c>
      <c r="CG157" t="s">
        <v>21</v>
      </c>
      <c r="CH157" t="s">
        <v>15</v>
      </c>
      <c r="CI157">
        <v>57</v>
      </c>
      <c r="CK157">
        <v>24979</v>
      </c>
      <c r="CL157" t="s">
        <v>35</v>
      </c>
      <c r="CM157" t="s">
        <v>37</v>
      </c>
      <c r="CN157" s="4">
        <v>60000</v>
      </c>
      <c r="CO157">
        <v>2</v>
      </c>
      <c r="CP157" t="s">
        <v>21</v>
      </c>
      <c r="CQ157" t="s">
        <v>15</v>
      </c>
      <c r="CR157">
        <v>57</v>
      </c>
      <c r="CS157">
        <v>2</v>
      </c>
    </row>
    <row r="158" spans="1:97" x14ac:dyDescent="0.25">
      <c r="A158">
        <v>28906</v>
      </c>
      <c r="B158" t="s">
        <v>35</v>
      </c>
      <c r="C158" t="s">
        <v>38</v>
      </c>
      <c r="D158" s="11">
        <v>80000</v>
      </c>
      <c r="E158">
        <v>4</v>
      </c>
      <c r="F158" t="s">
        <v>27</v>
      </c>
      <c r="G158" t="s">
        <v>21</v>
      </c>
      <c r="H158" t="s">
        <v>15</v>
      </c>
      <c r="I158">
        <v>2</v>
      </c>
      <c r="J158" t="s">
        <v>42</v>
      </c>
      <c r="K158" t="s">
        <v>17</v>
      </c>
      <c r="L158">
        <v>54</v>
      </c>
      <c r="M158" t="str">
        <f t="shared" si="2"/>
        <v>MIddleAge</v>
      </c>
      <c r="N158" t="s">
        <v>18</v>
      </c>
      <c r="R158">
        <v>17458</v>
      </c>
      <c r="S158" t="s">
        <v>36</v>
      </c>
      <c r="T158" t="s">
        <v>38</v>
      </c>
      <c r="U158" s="4">
        <v>70000</v>
      </c>
      <c r="V158">
        <v>3</v>
      </c>
      <c r="W158" t="s">
        <v>27</v>
      </c>
      <c r="X158" t="s">
        <v>21</v>
      </c>
      <c r="Y158" t="s">
        <v>15</v>
      </c>
      <c r="Z158">
        <v>0</v>
      </c>
      <c r="AA158" t="s">
        <v>23</v>
      </c>
      <c r="AB158" t="s">
        <v>31</v>
      </c>
      <c r="AC158">
        <v>52</v>
      </c>
      <c r="AD158" t="s">
        <v>44</v>
      </c>
      <c r="AG158">
        <v>18283</v>
      </c>
      <c r="AH158" t="s">
        <v>37</v>
      </c>
      <c r="AI158" s="4">
        <v>100000</v>
      </c>
      <c r="AJ158">
        <v>0</v>
      </c>
      <c r="AK158" t="s">
        <v>13</v>
      </c>
      <c r="AL158" t="s">
        <v>18</v>
      </c>
      <c r="AM158">
        <v>40</v>
      </c>
      <c r="AN158" t="s">
        <v>44</v>
      </c>
      <c r="BL158">
        <v>14432</v>
      </c>
      <c r="BM158" t="s">
        <v>36</v>
      </c>
      <c r="BN158" t="s">
        <v>38</v>
      </c>
      <c r="BO158" s="4">
        <v>90000</v>
      </c>
      <c r="BP158" s="4">
        <v>90000</v>
      </c>
      <c r="BQ158">
        <v>4</v>
      </c>
      <c r="BR158" t="s">
        <v>28</v>
      </c>
      <c r="BS158" t="s">
        <v>15</v>
      </c>
      <c r="BT158">
        <v>73</v>
      </c>
      <c r="CB158">
        <v>23731</v>
      </c>
      <c r="CC158" t="s">
        <v>35</v>
      </c>
      <c r="CD158" t="s">
        <v>38</v>
      </c>
      <c r="CE158" s="4">
        <v>60000</v>
      </c>
      <c r="CF158" s="1">
        <v>2</v>
      </c>
      <c r="CG158" t="s">
        <v>21</v>
      </c>
      <c r="CH158" t="s">
        <v>15</v>
      </c>
      <c r="CI158">
        <v>54</v>
      </c>
      <c r="CK158">
        <v>23731</v>
      </c>
      <c r="CL158" t="s">
        <v>35</v>
      </c>
      <c r="CM158" t="s">
        <v>38</v>
      </c>
      <c r="CN158" s="4">
        <v>60000</v>
      </c>
      <c r="CO158" s="1">
        <v>2</v>
      </c>
      <c r="CP158" t="s">
        <v>21</v>
      </c>
      <c r="CQ158" t="s">
        <v>15</v>
      </c>
      <c r="CR158">
        <v>54</v>
      </c>
      <c r="CS158">
        <v>2</v>
      </c>
    </row>
    <row r="159" spans="1:97" x14ac:dyDescent="0.25">
      <c r="A159">
        <v>28207</v>
      </c>
      <c r="B159" t="s">
        <v>35</v>
      </c>
      <c r="C159" t="s">
        <v>38</v>
      </c>
      <c r="D159" s="11">
        <v>80000</v>
      </c>
      <c r="E159">
        <v>4</v>
      </c>
      <c r="F159" t="s">
        <v>30</v>
      </c>
      <c r="G159" t="s">
        <v>28</v>
      </c>
      <c r="H159" t="s">
        <v>15</v>
      </c>
      <c r="I159">
        <v>1</v>
      </c>
      <c r="J159" t="s">
        <v>16</v>
      </c>
      <c r="K159" t="s">
        <v>24</v>
      </c>
      <c r="L159">
        <v>36</v>
      </c>
      <c r="M159" t="str">
        <f t="shared" si="2"/>
        <v>MIddleAge</v>
      </c>
      <c r="N159" t="s">
        <v>15</v>
      </c>
      <c r="R159">
        <v>14493</v>
      </c>
      <c r="S159" t="s">
        <v>36</v>
      </c>
      <c r="T159" t="s">
        <v>37</v>
      </c>
      <c r="U159" s="4">
        <v>70000</v>
      </c>
      <c r="V159">
        <v>3</v>
      </c>
      <c r="W159" t="s">
        <v>30</v>
      </c>
      <c r="X159" t="s">
        <v>28</v>
      </c>
      <c r="Y159" t="s">
        <v>18</v>
      </c>
      <c r="Z159">
        <v>2</v>
      </c>
      <c r="AA159" t="s">
        <v>26</v>
      </c>
      <c r="AB159" t="s">
        <v>31</v>
      </c>
      <c r="AC159">
        <v>53</v>
      </c>
      <c r="AD159" t="s">
        <v>44</v>
      </c>
      <c r="AG159">
        <v>12705</v>
      </c>
      <c r="AH159" t="s">
        <v>38</v>
      </c>
      <c r="AI159" s="4">
        <v>150000</v>
      </c>
      <c r="AJ159">
        <v>0</v>
      </c>
      <c r="AK159" t="s">
        <v>13</v>
      </c>
      <c r="AL159" t="s">
        <v>15</v>
      </c>
      <c r="AM159">
        <v>37</v>
      </c>
      <c r="AN159" t="s">
        <v>44</v>
      </c>
      <c r="BL159">
        <v>14192</v>
      </c>
      <c r="BM159" t="s">
        <v>35</v>
      </c>
      <c r="BN159" t="s">
        <v>38</v>
      </c>
      <c r="BO159" s="4">
        <v>90000</v>
      </c>
      <c r="BP159" s="4">
        <v>90000</v>
      </c>
      <c r="BQ159">
        <v>4</v>
      </c>
      <c r="BR159" t="s">
        <v>28</v>
      </c>
      <c r="BS159" t="s">
        <v>15</v>
      </c>
      <c r="BT159">
        <v>56</v>
      </c>
      <c r="CB159">
        <v>23459</v>
      </c>
      <c r="CC159" t="s">
        <v>35</v>
      </c>
      <c r="CD159" t="s">
        <v>38</v>
      </c>
      <c r="CE159" s="4">
        <v>60000</v>
      </c>
      <c r="CF159">
        <v>2</v>
      </c>
      <c r="CG159" t="s">
        <v>21</v>
      </c>
      <c r="CH159" t="s">
        <v>15</v>
      </c>
      <c r="CI159">
        <v>50</v>
      </c>
      <c r="CK159">
        <v>23459</v>
      </c>
      <c r="CL159" t="s">
        <v>35</v>
      </c>
      <c r="CM159" t="s">
        <v>38</v>
      </c>
      <c r="CN159" s="4">
        <v>60000</v>
      </c>
      <c r="CO159">
        <v>2</v>
      </c>
      <c r="CP159" t="s">
        <v>21</v>
      </c>
      <c r="CQ159" t="s">
        <v>15</v>
      </c>
      <c r="CR159">
        <v>50</v>
      </c>
      <c r="CS159">
        <v>2</v>
      </c>
    </row>
    <row r="160" spans="1:97" x14ac:dyDescent="0.25">
      <c r="A160">
        <v>27951</v>
      </c>
      <c r="B160" t="s">
        <v>36</v>
      </c>
      <c r="C160" t="s">
        <v>38</v>
      </c>
      <c r="D160" s="11">
        <v>80000</v>
      </c>
      <c r="E160">
        <v>4</v>
      </c>
      <c r="F160" t="s">
        <v>19</v>
      </c>
      <c r="G160" t="s">
        <v>21</v>
      </c>
      <c r="H160" t="s">
        <v>18</v>
      </c>
      <c r="I160">
        <v>2</v>
      </c>
      <c r="J160" t="s">
        <v>22</v>
      </c>
      <c r="K160" t="s">
        <v>17</v>
      </c>
      <c r="L160">
        <v>54</v>
      </c>
      <c r="M160" t="str">
        <f t="shared" si="2"/>
        <v>MIddleAge</v>
      </c>
      <c r="N160" t="s">
        <v>15</v>
      </c>
      <c r="R160">
        <v>13873</v>
      </c>
      <c r="S160" t="s">
        <v>35</v>
      </c>
      <c r="T160" t="s">
        <v>38</v>
      </c>
      <c r="U160" s="4">
        <v>70000</v>
      </c>
      <c r="V160">
        <v>3</v>
      </c>
      <c r="W160" t="s">
        <v>30</v>
      </c>
      <c r="X160" t="s">
        <v>21</v>
      </c>
      <c r="Y160" t="s">
        <v>15</v>
      </c>
      <c r="Z160">
        <v>0</v>
      </c>
      <c r="AA160" t="s">
        <v>16</v>
      </c>
      <c r="AB160" t="s">
        <v>31</v>
      </c>
      <c r="AC160">
        <v>35</v>
      </c>
      <c r="AD160" t="s">
        <v>44</v>
      </c>
      <c r="BL160">
        <v>14189</v>
      </c>
      <c r="BM160" t="s">
        <v>35</v>
      </c>
      <c r="BN160" t="s">
        <v>37</v>
      </c>
      <c r="BO160" s="4">
        <v>90000</v>
      </c>
      <c r="BP160" s="4">
        <v>90000</v>
      </c>
      <c r="BQ160">
        <v>4</v>
      </c>
      <c r="BR160" t="s">
        <v>21</v>
      </c>
      <c r="BS160" t="s">
        <v>18</v>
      </c>
      <c r="BT160">
        <v>54</v>
      </c>
      <c r="CB160">
        <v>23449</v>
      </c>
      <c r="CC160" t="s">
        <v>35</v>
      </c>
      <c r="CD160" t="s">
        <v>38</v>
      </c>
      <c r="CE160" s="4">
        <v>60000</v>
      </c>
      <c r="CF160">
        <v>2</v>
      </c>
      <c r="CG160" t="s">
        <v>21</v>
      </c>
      <c r="CH160" t="s">
        <v>15</v>
      </c>
      <c r="CI160">
        <v>48</v>
      </c>
      <c r="CK160">
        <v>23449</v>
      </c>
      <c r="CL160" t="s">
        <v>35</v>
      </c>
      <c r="CM160" t="s">
        <v>38</v>
      </c>
      <c r="CN160" s="4">
        <v>60000</v>
      </c>
      <c r="CO160">
        <v>2</v>
      </c>
      <c r="CP160" t="s">
        <v>21</v>
      </c>
      <c r="CQ160" t="s">
        <v>15</v>
      </c>
      <c r="CR160">
        <v>48</v>
      </c>
      <c r="CS160">
        <v>2</v>
      </c>
    </row>
    <row r="161" spans="1:97" x14ac:dyDescent="0.25">
      <c r="A161">
        <v>27941</v>
      </c>
      <c r="B161" t="s">
        <v>35</v>
      </c>
      <c r="C161" t="s">
        <v>37</v>
      </c>
      <c r="D161" s="11">
        <v>80000</v>
      </c>
      <c r="E161">
        <v>4</v>
      </c>
      <c r="F161" t="s">
        <v>19</v>
      </c>
      <c r="G161" t="s">
        <v>21</v>
      </c>
      <c r="H161" t="s">
        <v>15</v>
      </c>
      <c r="I161">
        <v>2</v>
      </c>
      <c r="J161" t="s">
        <v>22</v>
      </c>
      <c r="K161" t="s">
        <v>17</v>
      </c>
      <c r="L161">
        <v>53</v>
      </c>
      <c r="M161" t="str">
        <f t="shared" si="2"/>
        <v>MIddleAge</v>
      </c>
      <c r="N161" t="s">
        <v>18</v>
      </c>
      <c r="R161">
        <v>11807</v>
      </c>
      <c r="S161" t="s">
        <v>35</v>
      </c>
      <c r="T161" t="s">
        <v>38</v>
      </c>
      <c r="U161" s="4">
        <v>70000</v>
      </c>
      <c r="V161">
        <v>3</v>
      </c>
      <c r="W161" t="s">
        <v>30</v>
      </c>
      <c r="X161" t="s">
        <v>21</v>
      </c>
      <c r="Y161" t="s">
        <v>15</v>
      </c>
      <c r="Z161">
        <v>0</v>
      </c>
      <c r="AA161" t="s">
        <v>22</v>
      </c>
      <c r="AB161" t="s">
        <v>31</v>
      </c>
      <c r="AC161">
        <v>34</v>
      </c>
      <c r="AD161" t="s">
        <v>44</v>
      </c>
      <c r="BL161">
        <v>12332</v>
      </c>
      <c r="BM161" t="s">
        <v>35</v>
      </c>
      <c r="BN161" t="s">
        <v>38</v>
      </c>
      <c r="BO161" s="4">
        <v>90000</v>
      </c>
      <c r="BP161" s="4">
        <v>90000</v>
      </c>
      <c r="BQ161">
        <v>4</v>
      </c>
      <c r="BR161" t="s">
        <v>28</v>
      </c>
      <c r="BS161" t="s">
        <v>15</v>
      </c>
      <c r="BT161">
        <v>58</v>
      </c>
      <c r="CB161">
        <v>22227</v>
      </c>
      <c r="CC161" t="s">
        <v>35</v>
      </c>
      <c r="CD161" t="s">
        <v>37</v>
      </c>
      <c r="CE161" s="4">
        <v>60000</v>
      </c>
      <c r="CF161">
        <v>2</v>
      </c>
      <c r="CG161" t="s">
        <v>21</v>
      </c>
      <c r="CH161" t="s">
        <v>15</v>
      </c>
      <c r="CI161">
        <v>50</v>
      </c>
      <c r="CK161">
        <v>22227</v>
      </c>
      <c r="CL161" t="s">
        <v>35</v>
      </c>
      <c r="CM161" t="s">
        <v>37</v>
      </c>
      <c r="CN161" s="4">
        <v>60000</v>
      </c>
      <c r="CO161">
        <v>2</v>
      </c>
      <c r="CP161" t="s">
        <v>21</v>
      </c>
      <c r="CQ161" t="s">
        <v>15</v>
      </c>
      <c r="CR161">
        <v>50</v>
      </c>
      <c r="CS161">
        <v>2</v>
      </c>
    </row>
    <row r="162" spans="1:97" x14ac:dyDescent="0.25">
      <c r="A162">
        <v>27660</v>
      </c>
      <c r="B162" t="s">
        <v>35</v>
      </c>
      <c r="C162" t="s">
        <v>38</v>
      </c>
      <c r="D162" s="11">
        <v>80000</v>
      </c>
      <c r="E162">
        <v>4</v>
      </c>
      <c r="F162" t="s">
        <v>30</v>
      </c>
      <c r="G162" t="s">
        <v>28</v>
      </c>
      <c r="H162" t="s">
        <v>15</v>
      </c>
      <c r="I162">
        <v>2</v>
      </c>
      <c r="J162" t="s">
        <v>23</v>
      </c>
      <c r="K162" t="s">
        <v>31</v>
      </c>
      <c r="L162">
        <v>70</v>
      </c>
      <c r="M162" t="str">
        <f t="shared" si="2"/>
        <v>Old</v>
      </c>
      <c r="N162" t="s">
        <v>18</v>
      </c>
      <c r="R162">
        <v>28858</v>
      </c>
      <c r="S162" t="s">
        <v>36</v>
      </c>
      <c r="T162" t="s">
        <v>38</v>
      </c>
      <c r="U162" s="4">
        <v>80000</v>
      </c>
      <c r="V162">
        <v>3</v>
      </c>
      <c r="W162" t="s">
        <v>13</v>
      </c>
      <c r="X162" t="s">
        <v>14</v>
      </c>
      <c r="Y162" t="s">
        <v>15</v>
      </c>
      <c r="Z162">
        <v>0</v>
      </c>
      <c r="AA162" t="s">
        <v>22</v>
      </c>
      <c r="AB162" t="s">
        <v>31</v>
      </c>
      <c r="AC162">
        <v>40</v>
      </c>
      <c r="AD162" t="s">
        <v>44</v>
      </c>
      <c r="BL162">
        <v>11303</v>
      </c>
      <c r="BM162" t="s">
        <v>36</v>
      </c>
      <c r="BN162" t="s">
        <v>37</v>
      </c>
      <c r="BO162" s="4">
        <v>90000</v>
      </c>
      <c r="BP162" s="4">
        <v>90000</v>
      </c>
      <c r="BQ162">
        <v>4</v>
      </c>
      <c r="BR162" t="s">
        <v>21</v>
      </c>
      <c r="BS162" t="s">
        <v>18</v>
      </c>
      <c r="BT162">
        <v>45</v>
      </c>
      <c r="CB162">
        <v>22221</v>
      </c>
      <c r="CC162" t="s">
        <v>35</v>
      </c>
      <c r="CD162" t="s">
        <v>38</v>
      </c>
      <c r="CE162" s="4">
        <v>60000</v>
      </c>
      <c r="CF162">
        <v>2</v>
      </c>
      <c r="CG162" t="s">
        <v>21</v>
      </c>
      <c r="CH162" t="s">
        <v>18</v>
      </c>
      <c r="CI162">
        <v>48</v>
      </c>
      <c r="CK162">
        <v>22221</v>
      </c>
      <c r="CL162" t="s">
        <v>35</v>
      </c>
      <c r="CM162" t="s">
        <v>38</v>
      </c>
      <c r="CN162" s="4">
        <v>60000</v>
      </c>
      <c r="CO162">
        <v>2</v>
      </c>
      <c r="CP162" t="s">
        <v>21</v>
      </c>
      <c r="CQ162" t="s">
        <v>18</v>
      </c>
      <c r="CR162">
        <v>48</v>
      </c>
      <c r="CS162">
        <v>2</v>
      </c>
    </row>
    <row r="163" spans="1:97" x14ac:dyDescent="0.25">
      <c r="A163">
        <v>26651</v>
      </c>
      <c r="B163" t="s">
        <v>36</v>
      </c>
      <c r="C163" t="s">
        <v>38</v>
      </c>
      <c r="D163" s="11">
        <v>80000</v>
      </c>
      <c r="E163">
        <v>4</v>
      </c>
      <c r="F163" t="s">
        <v>30</v>
      </c>
      <c r="G163" t="s">
        <v>28</v>
      </c>
      <c r="H163" t="s">
        <v>15</v>
      </c>
      <c r="I163">
        <v>0</v>
      </c>
      <c r="J163" t="s">
        <v>16</v>
      </c>
      <c r="K163" t="s">
        <v>24</v>
      </c>
      <c r="L163">
        <v>36</v>
      </c>
      <c r="M163" t="str">
        <f t="shared" si="2"/>
        <v>MIddleAge</v>
      </c>
      <c r="N163" t="s">
        <v>15</v>
      </c>
      <c r="R163">
        <v>28068</v>
      </c>
      <c r="S163" t="s">
        <v>36</v>
      </c>
      <c r="T163" t="s">
        <v>37</v>
      </c>
      <c r="U163" s="4">
        <v>80000</v>
      </c>
      <c r="V163">
        <v>3</v>
      </c>
      <c r="W163" t="s">
        <v>30</v>
      </c>
      <c r="X163" t="s">
        <v>21</v>
      </c>
      <c r="Y163" t="s">
        <v>18</v>
      </c>
      <c r="Z163">
        <v>0</v>
      </c>
      <c r="AA163" t="s">
        <v>16</v>
      </c>
      <c r="AB163" t="s">
        <v>31</v>
      </c>
      <c r="AC163">
        <v>36</v>
      </c>
      <c r="AD163" t="s">
        <v>44</v>
      </c>
      <c r="BL163">
        <v>18952</v>
      </c>
      <c r="BM163" t="s">
        <v>35</v>
      </c>
      <c r="BN163" t="s">
        <v>37</v>
      </c>
      <c r="BO163" s="4">
        <v>100000</v>
      </c>
      <c r="BP163" s="4">
        <v>100000</v>
      </c>
      <c r="BQ163">
        <v>4</v>
      </c>
      <c r="BR163" t="s">
        <v>28</v>
      </c>
      <c r="BS163" t="s">
        <v>15</v>
      </c>
      <c r="BT163">
        <v>40</v>
      </c>
      <c r="CB163">
        <v>22220</v>
      </c>
      <c r="CC163" t="s">
        <v>35</v>
      </c>
      <c r="CD163" t="s">
        <v>38</v>
      </c>
      <c r="CE163" s="4">
        <v>60000</v>
      </c>
      <c r="CF163">
        <v>2</v>
      </c>
      <c r="CG163" t="s">
        <v>21</v>
      </c>
      <c r="CH163" t="s">
        <v>18</v>
      </c>
      <c r="CI163">
        <v>49</v>
      </c>
      <c r="CK163">
        <v>22220</v>
      </c>
      <c r="CL163" t="s">
        <v>35</v>
      </c>
      <c r="CM163" t="s">
        <v>38</v>
      </c>
      <c r="CN163" s="4">
        <v>60000</v>
      </c>
      <c r="CO163">
        <v>2</v>
      </c>
      <c r="CP163" t="s">
        <v>21</v>
      </c>
      <c r="CQ163" t="s">
        <v>18</v>
      </c>
      <c r="CR163">
        <v>49</v>
      </c>
      <c r="CS163">
        <v>2</v>
      </c>
    </row>
    <row r="164" spans="1:97" x14ac:dyDescent="0.25">
      <c r="A164">
        <v>25293</v>
      </c>
      <c r="B164" t="s">
        <v>35</v>
      </c>
      <c r="C164" t="s">
        <v>38</v>
      </c>
      <c r="D164" s="11">
        <v>80000</v>
      </c>
      <c r="E164">
        <v>4</v>
      </c>
      <c r="F164" t="s">
        <v>13</v>
      </c>
      <c r="G164" t="s">
        <v>28</v>
      </c>
      <c r="H164" t="s">
        <v>15</v>
      </c>
      <c r="I164">
        <v>0</v>
      </c>
      <c r="J164" t="s">
        <v>26</v>
      </c>
      <c r="K164" t="s">
        <v>31</v>
      </c>
      <c r="L164">
        <v>42</v>
      </c>
      <c r="M164" t="str">
        <f t="shared" si="2"/>
        <v>MIddleAge</v>
      </c>
      <c r="N164" t="s">
        <v>18</v>
      </c>
      <c r="R164">
        <v>24357</v>
      </c>
      <c r="S164" t="s">
        <v>35</v>
      </c>
      <c r="T164" t="s">
        <v>38</v>
      </c>
      <c r="U164" s="4">
        <v>80000</v>
      </c>
      <c r="V164">
        <v>3</v>
      </c>
      <c r="W164" t="s">
        <v>13</v>
      </c>
      <c r="X164" t="s">
        <v>21</v>
      </c>
      <c r="Y164" t="s">
        <v>15</v>
      </c>
      <c r="Z164">
        <v>1</v>
      </c>
      <c r="AA164" t="s">
        <v>22</v>
      </c>
      <c r="AB164" t="s">
        <v>31</v>
      </c>
      <c r="AC164">
        <v>48</v>
      </c>
      <c r="AD164" t="s">
        <v>44</v>
      </c>
      <c r="BL164">
        <v>17324</v>
      </c>
      <c r="BM164" t="s">
        <v>35</v>
      </c>
      <c r="BN164" t="s">
        <v>37</v>
      </c>
      <c r="BO164" s="4">
        <v>100000</v>
      </c>
      <c r="BP164" s="4">
        <v>100000</v>
      </c>
      <c r="BQ164">
        <v>4</v>
      </c>
      <c r="BR164" t="s">
        <v>21</v>
      </c>
      <c r="BS164" t="s">
        <v>15</v>
      </c>
      <c r="BT164">
        <v>46</v>
      </c>
      <c r="CB164">
        <v>22219</v>
      </c>
      <c r="CC164" t="s">
        <v>35</v>
      </c>
      <c r="CD164" t="s">
        <v>37</v>
      </c>
      <c r="CE164" s="4">
        <v>60000</v>
      </c>
      <c r="CF164">
        <v>2</v>
      </c>
      <c r="CG164" t="s">
        <v>21</v>
      </c>
      <c r="CH164" t="s">
        <v>15</v>
      </c>
      <c r="CI164">
        <v>49</v>
      </c>
      <c r="CK164">
        <v>22219</v>
      </c>
      <c r="CL164" t="s">
        <v>35</v>
      </c>
      <c r="CM164" t="s">
        <v>37</v>
      </c>
      <c r="CN164" s="4">
        <v>60000</v>
      </c>
      <c r="CO164">
        <v>2</v>
      </c>
      <c r="CP164" t="s">
        <v>21</v>
      </c>
      <c r="CQ164" t="s">
        <v>15</v>
      </c>
      <c r="CR164">
        <v>49</v>
      </c>
      <c r="CS164">
        <v>2</v>
      </c>
    </row>
    <row r="165" spans="1:97" x14ac:dyDescent="0.25">
      <c r="A165">
        <v>19741</v>
      </c>
      <c r="B165" t="s">
        <v>36</v>
      </c>
      <c r="C165" t="s">
        <v>37</v>
      </c>
      <c r="D165" s="11">
        <v>80000</v>
      </c>
      <c r="E165">
        <v>4</v>
      </c>
      <c r="F165" t="s">
        <v>30</v>
      </c>
      <c r="G165" t="s">
        <v>28</v>
      </c>
      <c r="H165" t="s">
        <v>15</v>
      </c>
      <c r="I165">
        <v>2</v>
      </c>
      <c r="J165" t="s">
        <v>23</v>
      </c>
      <c r="K165" t="s">
        <v>31</v>
      </c>
      <c r="L165">
        <v>65</v>
      </c>
      <c r="M165" t="str">
        <f t="shared" si="2"/>
        <v>Old</v>
      </c>
      <c r="N165" t="s">
        <v>18</v>
      </c>
      <c r="R165">
        <v>19012</v>
      </c>
      <c r="S165" t="s">
        <v>35</v>
      </c>
      <c r="T165" t="s">
        <v>38</v>
      </c>
      <c r="U165" s="4">
        <v>80000</v>
      </c>
      <c r="V165">
        <v>3</v>
      </c>
      <c r="W165" t="s">
        <v>13</v>
      </c>
      <c r="X165" t="s">
        <v>28</v>
      </c>
      <c r="Y165" t="s">
        <v>15</v>
      </c>
      <c r="Z165">
        <v>1</v>
      </c>
      <c r="AA165" t="s">
        <v>26</v>
      </c>
      <c r="AB165" t="s">
        <v>31</v>
      </c>
      <c r="AC165">
        <v>56</v>
      </c>
      <c r="AD165" t="s">
        <v>45</v>
      </c>
      <c r="BL165">
        <v>15940</v>
      </c>
      <c r="BM165" t="s">
        <v>35</v>
      </c>
      <c r="BN165" t="s">
        <v>38</v>
      </c>
      <c r="BO165" s="4">
        <v>100000</v>
      </c>
      <c r="BP165" s="4">
        <v>100000</v>
      </c>
      <c r="BQ165">
        <v>4</v>
      </c>
      <c r="BR165" t="s">
        <v>21</v>
      </c>
      <c r="BS165" t="s">
        <v>15</v>
      </c>
      <c r="BT165">
        <v>40</v>
      </c>
      <c r="CB165">
        <v>21306</v>
      </c>
      <c r="CC165" t="s">
        <v>36</v>
      </c>
      <c r="CD165" t="s">
        <v>38</v>
      </c>
      <c r="CE165" s="4">
        <v>60000</v>
      </c>
      <c r="CF165">
        <v>2</v>
      </c>
      <c r="CG165" t="s">
        <v>21</v>
      </c>
      <c r="CH165" t="s">
        <v>15</v>
      </c>
      <c r="CI165">
        <v>51</v>
      </c>
      <c r="CK165">
        <v>21306</v>
      </c>
      <c r="CL165" t="s">
        <v>36</v>
      </c>
      <c r="CM165" t="s">
        <v>38</v>
      </c>
      <c r="CN165" s="4">
        <v>60000</v>
      </c>
      <c r="CO165">
        <v>2</v>
      </c>
      <c r="CP165" t="s">
        <v>21</v>
      </c>
      <c r="CQ165" t="s">
        <v>15</v>
      </c>
      <c r="CR165">
        <v>51</v>
      </c>
      <c r="CS165">
        <v>2</v>
      </c>
    </row>
    <row r="166" spans="1:97" x14ac:dyDescent="0.25">
      <c r="A166">
        <v>19731</v>
      </c>
      <c r="B166" t="s">
        <v>35</v>
      </c>
      <c r="C166" t="s">
        <v>38</v>
      </c>
      <c r="D166" s="11">
        <v>80000</v>
      </c>
      <c r="E166">
        <v>4</v>
      </c>
      <c r="F166" t="s">
        <v>30</v>
      </c>
      <c r="G166" t="s">
        <v>28</v>
      </c>
      <c r="H166" t="s">
        <v>15</v>
      </c>
      <c r="I166">
        <v>2</v>
      </c>
      <c r="J166" t="s">
        <v>23</v>
      </c>
      <c r="K166" t="s">
        <v>31</v>
      </c>
      <c r="L166">
        <v>68</v>
      </c>
      <c r="M166" t="str">
        <f t="shared" si="2"/>
        <v>Old</v>
      </c>
      <c r="N166" t="s">
        <v>18</v>
      </c>
      <c r="R166">
        <v>24842</v>
      </c>
      <c r="S166" t="s">
        <v>36</v>
      </c>
      <c r="T166" t="s">
        <v>37</v>
      </c>
      <c r="U166" s="4">
        <v>90000</v>
      </c>
      <c r="V166">
        <v>3</v>
      </c>
      <c r="W166" t="s">
        <v>27</v>
      </c>
      <c r="X166" t="s">
        <v>21</v>
      </c>
      <c r="Y166" t="s">
        <v>18</v>
      </c>
      <c r="Z166">
        <v>1</v>
      </c>
      <c r="AA166" t="s">
        <v>22</v>
      </c>
      <c r="AB166" t="s">
        <v>17</v>
      </c>
      <c r="AC166">
        <v>51</v>
      </c>
      <c r="AD166" t="s">
        <v>44</v>
      </c>
      <c r="BL166">
        <v>11259</v>
      </c>
      <c r="BM166" t="s">
        <v>35</v>
      </c>
      <c r="BN166" t="s">
        <v>37</v>
      </c>
      <c r="BO166" s="4">
        <v>100000</v>
      </c>
      <c r="BP166" s="4">
        <v>100000</v>
      </c>
      <c r="BQ166">
        <v>4</v>
      </c>
      <c r="BR166" t="s">
        <v>21</v>
      </c>
      <c r="BS166" t="s">
        <v>15</v>
      </c>
      <c r="BT166">
        <v>41</v>
      </c>
      <c r="CB166">
        <v>19884</v>
      </c>
      <c r="CC166" t="s">
        <v>35</v>
      </c>
      <c r="CD166" t="s">
        <v>38</v>
      </c>
      <c r="CE166" s="4">
        <v>60000</v>
      </c>
      <c r="CF166">
        <v>2</v>
      </c>
      <c r="CG166" t="s">
        <v>21</v>
      </c>
      <c r="CH166" t="s">
        <v>15</v>
      </c>
      <c r="CI166">
        <v>55</v>
      </c>
      <c r="CK166">
        <v>19884</v>
      </c>
      <c r="CL166" t="s">
        <v>35</v>
      </c>
      <c r="CM166" t="s">
        <v>38</v>
      </c>
      <c r="CN166" s="4">
        <v>60000</v>
      </c>
      <c r="CO166">
        <v>2</v>
      </c>
      <c r="CP166" t="s">
        <v>21</v>
      </c>
      <c r="CQ166" t="s">
        <v>15</v>
      </c>
      <c r="CR166">
        <v>55</v>
      </c>
      <c r="CS166">
        <v>2</v>
      </c>
    </row>
    <row r="167" spans="1:97" x14ac:dyDescent="0.25">
      <c r="A167">
        <v>19660</v>
      </c>
      <c r="B167" t="s">
        <v>35</v>
      </c>
      <c r="C167" t="s">
        <v>38</v>
      </c>
      <c r="D167" s="11">
        <v>80000</v>
      </c>
      <c r="E167">
        <v>4</v>
      </c>
      <c r="F167" t="s">
        <v>13</v>
      </c>
      <c r="G167" t="s">
        <v>28</v>
      </c>
      <c r="H167" t="s">
        <v>15</v>
      </c>
      <c r="I167">
        <v>0</v>
      </c>
      <c r="J167" t="s">
        <v>16</v>
      </c>
      <c r="K167" t="s">
        <v>31</v>
      </c>
      <c r="L167">
        <v>43</v>
      </c>
      <c r="M167" t="str">
        <f t="shared" si="2"/>
        <v>MIddleAge</v>
      </c>
      <c r="N167" t="s">
        <v>18</v>
      </c>
      <c r="R167">
        <v>23627</v>
      </c>
      <c r="S167" t="s">
        <v>36</v>
      </c>
      <c r="T167" t="s">
        <v>37</v>
      </c>
      <c r="U167" s="4">
        <v>100000</v>
      </c>
      <c r="V167">
        <v>3</v>
      </c>
      <c r="W167" t="s">
        <v>19</v>
      </c>
      <c r="X167" t="s">
        <v>28</v>
      </c>
      <c r="Y167" t="s">
        <v>18</v>
      </c>
      <c r="Z167">
        <v>4</v>
      </c>
      <c r="AA167" t="s">
        <v>23</v>
      </c>
      <c r="AB167" t="s">
        <v>17</v>
      </c>
      <c r="AC167">
        <v>56</v>
      </c>
      <c r="AD167" t="s">
        <v>45</v>
      </c>
      <c r="BL167">
        <v>22204</v>
      </c>
      <c r="BM167" t="s">
        <v>35</v>
      </c>
      <c r="BN167" t="s">
        <v>38</v>
      </c>
      <c r="BO167" s="4">
        <v>110000</v>
      </c>
      <c r="BP167" s="4">
        <v>110000</v>
      </c>
      <c r="BQ167">
        <v>4</v>
      </c>
      <c r="BR167" t="s">
        <v>28</v>
      </c>
      <c r="BS167" t="s">
        <v>15</v>
      </c>
      <c r="BT167">
        <v>48</v>
      </c>
      <c r="CB167">
        <v>18858</v>
      </c>
      <c r="CC167" t="s">
        <v>36</v>
      </c>
      <c r="CD167" t="s">
        <v>38</v>
      </c>
      <c r="CE167" s="4">
        <v>60000</v>
      </c>
      <c r="CF167">
        <v>2</v>
      </c>
      <c r="CG167" t="s">
        <v>14</v>
      </c>
      <c r="CH167" t="s">
        <v>15</v>
      </c>
      <c r="CI167">
        <v>52</v>
      </c>
      <c r="CK167">
        <v>18858</v>
      </c>
      <c r="CL167" t="s">
        <v>36</v>
      </c>
      <c r="CM167" t="s">
        <v>38</v>
      </c>
      <c r="CN167" s="4">
        <v>60000</v>
      </c>
      <c r="CO167">
        <v>2</v>
      </c>
      <c r="CP167" t="s">
        <v>14</v>
      </c>
      <c r="CQ167" t="s">
        <v>15</v>
      </c>
      <c r="CR167">
        <v>52</v>
      </c>
      <c r="CS167">
        <v>2</v>
      </c>
    </row>
    <row r="168" spans="1:97" x14ac:dyDescent="0.25">
      <c r="A168">
        <v>18674</v>
      </c>
      <c r="B168" t="s">
        <v>36</v>
      </c>
      <c r="C168" t="s">
        <v>37</v>
      </c>
      <c r="D168" s="11">
        <v>80000</v>
      </c>
      <c r="E168">
        <v>4</v>
      </c>
      <c r="F168" t="s">
        <v>30</v>
      </c>
      <c r="G168" t="s">
        <v>14</v>
      </c>
      <c r="H168" t="s">
        <v>18</v>
      </c>
      <c r="I168">
        <v>0</v>
      </c>
      <c r="J168" t="s">
        <v>16</v>
      </c>
      <c r="K168" t="s">
        <v>31</v>
      </c>
      <c r="L168">
        <v>48</v>
      </c>
      <c r="M168" t="str">
        <f t="shared" si="2"/>
        <v>MIddleAge</v>
      </c>
      <c r="N168" t="s">
        <v>18</v>
      </c>
      <c r="R168">
        <v>20598</v>
      </c>
      <c r="S168" t="s">
        <v>35</v>
      </c>
      <c r="T168" t="s">
        <v>38</v>
      </c>
      <c r="U168" s="4">
        <v>100000</v>
      </c>
      <c r="V168">
        <v>3</v>
      </c>
      <c r="W168" t="s">
        <v>29</v>
      </c>
      <c r="X168" t="s">
        <v>21</v>
      </c>
      <c r="Y168" t="s">
        <v>15</v>
      </c>
      <c r="Z168">
        <v>0</v>
      </c>
      <c r="AA168" t="s">
        <v>42</v>
      </c>
      <c r="AB168" t="s">
        <v>17</v>
      </c>
      <c r="AC168">
        <v>59</v>
      </c>
      <c r="AD168" t="s">
        <v>45</v>
      </c>
      <c r="BL168">
        <v>13287</v>
      </c>
      <c r="BM168" t="s">
        <v>36</v>
      </c>
      <c r="BN168" t="s">
        <v>38</v>
      </c>
      <c r="BO168" s="4">
        <v>110000</v>
      </c>
      <c r="BP168" s="4">
        <v>110000</v>
      </c>
      <c r="BQ168">
        <v>4</v>
      </c>
      <c r="BR168" t="s">
        <v>28</v>
      </c>
      <c r="BS168" t="s">
        <v>15</v>
      </c>
      <c r="BT168">
        <v>42</v>
      </c>
      <c r="CB168">
        <v>18847</v>
      </c>
      <c r="CC168" t="s">
        <v>35</v>
      </c>
      <c r="CD168" t="s">
        <v>37</v>
      </c>
      <c r="CE168" s="4">
        <v>60000</v>
      </c>
      <c r="CF168">
        <v>2</v>
      </c>
      <c r="CG168" t="s">
        <v>28</v>
      </c>
      <c r="CH168" t="s">
        <v>15</v>
      </c>
      <c r="CI168">
        <v>70</v>
      </c>
      <c r="CK168">
        <v>18847</v>
      </c>
      <c r="CL168" t="s">
        <v>35</v>
      </c>
      <c r="CM168" t="s">
        <v>37</v>
      </c>
      <c r="CN168" s="4">
        <v>60000</v>
      </c>
      <c r="CO168">
        <v>2</v>
      </c>
      <c r="CP168" t="s">
        <v>28</v>
      </c>
      <c r="CQ168" t="s">
        <v>15</v>
      </c>
      <c r="CR168">
        <v>70</v>
      </c>
      <c r="CS168">
        <v>2</v>
      </c>
    </row>
    <row r="169" spans="1:97" x14ac:dyDescent="0.25">
      <c r="A169">
        <v>17471</v>
      </c>
      <c r="B169" t="s">
        <v>36</v>
      </c>
      <c r="C169" t="s">
        <v>37</v>
      </c>
      <c r="D169" s="11">
        <v>80000</v>
      </c>
      <c r="E169">
        <v>4</v>
      </c>
      <c r="F169" t="s">
        <v>30</v>
      </c>
      <c r="G169" t="s">
        <v>28</v>
      </c>
      <c r="H169" t="s">
        <v>15</v>
      </c>
      <c r="I169">
        <v>2</v>
      </c>
      <c r="J169" t="s">
        <v>23</v>
      </c>
      <c r="K169" t="s">
        <v>31</v>
      </c>
      <c r="L169">
        <v>67</v>
      </c>
      <c r="M169" t="str">
        <f t="shared" si="2"/>
        <v>Old</v>
      </c>
      <c r="N169" t="s">
        <v>18</v>
      </c>
      <c r="R169">
        <v>18517</v>
      </c>
      <c r="S169" t="s">
        <v>35</v>
      </c>
      <c r="T169" t="s">
        <v>38</v>
      </c>
      <c r="U169" s="4">
        <v>100000</v>
      </c>
      <c r="V169">
        <v>3</v>
      </c>
      <c r="W169" t="s">
        <v>13</v>
      </c>
      <c r="X169" t="s">
        <v>28</v>
      </c>
      <c r="Y169" t="s">
        <v>15</v>
      </c>
      <c r="Z169">
        <v>4</v>
      </c>
      <c r="AA169" t="s">
        <v>16</v>
      </c>
      <c r="AB169" t="s">
        <v>31</v>
      </c>
      <c r="AC169">
        <v>41</v>
      </c>
      <c r="AD169" t="s">
        <v>44</v>
      </c>
      <c r="BL169">
        <v>29237</v>
      </c>
      <c r="BM169" t="s">
        <v>36</v>
      </c>
      <c r="BN169" t="s">
        <v>37</v>
      </c>
      <c r="BO169" s="4">
        <v>120000</v>
      </c>
      <c r="BP169" s="4">
        <v>120000</v>
      </c>
      <c r="BQ169">
        <v>4</v>
      </c>
      <c r="BR169" t="s">
        <v>21</v>
      </c>
      <c r="BS169" t="s">
        <v>15</v>
      </c>
      <c r="BT169">
        <v>43</v>
      </c>
      <c r="CB169">
        <v>18411</v>
      </c>
      <c r="CC169" t="s">
        <v>35</v>
      </c>
      <c r="CD169" t="s">
        <v>38</v>
      </c>
      <c r="CE169" s="4">
        <v>60000</v>
      </c>
      <c r="CF169">
        <v>2</v>
      </c>
      <c r="CG169" t="s">
        <v>21</v>
      </c>
      <c r="CH169" t="s">
        <v>18</v>
      </c>
      <c r="CI169">
        <v>51</v>
      </c>
      <c r="CK169">
        <v>18411</v>
      </c>
      <c r="CL169" t="s">
        <v>35</v>
      </c>
      <c r="CM169" t="s">
        <v>38</v>
      </c>
      <c r="CN169" s="4">
        <v>60000</v>
      </c>
      <c r="CO169">
        <v>2</v>
      </c>
      <c r="CP169" t="s">
        <v>21</v>
      </c>
      <c r="CQ169" t="s">
        <v>18</v>
      </c>
      <c r="CR169">
        <v>51</v>
      </c>
      <c r="CS169">
        <v>2</v>
      </c>
    </row>
    <row r="170" spans="1:97" x14ac:dyDescent="0.25">
      <c r="A170">
        <v>16377</v>
      </c>
      <c r="B170" t="s">
        <v>36</v>
      </c>
      <c r="C170" t="s">
        <v>37</v>
      </c>
      <c r="D170" s="11">
        <v>80000</v>
      </c>
      <c r="E170">
        <v>4</v>
      </c>
      <c r="F170" t="s">
        <v>30</v>
      </c>
      <c r="G170" t="s">
        <v>14</v>
      </c>
      <c r="H170" t="s">
        <v>18</v>
      </c>
      <c r="I170">
        <v>0</v>
      </c>
      <c r="J170" t="s">
        <v>16</v>
      </c>
      <c r="K170" t="s">
        <v>31</v>
      </c>
      <c r="L170">
        <v>47</v>
      </c>
      <c r="M170" t="str">
        <f t="shared" si="2"/>
        <v>MIddleAge</v>
      </c>
      <c r="N170" t="s">
        <v>18</v>
      </c>
      <c r="R170">
        <v>26065</v>
      </c>
      <c r="S170" t="s">
        <v>36</v>
      </c>
      <c r="T170" t="s">
        <v>37</v>
      </c>
      <c r="U170" s="4">
        <v>110000</v>
      </c>
      <c r="V170">
        <v>3</v>
      </c>
      <c r="W170" t="s">
        <v>13</v>
      </c>
      <c r="X170" t="s">
        <v>28</v>
      </c>
      <c r="Y170" t="s">
        <v>18</v>
      </c>
      <c r="Z170">
        <v>4</v>
      </c>
      <c r="AA170" t="s">
        <v>26</v>
      </c>
      <c r="AB170" t="s">
        <v>31</v>
      </c>
      <c r="AC170">
        <v>42</v>
      </c>
      <c r="AD170" t="s">
        <v>44</v>
      </c>
      <c r="BL170">
        <v>22830</v>
      </c>
      <c r="BM170" t="s">
        <v>35</v>
      </c>
      <c r="BN170" t="s">
        <v>38</v>
      </c>
      <c r="BO170" s="4">
        <v>120000</v>
      </c>
      <c r="BP170" s="4">
        <v>120000</v>
      </c>
      <c r="BQ170">
        <v>4</v>
      </c>
      <c r="BR170" t="s">
        <v>28</v>
      </c>
      <c r="BS170" t="s">
        <v>15</v>
      </c>
      <c r="BT170">
        <v>56</v>
      </c>
      <c r="CB170">
        <v>17531</v>
      </c>
      <c r="CC170" t="s">
        <v>35</v>
      </c>
      <c r="CD170" t="s">
        <v>38</v>
      </c>
      <c r="CE170" s="4">
        <v>60000</v>
      </c>
      <c r="CF170">
        <v>2</v>
      </c>
      <c r="CG170" t="s">
        <v>21</v>
      </c>
      <c r="CH170" t="s">
        <v>18</v>
      </c>
      <c r="CI170">
        <v>50</v>
      </c>
      <c r="CK170">
        <v>17531</v>
      </c>
      <c r="CL170" t="s">
        <v>35</v>
      </c>
      <c r="CM170" t="s">
        <v>38</v>
      </c>
      <c r="CN170" s="4">
        <v>60000</v>
      </c>
      <c r="CO170">
        <v>2</v>
      </c>
      <c r="CP170" t="s">
        <v>21</v>
      </c>
      <c r="CQ170" t="s">
        <v>18</v>
      </c>
      <c r="CR170">
        <v>50</v>
      </c>
      <c r="CS170">
        <v>2</v>
      </c>
    </row>
    <row r="171" spans="1:97" x14ac:dyDescent="0.25">
      <c r="A171">
        <v>16245</v>
      </c>
      <c r="B171" t="s">
        <v>36</v>
      </c>
      <c r="C171" t="s">
        <v>37</v>
      </c>
      <c r="D171" s="11">
        <v>80000</v>
      </c>
      <c r="E171">
        <v>4</v>
      </c>
      <c r="F171" t="s">
        <v>30</v>
      </c>
      <c r="G171" t="s">
        <v>14</v>
      </c>
      <c r="H171" t="s">
        <v>15</v>
      </c>
      <c r="I171">
        <v>0</v>
      </c>
      <c r="J171" t="s">
        <v>26</v>
      </c>
      <c r="K171" t="s">
        <v>31</v>
      </c>
      <c r="L171">
        <v>47</v>
      </c>
      <c r="M171" t="str">
        <f t="shared" si="2"/>
        <v>MIddleAge</v>
      </c>
      <c r="N171" t="s">
        <v>18</v>
      </c>
      <c r="R171">
        <v>22719</v>
      </c>
      <c r="S171" t="s">
        <v>36</v>
      </c>
      <c r="T171" t="s">
        <v>38</v>
      </c>
      <c r="U171" s="4">
        <v>110000</v>
      </c>
      <c r="V171">
        <v>3</v>
      </c>
      <c r="W171" t="s">
        <v>13</v>
      </c>
      <c r="X171" t="s">
        <v>28</v>
      </c>
      <c r="Y171" t="s">
        <v>15</v>
      </c>
      <c r="Z171">
        <v>4</v>
      </c>
      <c r="AA171" t="s">
        <v>22</v>
      </c>
      <c r="AB171" t="s">
        <v>31</v>
      </c>
      <c r="AC171">
        <v>40</v>
      </c>
      <c r="AD171" t="s">
        <v>44</v>
      </c>
      <c r="BL171">
        <v>17522</v>
      </c>
      <c r="BM171" t="s">
        <v>35</v>
      </c>
      <c r="BN171" t="s">
        <v>38</v>
      </c>
      <c r="BO171" s="4">
        <v>120000</v>
      </c>
      <c r="BP171" s="4">
        <v>120000</v>
      </c>
      <c r="BQ171">
        <v>4</v>
      </c>
      <c r="BR171" t="s">
        <v>28</v>
      </c>
      <c r="BS171" t="s">
        <v>15</v>
      </c>
      <c r="BT171">
        <v>47</v>
      </c>
      <c r="CB171">
        <v>17436</v>
      </c>
      <c r="CC171" t="s">
        <v>35</v>
      </c>
      <c r="CD171" t="s">
        <v>38</v>
      </c>
      <c r="CE171" s="4">
        <v>60000</v>
      </c>
      <c r="CF171">
        <v>2</v>
      </c>
      <c r="CG171" t="s">
        <v>21</v>
      </c>
      <c r="CH171" t="s">
        <v>18</v>
      </c>
      <c r="CI171">
        <v>51</v>
      </c>
      <c r="CK171">
        <v>17436</v>
      </c>
      <c r="CL171" t="s">
        <v>35</v>
      </c>
      <c r="CM171" t="s">
        <v>38</v>
      </c>
      <c r="CN171" s="4">
        <v>60000</v>
      </c>
      <c r="CO171">
        <v>2</v>
      </c>
      <c r="CP171" t="s">
        <v>21</v>
      </c>
      <c r="CQ171" t="s">
        <v>18</v>
      </c>
      <c r="CR171">
        <v>51</v>
      </c>
      <c r="CS171">
        <v>2</v>
      </c>
    </row>
    <row r="172" spans="1:97" x14ac:dyDescent="0.25">
      <c r="A172">
        <v>14669</v>
      </c>
      <c r="B172" t="s">
        <v>35</v>
      </c>
      <c r="C172" t="s">
        <v>37</v>
      </c>
      <c r="D172" s="11">
        <v>80000</v>
      </c>
      <c r="E172">
        <v>4</v>
      </c>
      <c r="F172" t="s">
        <v>30</v>
      </c>
      <c r="G172" t="s">
        <v>28</v>
      </c>
      <c r="H172" t="s">
        <v>15</v>
      </c>
      <c r="I172">
        <v>1</v>
      </c>
      <c r="J172" t="s">
        <v>16</v>
      </c>
      <c r="K172" t="s">
        <v>24</v>
      </c>
      <c r="L172">
        <v>36</v>
      </c>
      <c r="M172" t="str">
        <f t="shared" si="2"/>
        <v>MIddleAge</v>
      </c>
      <c r="N172" t="s">
        <v>18</v>
      </c>
      <c r="R172">
        <v>19057</v>
      </c>
      <c r="S172" t="s">
        <v>35</v>
      </c>
      <c r="T172" t="s">
        <v>37</v>
      </c>
      <c r="U172" s="4">
        <v>120000</v>
      </c>
      <c r="V172">
        <v>3</v>
      </c>
      <c r="W172" t="s">
        <v>13</v>
      </c>
      <c r="X172" t="s">
        <v>28</v>
      </c>
      <c r="Y172" t="s">
        <v>18</v>
      </c>
      <c r="Z172">
        <v>2</v>
      </c>
      <c r="AA172" t="s">
        <v>42</v>
      </c>
      <c r="AB172" t="s">
        <v>17</v>
      </c>
      <c r="AC172">
        <v>52</v>
      </c>
      <c r="AD172" t="s">
        <v>44</v>
      </c>
      <c r="BL172">
        <v>28918</v>
      </c>
      <c r="BM172" t="s">
        <v>35</v>
      </c>
      <c r="BN172" t="s">
        <v>37</v>
      </c>
      <c r="BO172" s="4">
        <v>130000</v>
      </c>
      <c r="BP172" s="4">
        <v>130000</v>
      </c>
      <c r="BQ172">
        <v>4</v>
      </c>
      <c r="BR172" t="s">
        <v>28</v>
      </c>
      <c r="BS172" t="s">
        <v>18</v>
      </c>
      <c r="BT172">
        <v>58</v>
      </c>
      <c r="CB172">
        <v>16813</v>
      </c>
      <c r="CC172" t="s">
        <v>35</v>
      </c>
      <c r="CD172" t="s">
        <v>38</v>
      </c>
      <c r="CE172" s="4">
        <v>60000</v>
      </c>
      <c r="CF172">
        <v>2</v>
      </c>
      <c r="CG172" t="s">
        <v>21</v>
      </c>
      <c r="CH172" t="s">
        <v>15</v>
      </c>
      <c r="CI172">
        <v>55</v>
      </c>
      <c r="CK172">
        <v>16813</v>
      </c>
      <c r="CL172" t="s">
        <v>35</v>
      </c>
      <c r="CM172" t="s">
        <v>38</v>
      </c>
      <c r="CN172" s="4">
        <v>60000</v>
      </c>
      <c r="CO172">
        <v>2</v>
      </c>
      <c r="CP172" t="s">
        <v>21</v>
      </c>
      <c r="CQ172" t="s">
        <v>15</v>
      </c>
      <c r="CR172">
        <v>55</v>
      </c>
      <c r="CS172">
        <v>2</v>
      </c>
    </row>
    <row r="173" spans="1:97" x14ac:dyDescent="0.25">
      <c r="A173">
        <v>13754</v>
      </c>
      <c r="B173" t="s">
        <v>36</v>
      </c>
      <c r="C173" t="s">
        <v>37</v>
      </c>
      <c r="D173" s="11">
        <v>80000</v>
      </c>
      <c r="E173">
        <v>4</v>
      </c>
      <c r="F173" t="s">
        <v>30</v>
      </c>
      <c r="G173" t="s">
        <v>14</v>
      </c>
      <c r="H173" t="s">
        <v>15</v>
      </c>
      <c r="I173">
        <v>0</v>
      </c>
      <c r="J173" t="s">
        <v>26</v>
      </c>
      <c r="K173" t="s">
        <v>31</v>
      </c>
      <c r="L173">
        <v>48</v>
      </c>
      <c r="M173" t="str">
        <f t="shared" si="2"/>
        <v>MIddleAge</v>
      </c>
      <c r="N173" t="s">
        <v>18</v>
      </c>
      <c r="R173">
        <v>18160</v>
      </c>
      <c r="S173" t="s">
        <v>35</v>
      </c>
      <c r="T173" t="s">
        <v>38</v>
      </c>
      <c r="U173" s="4">
        <v>130000</v>
      </c>
      <c r="V173">
        <v>3</v>
      </c>
      <c r="W173" t="s">
        <v>27</v>
      </c>
      <c r="X173" t="s">
        <v>21</v>
      </c>
      <c r="Y173" t="s">
        <v>15</v>
      </c>
      <c r="Z173">
        <v>4</v>
      </c>
      <c r="AA173" t="s">
        <v>23</v>
      </c>
      <c r="AB173" t="s">
        <v>17</v>
      </c>
      <c r="AC173">
        <v>51</v>
      </c>
      <c r="AD173" t="s">
        <v>44</v>
      </c>
      <c r="BL173">
        <v>20567</v>
      </c>
      <c r="BM173" t="s">
        <v>35</v>
      </c>
      <c r="BN173" t="s">
        <v>38</v>
      </c>
      <c r="BO173" s="4">
        <v>130000</v>
      </c>
      <c r="BP173" s="4">
        <v>130000</v>
      </c>
      <c r="BQ173">
        <v>4</v>
      </c>
      <c r="BR173" t="s">
        <v>21</v>
      </c>
      <c r="BS173" t="s">
        <v>18</v>
      </c>
      <c r="BT173">
        <v>61</v>
      </c>
      <c r="CB173">
        <v>12192</v>
      </c>
      <c r="CC173" t="s">
        <v>36</v>
      </c>
      <c r="CD173" t="s">
        <v>37</v>
      </c>
      <c r="CE173" s="4">
        <v>60000</v>
      </c>
      <c r="CF173">
        <v>2</v>
      </c>
      <c r="CG173" t="s">
        <v>14</v>
      </c>
      <c r="CH173" t="s">
        <v>18</v>
      </c>
      <c r="CI173">
        <v>51</v>
      </c>
      <c r="CK173">
        <v>12192</v>
      </c>
      <c r="CL173" t="s">
        <v>36</v>
      </c>
      <c r="CM173" t="s">
        <v>37</v>
      </c>
      <c r="CN173" s="4">
        <v>60000</v>
      </c>
      <c r="CO173">
        <v>2</v>
      </c>
      <c r="CP173" t="s">
        <v>14</v>
      </c>
      <c r="CQ173" t="s">
        <v>18</v>
      </c>
      <c r="CR173">
        <v>51</v>
      </c>
      <c r="CS173">
        <v>2</v>
      </c>
    </row>
    <row r="174" spans="1:97" x14ac:dyDescent="0.25">
      <c r="A174">
        <v>13749</v>
      </c>
      <c r="B174" t="s">
        <v>35</v>
      </c>
      <c r="C174" t="s">
        <v>38</v>
      </c>
      <c r="D174" s="11">
        <v>80000</v>
      </c>
      <c r="E174">
        <v>4</v>
      </c>
      <c r="F174" t="s">
        <v>30</v>
      </c>
      <c r="G174" t="s">
        <v>14</v>
      </c>
      <c r="H174" t="s">
        <v>15</v>
      </c>
      <c r="I174">
        <v>0</v>
      </c>
      <c r="J174" t="s">
        <v>26</v>
      </c>
      <c r="K174" t="s">
        <v>31</v>
      </c>
      <c r="L174">
        <v>47</v>
      </c>
      <c r="M174" t="str">
        <f t="shared" si="2"/>
        <v>MIddleAge</v>
      </c>
      <c r="N174" t="s">
        <v>18</v>
      </c>
      <c r="R174">
        <v>29447</v>
      </c>
      <c r="S174" t="s">
        <v>36</v>
      </c>
      <c r="T174" t="s">
        <v>37</v>
      </c>
      <c r="U174" s="4">
        <v>10000</v>
      </c>
      <c r="V174">
        <v>2</v>
      </c>
      <c r="W174" t="s">
        <v>13</v>
      </c>
      <c r="X174" t="s">
        <v>20</v>
      </c>
      <c r="Y174" t="s">
        <v>18</v>
      </c>
      <c r="Z174">
        <v>1</v>
      </c>
      <c r="AA174" t="s">
        <v>22</v>
      </c>
      <c r="AB174" t="s">
        <v>17</v>
      </c>
      <c r="AC174">
        <v>68</v>
      </c>
      <c r="AD174" t="s">
        <v>45</v>
      </c>
      <c r="BL174">
        <v>19066</v>
      </c>
      <c r="BM174" t="s">
        <v>35</v>
      </c>
      <c r="BN174" t="s">
        <v>38</v>
      </c>
      <c r="BO174" s="4">
        <v>130000</v>
      </c>
      <c r="BP174" s="4">
        <v>130000</v>
      </c>
      <c r="BQ174">
        <v>4</v>
      </c>
      <c r="BR174" t="s">
        <v>21</v>
      </c>
      <c r="BS174" t="s">
        <v>18</v>
      </c>
      <c r="BT174">
        <v>54</v>
      </c>
      <c r="CB174">
        <v>11219</v>
      </c>
      <c r="CC174" t="s">
        <v>35</v>
      </c>
      <c r="CD174" t="s">
        <v>38</v>
      </c>
      <c r="CE174" s="4">
        <v>60000</v>
      </c>
      <c r="CF174">
        <v>2</v>
      </c>
      <c r="CG174" t="s">
        <v>21</v>
      </c>
      <c r="CH174" t="s">
        <v>15</v>
      </c>
      <c r="CI174">
        <v>55</v>
      </c>
      <c r="CK174">
        <v>11219</v>
      </c>
      <c r="CL174" t="s">
        <v>35</v>
      </c>
      <c r="CM174" t="s">
        <v>38</v>
      </c>
      <c r="CN174" s="4">
        <v>60000</v>
      </c>
      <c r="CO174">
        <v>2</v>
      </c>
      <c r="CP174" t="s">
        <v>21</v>
      </c>
      <c r="CQ174" t="s">
        <v>15</v>
      </c>
      <c r="CR174">
        <v>55</v>
      </c>
      <c r="CS174">
        <v>2</v>
      </c>
    </row>
    <row r="175" spans="1:97" x14ac:dyDescent="0.25">
      <c r="A175">
        <v>13586</v>
      </c>
      <c r="B175" t="s">
        <v>35</v>
      </c>
      <c r="C175" t="s">
        <v>38</v>
      </c>
      <c r="D175" s="11">
        <v>80000</v>
      </c>
      <c r="E175">
        <v>4</v>
      </c>
      <c r="F175" t="s">
        <v>19</v>
      </c>
      <c r="G175" t="s">
        <v>21</v>
      </c>
      <c r="H175" t="s">
        <v>15</v>
      </c>
      <c r="I175">
        <v>2</v>
      </c>
      <c r="J175" t="s">
        <v>42</v>
      </c>
      <c r="K175" t="s">
        <v>17</v>
      </c>
      <c r="L175">
        <v>53</v>
      </c>
      <c r="M175" t="str">
        <f t="shared" si="2"/>
        <v>MIddleAge</v>
      </c>
      <c r="N175" t="s">
        <v>18</v>
      </c>
      <c r="R175">
        <v>25923</v>
      </c>
      <c r="S175" t="s">
        <v>36</v>
      </c>
      <c r="T175" t="s">
        <v>38</v>
      </c>
      <c r="U175" s="4">
        <v>10000</v>
      </c>
      <c r="V175">
        <v>2</v>
      </c>
      <c r="W175" t="s">
        <v>29</v>
      </c>
      <c r="X175" t="s">
        <v>20</v>
      </c>
      <c r="Y175" t="s">
        <v>15</v>
      </c>
      <c r="Z175">
        <v>2</v>
      </c>
      <c r="AA175" t="s">
        <v>23</v>
      </c>
      <c r="AB175" t="s">
        <v>24</v>
      </c>
      <c r="AC175">
        <v>58</v>
      </c>
      <c r="AD175" t="s">
        <v>45</v>
      </c>
      <c r="BL175">
        <v>18172</v>
      </c>
      <c r="BM175" t="s">
        <v>35</v>
      </c>
      <c r="BN175" t="s">
        <v>38</v>
      </c>
      <c r="BO175" s="4">
        <v>130000</v>
      </c>
      <c r="BP175" s="4">
        <v>130000</v>
      </c>
      <c r="BQ175">
        <v>4</v>
      </c>
      <c r="BR175" t="s">
        <v>21</v>
      </c>
      <c r="BS175" t="s">
        <v>15</v>
      </c>
      <c r="BT175">
        <v>55</v>
      </c>
      <c r="CB175">
        <v>29030</v>
      </c>
      <c r="CC175" t="s">
        <v>35</v>
      </c>
      <c r="CD175" t="s">
        <v>38</v>
      </c>
      <c r="CE175" s="4">
        <v>70000</v>
      </c>
      <c r="CF175">
        <v>2</v>
      </c>
      <c r="CG175" t="s">
        <v>14</v>
      </c>
      <c r="CH175" t="s">
        <v>15</v>
      </c>
      <c r="CI175">
        <v>54</v>
      </c>
      <c r="CK175">
        <v>29030</v>
      </c>
      <c r="CL175" t="s">
        <v>35</v>
      </c>
      <c r="CM175" t="s">
        <v>38</v>
      </c>
      <c r="CN175" s="4">
        <v>70000</v>
      </c>
      <c r="CO175">
        <v>2</v>
      </c>
      <c r="CP175" t="s">
        <v>14</v>
      </c>
      <c r="CQ175" t="s">
        <v>15</v>
      </c>
      <c r="CR175">
        <v>54</v>
      </c>
      <c r="CS175">
        <v>2</v>
      </c>
    </row>
    <row r="176" spans="1:97" x14ac:dyDescent="0.25">
      <c r="A176">
        <v>13585</v>
      </c>
      <c r="B176" t="s">
        <v>35</v>
      </c>
      <c r="C176" t="s">
        <v>37</v>
      </c>
      <c r="D176" s="11">
        <v>80000</v>
      </c>
      <c r="E176">
        <v>4</v>
      </c>
      <c r="F176" t="s">
        <v>19</v>
      </c>
      <c r="G176" t="s">
        <v>21</v>
      </c>
      <c r="H176" t="s">
        <v>18</v>
      </c>
      <c r="I176">
        <v>1</v>
      </c>
      <c r="J176" t="s">
        <v>22</v>
      </c>
      <c r="K176" t="s">
        <v>17</v>
      </c>
      <c r="L176">
        <v>53</v>
      </c>
      <c r="M176" t="str">
        <f t="shared" si="2"/>
        <v>MIddleAge</v>
      </c>
      <c r="N176" t="s">
        <v>15</v>
      </c>
      <c r="R176">
        <v>24149</v>
      </c>
      <c r="S176" t="s">
        <v>35</v>
      </c>
      <c r="T176" t="s">
        <v>38</v>
      </c>
      <c r="U176" s="4">
        <v>10000</v>
      </c>
      <c r="V176">
        <v>2</v>
      </c>
      <c r="W176" t="s">
        <v>19</v>
      </c>
      <c r="X176" t="s">
        <v>25</v>
      </c>
      <c r="Y176" t="s">
        <v>15</v>
      </c>
      <c r="Z176">
        <v>0</v>
      </c>
      <c r="AA176" t="s">
        <v>26</v>
      </c>
      <c r="AB176" t="s">
        <v>17</v>
      </c>
      <c r="AC176">
        <v>49</v>
      </c>
      <c r="AD176" t="s">
        <v>44</v>
      </c>
      <c r="BL176">
        <v>17203</v>
      </c>
      <c r="BM176" t="s">
        <v>35</v>
      </c>
      <c r="BN176" t="s">
        <v>37</v>
      </c>
      <c r="BO176" s="4">
        <v>130000</v>
      </c>
      <c r="BP176" s="4">
        <v>130000</v>
      </c>
      <c r="BQ176">
        <v>4</v>
      </c>
      <c r="BR176" t="s">
        <v>21</v>
      </c>
      <c r="BS176" t="s">
        <v>15</v>
      </c>
      <c r="BT176">
        <v>61</v>
      </c>
      <c r="CB176">
        <v>28056</v>
      </c>
      <c r="CC176" t="s">
        <v>35</v>
      </c>
      <c r="CD176" t="s">
        <v>38</v>
      </c>
      <c r="CE176" s="4">
        <v>70000</v>
      </c>
      <c r="CF176">
        <v>2</v>
      </c>
      <c r="CG176" t="s">
        <v>14</v>
      </c>
      <c r="CH176" t="s">
        <v>15</v>
      </c>
      <c r="CI176">
        <v>53</v>
      </c>
      <c r="CK176">
        <v>28056</v>
      </c>
      <c r="CL176" t="s">
        <v>35</v>
      </c>
      <c r="CM176" t="s">
        <v>38</v>
      </c>
      <c r="CN176" s="4">
        <v>70000</v>
      </c>
      <c r="CO176">
        <v>2</v>
      </c>
      <c r="CP176" t="s">
        <v>14</v>
      </c>
      <c r="CQ176" t="s">
        <v>15</v>
      </c>
      <c r="CR176">
        <v>53</v>
      </c>
      <c r="CS176">
        <v>2</v>
      </c>
    </row>
    <row r="177" spans="1:97" x14ac:dyDescent="0.25">
      <c r="A177">
        <v>12207</v>
      </c>
      <c r="B177" t="s">
        <v>36</v>
      </c>
      <c r="C177" t="s">
        <v>38</v>
      </c>
      <c r="D177" s="11">
        <v>80000</v>
      </c>
      <c r="E177">
        <v>4</v>
      </c>
      <c r="F177" t="s">
        <v>13</v>
      </c>
      <c r="G177" t="s">
        <v>28</v>
      </c>
      <c r="H177" t="s">
        <v>15</v>
      </c>
      <c r="I177">
        <v>0</v>
      </c>
      <c r="J177" t="s">
        <v>23</v>
      </c>
      <c r="K177" t="s">
        <v>31</v>
      </c>
      <c r="L177">
        <v>66</v>
      </c>
      <c r="M177" t="str">
        <f t="shared" si="2"/>
        <v>Old</v>
      </c>
      <c r="N177" t="s">
        <v>15</v>
      </c>
      <c r="R177">
        <v>20974</v>
      </c>
      <c r="S177" t="s">
        <v>35</v>
      </c>
      <c r="T177" t="s">
        <v>38</v>
      </c>
      <c r="U177" s="4">
        <v>10000</v>
      </c>
      <c r="V177">
        <v>2</v>
      </c>
      <c r="W177" t="s">
        <v>13</v>
      </c>
      <c r="X177" t="s">
        <v>20</v>
      </c>
      <c r="Y177" t="s">
        <v>15</v>
      </c>
      <c r="Z177">
        <v>1</v>
      </c>
      <c r="AA177" t="s">
        <v>16</v>
      </c>
      <c r="AB177" t="s">
        <v>17</v>
      </c>
      <c r="AC177">
        <v>66</v>
      </c>
      <c r="AD177" t="s">
        <v>45</v>
      </c>
      <c r="BL177">
        <v>12678</v>
      </c>
      <c r="BM177" t="s">
        <v>36</v>
      </c>
      <c r="BN177" t="s">
        <v>37</v>
      </c>
      <c r="BO177" s="4">
        <v>130000</v>
      </c>
      <c r="BP177" s="4">
        <v>130000</v>
      </c>
      <c r="BQ177">
        <v>4</v>
      </c>
      <c r="BR177" t="s">
        <v>28</v>
      </c>
      <c r="BS177" t="s">
        <v>15</v>
      </c>
      <c r="BT177">
        <v>31</v>
      </c>
      <c r="CB177">
        <v>25899</v>
      </c>
      <c r="CC177" t="s">
        <v>35</v>
      </c>
      <c r="CD177" t="s">
        <v>37</v>
      </c>
      <c r="CE177" s="4">
        <v>70000</v>
      </c>
      <c r="CF177">
        <v>2</v>
      </c>
      <c r="CG177" t="s">
        <v>21</v>
      </c>
      <c r="CH177" t="s">
        <v>15</v>
      </c>
      <c r="CI177">
        <v>53</v>
      </c>
      <c r="CK177">
        <v>25899</v>
      </c>
      <c r="CL177" t="s">
        <v>35</v>
      </c>
      <c r="CM177" t="s">
        <v>37</v>
      </c>
      <c r="CN177" s="4">
        <v>70000</v>
      </c>
      <c r="CO177">
        <v>2</v>
      </c>
      <c r="CP177" t="s">
        <v>21</v>
      </c>
      <c r="CQ177" t="s">
        <v>15</v>
      </c>
      <c r="CR177">
        <v>53</v>
      </c>
      <c r="CS177">
        <v>2</v>
      </c>
    </row>
    <row r="178" spans="1:97" x14ac:dyDescent="0.25">
      <c r="A178">
        <v>11275</v>
      </c>
      <c r="B178" t="s">
        <v>35</v>
      </c>
      <c r="C178" t="s">
        <v>37</v>
      </c>
      <c r="D178" s="11">
        <v>80000</v>
      </c>
      <c r="E178">
        <v>4</v>
      </c>
      <c r="F178" t="s">
        <v>30</v>
      </c>
      <c r="G178" t="s">
        <v>28</v>
      </c>
      <c r="H178" t="s">
        <v>15</v>
      </c>
      <c r="I178">
        <v>2</v>
      </c>
      <c r="J178" t="s">
        <v>16</v>
      </c>
      <c r="K178" t="s">
        <v>31</v>
      </c>
      <c r="L178">
        <v>72</v>
      </c>
      <c r="M178" t="str">
        <f t="shared" si="2"/>
        <v>Old</v>
      </c>
      <c r="N178" t="s">
        <v>15</v>
      </c>
      <c r="R178">
        <v>20970</v>
      </c>
      <c r="S178" t="s">
        <v>36</v>
      </c>
      <c r="T178" t="s">
        <v>38</v>
      </c>
      <c r="U178" s="4">
        <v>10000</v>
      </c>
      <c r="V178">
        <v>2</v>
      </c>
      <c r="W178" t="s">
        <v>19</v>
      </c>
      <c r="X178" t="s">
        <v>25</v>
      </c>
      <c r="Y178" t="s">
        <v>15</v>
      </c>
      <c r="Z178">
        <v>1</v>
      </c>
      <c r="AA178" t="s">
        <v>16</v>
      </c>
      <c r="AB178" t="s">
        <v>17</v>
      </c>
      <c r="AC178">
        <v>52</v>
      </c>
      <c r="AD178" t="s">
        <v>44</v>
      </c>
      <c r="BL178">
        <v>27756</v>
      </c>
      <c r="BM178" t="s">
        <v>36</v>
      </c>
      <c r="BN178" t="s">
        <v>37</v>
      </c>
      <c r="BO178" s="4">
        <v>50000</v>
      </c>
      <c r="BP178" s="4">
        <v>50000</v>
      </c>
      <c r="BQ178">
        <v>3</v>
      </c>
      <c r="BR178" t="s">
        <v>14</v>
      </c>
      <c r="BS178" t="s">
        <v>18</v>
      </c>
      <c r="BT178">
        <v>40</v>
      </c>
      <c r="CB178">
        <v>25898</v>
      </c>
      <c r="CC178" t="s">
        <v>35</v>
      </c>
      <c r="CD178" t="s">
        <v>37</v>
      </c>
      <c r="CE178" s="4">
        <v>70000</v>
      </c>
      <c r="CF178">
        <v>2</v>
      </c>
      <c r="CG178" t="s">
        <v>21</v>
      </c>
      <c r="CH178" t="s">
        <v>15</v>
      </c>
      <c r="CI178">
        <v>53</v>
      </c>
      <c r="CK178">
        <v>25898</v>
      </c>
      <c r="CL178" t="s">
        <v>35</v>
      </c>
      <c r="CM178" t="s">
        <v>37</v>
      </c>
      <c r="CN178" s="4">
        <v>70000</v>
      </c>
      <c r="CO178">
        <v>2</v>
      </c>
      <c r="CP178" t="s">
        <v>21</v>
      </c>
      <c r="CQ178" t="s">
        <v>15</v>
      </c>
      <c r="CR178">
        <v>53</v>
      </c>
      <c r="CS178">
        <v>2</v>
      </c>
    </row>
    <row r="179" spans="1:97" x14ac:dyDescent="0.25">
      <c r="A179">
        <v>11262</v>
      </c>
      <c r="B179" t="s">
        <v>35</v>
      </c>
      <c r="C179" t="s">
        <v>37</v>
      </c>
      <c r="D179" s="11">
        <v>80000</v>
      </c>
      <c r="E179">
        <v>4</v>
      </c>
      <c r="F179" t="s">
        <v>13</v>
      </c>
      <c r="G179" t="s">
        <v>28</v>
      </c>
      <c r="H179" t="s">
        <v>15</v>
      </c>
      <c r="I179">
        <v>0</v>
      </c>
      <c r="J179" t="s">
        <v>16</v>
      </c>
      <c r="K179" t="s">
        <v>31</v>
      </c>
      <c r="L179">
        <v>42</v>
      </c>
      <c r="M179" t="str">
        <f t="shared" si="2"/>
        <v>MIddleAge</v>
      </c>
      <c r="N179" t="s">
        <v>18</v>
      </c>
      <c r="R179">
        <v>19445</v>
      </c>
      <c r="S179" t="s">
        <v>35</v>
      </c>
      <c r="T179" t="s">
        <v>37</v>
      </c>
      <c r="U179" s="4">
        <v>10000</v>
      </c>
      <c r="V179">
        <v>2</v>
      </c>
      <c r="W179" t="s">
        <v>27</v>
      </c>
      <c r="X179" t="s">
        <v>25</v>
      </c>
      <c r="Y179" t="s">
        <v>18</v>
      </c>
      <c r="Z179">
        <v>1</v>
      </c>
      <c r="AA179" t="s">
        <v>16</v>
      </c>
      <c r="AB179" t="s">
        <v>17</v>
      </c>
      <c r="AC179">
        <v>38</v>
      </c>
      <c r="AD179" t="s">
        <v>44</v>
      </c>
      <c r="BL179">
        <v>26452</v>
      </c>
      <c r="BM179" t="s">
        <v>36</v>
      </c>
      <c r="BN179" t="s">
        <v>38</v>
      </c>
      <c r="BO179" s="4">
        <v>50000</v>
      </c>
      <c r="BP179" s="4">
        <v>50000</v>
      </c>
      <c r="BQ179">
        <v>3</v>
      </c>
      <c r="BR179" t="s">
        <v>28</v>
      </c>
      <c r="BS179" t="s">
        <v>15</v>
      </c>
      <c r="BT179">
        <v>69</v>
      </c>
      <c r="CB179">
        <v>25065</v>
      </c>
      <c r="CC179" t="s">
        <v>35</v>
      </c>
      <c r="CD179" t="s">
        <v>38</v>
      </c>
      <c r="CE179" s="4">
        <v>70000</v>
      </c>
      <c r="CF179">
        <v>2</v>
      </c>
      <c r="CG179" t="s">
        <v>14</v>
      </c>
      <c r="CH179" t="s">
        <v>15</v>
      </c>
      <c r="CI179">
        <v>48</v>
      </c>
      <c r="CK179">
        <v>25065</v>
      </c>
      <c r="CL179" t="s">
        <v>35</v>
      </c>
      <c r="CM179" t="s">
        <v>38</v>
      </c>
      <c r="CN179" s="4">
        <v>70000</v>
      </c>
      <c r="CO179">
        <v>2</v>
      </c>
      <c r="CP179" t="s">
        <v>14</v>
      </c>
      <c r="CQ179" t="s">
        <v>15</v>
      </c>
      <c r="CR179">
        <v>48</v>
      </c>
      <c r="CS179">
        <v>2</v>
      </c>
    </row>
    <row r="180" spans="1:97" x14ac:dyDescent="0.25">
      <c r="A180">
        <v>26415</v>
      </c>
      <c r="B180" t="s">
        <v>35</v>
      </c>
      <c r="C180" t="s">
        <v>37</v>
      </c>
      <c r="D180" s="11">
        <v>90000</v>
      </c>
      <c r="E180">
        <v>4</v>
      </c>
      <c r="F180" t="s">
        <v>29</v>
      </c>
      <c r="G180" t="s">
        <v>14</v>
      </c>
      <c r="H180" t="s">
        <v>15</v>
      </c>
      <c r="I180">
        <v>4</v>
      </c>
      <c r="J180" t="s">
        <v>42</v>
      </c>
      <c r="K180" t="s">
        <v>17</v>
      </c>
      <c r="L180">
        <v>58</v>
      </c>
      <c r="M180" t="str">
        <f t="shared" si="2"/>
        <v>Old</v>
      </c>
      <c r="N180" t="s">
        <v>18</v>
      </c>
      <c r="R180">
        <v>19255</v>
      </c>
      <c r="S180" t="s">
        <v>36</v>
      </c>
      <c r="T180" t="s">
        <v>38</v>
      </c>
      <c r="U180" s="4">
        <v>10000</v>
      </c>
      <c r="V180">
        <v>2</v>
      </c>
      <c r="W180" t="s">
        <v>19</v>
      </c>
      <c r="X180" t="s">
        <v>25</v>
      </c>
      <c r="Y180" t="s">
        <v>15</v>
      </c>
      <c r="Z180">
        <v>1</v>
      </c>
      <c r="AA180" t="s">
        <v>16</v>
      </c>
      <c r="AB180" t="s">
        <v>17</v>
      </c>
      <c r="AC180">
        <v>51</v>
      </c>
      <c r="AD180" t="s">
        <v>44</v>
      </c>
      <c r="BL180">
        <v>23893</v>
      </c>
      <c r="BM180" t="s">
        <v>35</v>
      </c>
      <c r="BN180" t="s">
        <v>38</v>
      </c>
      <c r="BO180" s="4">
        <v>50000</v>
      </c>
      <c r="BP180" s="4">
        <v>50000</v>
      </c>
      <c r="BQ180">
        <v>3</v>
      </c>
      <c r="BR180" t="s">
        <v>14</v>
      </c>
      <c r="BS180" t="s">
        <v>15</v>
      </c>
      <c r="BT180">
        <v>41</v>
      </c>
      <c r="CB180">
        <v>20430</v>
      </c>
      <c r="CC180" t="s">
        <v>35</v>
      </c>
      <c r="CD180" t="s">
        <v>38</v>
      </c>
      <c r="CE180" s="4">
        <v>70000</v>
      </c>
      <c r="CF180">
        <v>2</v>
      </c>
      <c r="CG180" t="s">
        <v>14</v>
      </c>
      <c r="CH180" t="s">
        <v>15</v>
      </c>
      <c r="CI180">
        <v>52</v>
      </c>
      <c r="CK180">
        <v>20430</v>
      </c>
      <c r="CL180" t="s">
        <v>35</v>
      </c>
      <c r="CM180" t="s">
        <v>38</v>
      </c>
      <c r="CN180" s="4">
        <v>70000</v>
      </c>
      <c r="CO180">
        <v>2</v>
      </c>
      <c r="CP180" t="s">
        <v>14</v>
      </c>
      <c r="CQ180" t="s">
        <v>15</v>
      </c>
      <c r="CR180">
        <v>52</v>
      </c>
      <c r="CS180">
        <v>2</v>
      </c>
    </row>
    <row r="181" spans="1:97" x14ac:dyDescent="0.25">
      <c r="A181">
        <v>24871</v>
      </c>
      <c r="B181" t="s">
        <v>36</v>
      </c>
      <c r="C181" t="s">
        <v>37</v>
      </c>
      <c r="D181" s="11">
        <v>90000</v>
      </c>
      <c r="E181">
        <v>4</v>
      </c>
      <c r="F181" t="s">
        <v>27</v>
      </c>
      <c r="G181" t="s">
        <v>28</v>
      </c>
      <c r="H181" t="s">
        <v>18</v>
      </c>
      <c r="I181">
        <v>3</v>
      </c>
      <c r="J181" t="s">
        <v>23</v>
      </c>
      <c r="K181" t="s">
        <v>17</v>
      </c>
      <c r="L181">
        <v>56</v>
      </c>
      <c r="M181" t="str">
        <f t="shared" si="2"/>
        <v>Old</v>
      </c>
      <c r="N181" t="s">
        <v>18</v>
      </c>
      <c r="R181">
        <v>14547</v>
      </c>
      <c r="S181" t="s">
        <v>35</v>
      </c>
      <c r="T181" t="s">
        <v>38</v>
      </c>
      <c r="U181" s="4">
        <v>10000</v>
      </c>
      <c r="V181">
        <v>2</v>
      </c>
      <c r="W181" t="s">
        <v>19</v>
      </c>
      <c r="X181" t="s">
        <v>25</v>
      </c>
      <c r="Y181" t="s">
        <v>15</v>
      </c>
      <c r="Z181">
        <v>0</v>
      </c>
      <c r="AA181" t="s">
        <v>26</v>
      </c>
      <c r="AB181" t="s">
        <v>17</v>
      </c>
      <c r="AC181">
        <v>51</v>
      </c>
      <c r="AD181" t="s">
        <v>44</v>
      </c>
      <c r="BL181">
        <v>23200</v>
      </c>
      <c r="BM181" t="s">
        <v>35</v>
      </c>
      <c r="BN181" t="s">
        <v>37</v>
      </c>
      <c r="BO181" s="4">
        <v>50000</v>
      </c>
      <c r="BP181" s="4">
        <v>50000</v>
      </c>
      <c r="BQ181">
        <v>3</v>
      </c>
      <c r="BR181" t="s">
        <v>14</v>
      </c>
      <c r="BS181" t="s">
        <v>15</v>
      </c>
      <c r="BT181">
        <v>41</v>
      </c>
      <c r="CB181">
        <v>19889</v>
      </c>
      <c r="CC181" t="s">
        <v>36</v>
      </c>
      <c r="CD181" t="s">
        <v>37</v>
      </c>
      <c r="CE181" s="4">
        <v>70000</v>
      </c>
      <c r="CF181">
        <v>2</v>
      </c>
      <c r="CG181" t="s">
        <v>14</v>
      </c>
      <c r="CH181" t="s">
        <v>18</v>
      </c>
      <c r="CI181">
        <v>54</v>
      </c>
      <c r="CK181">
        <v>19889</v>
      </c>
      <c r="CL181" t="s">
        <v>36</v>
      </c>
      <c r="CM181" t="s">
        <v>37</v>
      </c>
      <c r="CN181" s="4">
        <v>70000</v>
      </c>
      <c r="CO181">
        <v>2</v>
      </c>
      <c r="CP181" t="s">
        <v>14</v>
      </c>
      <c r="CQ181" t="s">
        <v>18</v>
      </c>
      <c r="CR181">
        <v>54</v>
      </c>
      <c r="CS181">
        <v>2</v>
      </c>
    </row>
    <row r="182" spans="1:97" x14ac:dyDescent="0.25">
      <c r="A182">
        <v>24416</v>
      </c>
      <c r="B182" t="s">
        <v>35</v>
      </c>
      <c r="C182" t="s">
        <v>38</v>
      </c>
      <c r="D182" s="11">
        <v>90000</v>
      </c>
      <c r="E182">
        <v>4</v>
      </c>
      <c r="F182" t="s">
        <v>27</v>
      </c>
      <c r="G182" t="s">
        <v>21</v>
      </c>
      <c r="H182" t="s">
        <v>15</v>
      </c>
      <c r="I182">
        <v>2</v>
      </c>
      <c r="J182" t="s">
        <v>26</v>
      </c>
      <c r="K182" t="s">
        <v>31</v>
      </c>
      <c r="L182">
        <v>45</v>
      </c>
      <c r="M182" t="str">
        <f t="shared" si="2"/>
        <v>MIddleAge</v>
      </c>
      <c r="N182" t="s">
        <v>18</v>
      </c>
      <c r="R182">
        <v>12274</v>
      </c>
      <c r="S182" t="s">
        <v>36</v>
      </c>
      <c r="T182" t="s">
        <v>38</v>
      </c>
      <c r="U182" s="4">
        <v>10000</v>
      </c>
      <c r="V182">
        <v>2</v>
      </c>
      <c r="W182" t="s">
        <v>27</v>
      </c>
      <c r="X182" t="s">
        <v>25</v>
      </c>
      <c r="Y182" t="s">
        <v>15</v>
      </c>
      <c r="Z182">
        <v>0</v>
      </c>
      <c r="AA182" t="s">
        <v>16</v>
      </c>
      <c r="AB182" t="s">
        <v>17</v>
      </c>
      <c r="AC182">
        <v>35</v>
      </c>
      <c r="AD182" t="s">
        <v>44</v>
      </c>
      <c r="BL182">
        <v>23197</v>
      </c>
      <c r="BM182" t="s">
        <v>35</v>
      </c>
      <c r="BN182" t="s">
        <v>38</v>
      </c>
      <c r="BO182" s="4">
        <v>50000</v>
      </c>
      <c r="BP182" s="4">
        <v>50000</v>
      </c>
      <c r="BQ182">
        <v>3</v>
      </c>
      <c r="BR182" t="s">
        <v>14</v>
      </c>
      <c r="BS182" t="s">
        <v>15</v>
      </c>
      <c r="BT182">
        <v>40</v>
      </c>
      <c r="CB182">
        <v>18504</v>
      </c>
      <c r="CC182" t="s">
        <v>35</v>
      </c>
      <c r="CD182" t="s">
        <v>38</v>
      </c>
      <c r="CE182" s="4">
        <v>70000</v>
      </c>
      <c r="CF182">
        <v>2</v>
      </c>
      <c r="CG182" t="s">
        <v>14</v>
      </c>
      <c r="CH182" t="s">
        <v>18</v>
      </c>
      <c r="CI182">
        <v>49</v>
      </c>
      <c r="CK182">
        <v>18504</v>
      </c>
      <c r="CL182" t="s">
        <v>35</v>
      </c>
      <c r="CM182" t="s">
        <v>38</v>
      </c>
      <c r="CN182" s="4">
        <v>70000</v>
      </c>
      <c r="CO182">
        <v>2</v>
      </c>
      <c r="CP182" t="s">
        <v>14</v>
      </c>
      <c r="CQ182" t="s">
        <v>18</v>
      </c>
      <c r="CR182">
        <v>49</v>
      </c>
      <c r="CS182">
        <v>2</v>
      </c>
    </row>
    <row r="183" spans="1:97" x14ac:dyDescent="0.25">
      <c r="A183">
        <v>22930</v>
      </c>
      <c r="B183" t="s">
        <v>35</v>
      </c>
      <c r="C183" t="s">
        <v>38</v>
      </c>
      <c r="D183" s="11">
        <v>90000</v>
      </c>
      <c r="E183">
        <v>4</v>
      </c>
      <c r="F183" t="s">
        <v>13</v>
      </c>
      <c r="G183" t="s">
        <v>21</v>
      </c>
      <c r="H183" t="s">
        <v>15</v>
      </c>
      <c r="I183">
        <v>0</v>
      </c>
      <c r="J183" t="s">
        <v>26</v>
      </c>
      <c r="K183" t="s">
        <v>24</v>
      </c>
      <c r="L183">
        <v>38</v>
      </c>
      <c r="M183" t="str">
        <f t="shared" si="2"/>
        <v>MIddleAge</v>
      </c>
      <c r="N183" t="s">
        <v>15</v>
      </c>
      <c r="R183">
        <v>12234</v>
      </c>
      <c r="S183" t="s">
        <v>35</v>
      </c>
      <c r="T183" t="s">
        <v>38</v>
      </c>
      <c r="U183" s="4">
        <v>10000</v>
      </c>
      <c r="V183">
        <v>2</v>
      </c>
      <c r="W183" t="s">
        <v>19</v>
      </c>
      <c r="X183" t="s">
        <v>25</v>
      </c>
      <c r="Y183" t="s">
        <v>15</v>
      </c>
      <c r="Z183">
        <v>1</v>
      </c>
      <c r="AA183" t="s">
        <v>22</v>
      </c>
      <c r="AB183" t="s">
        <v>17</v>
      </c>
      <c r="AC183">
        <v>52</v>
      </c>
      <c r="AD183" t="s">
        <v>44</v>
      </c>
      <c r="BL183">
        <v>23195</v>
      </c>
      <c r="BM183" t="s">
        <v>36</v>
      </c>
      <c r="BN183" t="s">
        <v>38</v>
      </c>
      <c r="BO183" s="4">
        <v>50000</v>
      </c>
      <c r="BP183" s="4">
        <v>50000</v>
      </c>
      <c r="BQ183">
        <v>3</v>
      </c>
      <c r="BR183" t="s">
        <v>14</v>
      </c>
      <c r="BS183" t="s">
        <v>15</v>
      </c>
      <c r="BT183">
        <v>41</v>
      </c>
      <c r="CB183">
        <v>18491</v>
      </c>
      <c r="CC183" t="s">
        <v>36</v>
      </c>
      <c r="CD183" t="s">
        <v>37</v>
      </c>
      <c r="CE183" s="4">
        <v>70000</v>
      </c>
      <c r="CF183">
        <v>2</v>
      </c>
      <c r="CG183" t="s">
        <v>21</v>
      </c>
      <c r="CH183" t="s">
        <v>15</v>
      </c>
      <c r="CI183">
        <v>49</v>
      </c>
      <c r="CK183">
        <v>18491</v>
      </c>
      <c r="CL183" t="s">
        <v>36</v>
      </c>
      <c r="CM183" t="s">
        <v>37</v>
      </c>
      <c r="CN183" s="4">
        <v>70000</v>
      </c>
      <c r="CO183">
        <v>2</v>
      </c>
      <c r="CP183" t="s">
        <v>21</v>
      </c>
      <c r="CQ183" t="s">
        <v>15</v>
      </c>
      <c r="CR183">
        <v>49</v>
      </c>
      <c r="CS183">
        <v>2</v>
      </c>
    </row>
    <row r="184" spans="1:97" x14ac:dyDescent="0.25">
      <c r="A184">
        <v>22050</v>
      </c>
      <c r="B184" t="s">
        <v>36</v>
      </c>
      <c r="C184" t="s">
        <v>38</v>
      </c>
      <c r="D184" s="11">
        <v>90000</v>
      </c>
      <c r="E184">
        <v>4</v>
      </c>
      <c r="F184" t="s">
        <v>13</v>
      </c>
      <c r="G184" t="s">
        <v>28</v>
      </c>
      <c r="H184" t="s">
        <v>15</v>
      </c>
      <c r="I184">
        <v>1</v>
      </c>
      <c r="J184" t="s">
        <v>26</v>
      </c>
      <c r="K184" t="s">
        <v>31</v>
      </c>
      <c r="L184">
        <v>38</v>
      </c>
      <c r="M184" t="str">
        <f t="shared" si="2"/>
        <v>MIddleAge</v>
      </c>
      <c r="N184" t="s">
        <v>15</v>
      </c>
      <c r="R184">
        <v>27218</v>
      </c>
      <c r="S184" t="s">
        <v>35</v>
      </c>
      <c r="T184" t="s">
        <v>37</v>
      </c>
      <c r="U184" s="4">
        <v>20000</v>
      </c>
      <c r="V184">
        <v>2</v>
      </c>
      <c r="W184" t="s">
        <v>29</v>
      </c>
      <c r="X184" t="s">
        <v>20</v>
      </c>
      <c r="Y184" t="s">
        <v>18</v>
      </c>
      <c r="Z184">
        <v>0</v>
      </c>
      <c r="AA184" t="s">
        <v>16</v>
      </c>
      <c r="AB184" t="s">
        <v>31</v>
      </c>
      <c r="AC184">
        <v>48</v>
      </c>
      <c r="AD184" t="s">
        <v>44</v>
      </c>
      <c r="BL184">
        <v>28972</v>
      </c>
      <c r="BM184" t="s">
        <v>36</v>
      </c>
      <c r="BN184" t="s">
        <v>37</v>
      </c>
      <c r="BO184" s="4">
        <v>60000</v>
      </c>
      <c r="BP184" s="4">
        <v>60000</v>
      </c>
      <c r="BQ184">
        <v>3</v>
      </c>
      <c r="BR184" t="s">
        <v>28</v>
      </c>
      <c r="BS184" t="s">
        <v>15</v>
      </c>
      <c r="BT184">
        <v>66</v>
      </c>
      <c r="CB184">
        <v>14032</v>
      </c>
      <c r="CC184" t="s">
        <v>35</v>
      </c>
      <c r="CD184" t="s">
        <v>38</v>
      </c>
      <c r="CE184" s="4">
        <v>70000</v>
      </c>
      <c r="CF184">
        <v>2</v>
      </c>
      <c r="CG184" t="s">
        <v>14</v>
      </c>
      <c r="CH184" t="s">
        <v>18</v>
      </c>
      <c r="CI184">
        <v>50</v>
      </c>
      <c r="CK184">
        <v>14032</v>
      </c>
      <c r="CL184" t="s">
        <v>35</v>
      </c>
      <c r="CM184" t="s">
        <v>38</v>
      </c>
      <c r="CN184" s="4">
        <v>70000</v>
      </c>
      <c r="CO184">
        <v>2</v>
      </c>
      <c r="CP184" t="s">
        <v>14</v>
      </c>
      <c r="CQ184" t="s">
        <v>18</v>
      </c>
      <c r="CR184">
        <v>50</v>
      </c>
      <c r="CS184">
        <v>2</v>
      </c>
    </row>
    <row r="185" spans="1:97" x14ac:dyDescent="0.25">
      <c r="A185">
        <v>20343</v>
      </c>
      <c r="B185" t="s">
        <v>35</v>
      </c>
      <c r="C185" t="s">
        <v>37</v>
      </c>
      <c r="D185" s="11">
        <v>90000</v>
      </c>
      <c r="E185">
        <v>4</v>
      </c>
      <c r="F185" t="s">
        <v>19</v>
      </c>
      <c r="G185" t="s">
        <v>21</v>
      </c>
      <c r="H185" t="s">
        <v>15</v>
      </c>
      <c r="I185">
        <v>1</v>
      </c>
      <c r="J185" t="s">
        <v>26</v>
      </c>
      <c r="K185" t="s">
        <v>31</v>
      </c>
      <c r="L185">
        <v>45</v>
      </c>
      <c r="M185" t="str">
        <f t="shared" si="2"/>
        <v>MIddleAge</v>
      </c>
      <c r="N185" t="s">
        <v>18</v>
      </c>
      <c r="R185">
        <v>27040</v>
      </c>
      <c r="S185" t="s">
        <v>35</v>
      </c>
      <c r="T185" t="s">
        <v>38</v>
      </c>
      <c r="U185" s="4">
        <v>20000</v>
      </c>
      <c r="V185">
        <v>2</v>
      </c>
      <c r="W185" t="s">
        <v>29</v>
      </c>
      <c r="X185" t="s">
        <v>20</v>
      </c>
      <c r="Y185" t="s">
        <v>15</v>
      </c>
      <c r="Z185">
        <v>2</v>
      </c>
      <c r="AA185" t="s">
        <v>26</v>
      </c>
      <c r="AB185" t="s">
        <v>31</v>
      </c>
      <c r="AC185">
        <v>49</v>
      </c>
      <c r="AD185" t="s">
        <v>44</v>
      </c>
      <c r="BL185">
        <v>28004</v>
      </c>
      <c r="BM185" t="s">
        <v>35</v>
      </c>
      <c r="BN185" t="s">
        <v>37</v>
      </c>
      <c r="BO185" s="4">
        <v>60000</v>
      </c>
      <c r="BP185" s="4">
        <v>60000</v>
      </c>
      <c r="BQ185">
        <v>3</v>
      </c>
      <c r="BR185" t="s">
        <v>28</v>
      </c>
      <c r="BS185" t="s">
        <v>15</v>
      </c>
      <c r="BT185">
        <v>66</v>
      </c>
      <c r="CB185">
        <v>11061</v>
      </c>
      <c r="CC185" t="s">
        <v>35</v>
      </c>
      <c r="CD185" t="s">
        <v>38</v>
      </c>
      <c r="CE185" s="4">
        <v>70000</v>
      </c>
      <c r="CF185">
        <v>2</v>
      </c>
      <c r="CG185" t="s">
        <v>14</v>
      </c>
      <c r="CH185" t="s">
        <v>15</v>
      </c>
      <c r="CI185">
        <v>52</v>
      </c>
      <c r="CK185">
        <v>11061</v>
      </c>
      <c r="CL185" t="s">
        <v>35</v>
      </c>
      <c r="CM185" t="s">
        <v>38</v>
      </c>
      <c r="CN185" s="4">
        <v>70000</v>
      </c>
      <c r="CO185">
        <v>2</v>
      </c>
      <c r="CP185" t="s">
        <v>14</v>
      </c>
      <c r="CQ185" t="s">
        <v>15</v>
      </c>
      <c r="CR185">
        <v>52</v>
      </c>
      <c r="CS185">
        <v>2</v>
      </c>
    </row>
    <row r="186" spans="1:97" x14ac:dyDescent="0.25">
      <c r="A186">
        <v>19661</v>
      </c>
      <c r="B186" t="s">
        <v>36</v>
      </c>
      <c r="C186" t="s">
        <v>38</v>
      </c>
      <c r="D186" s="11">
        <v>90000</v>
      </c>
      <c r="E186">
        <v>4</v>
      </c>
      <c r="F186" t="s">
        <v>13</v>
      </c>
      <c r="G186" t="s">
        <v>28</v>
      </c>
      <c r="H186" t="s">
        <v>15</v>
      </c>
      <c r="I186">
        <v>1</v>
      </c>
      <c r="J186" t="s">
        <v>26</v>
      </c>
      <c r="K186" t="s">
        <v>31</v>
      </c>
      <c r="L186">
        <v>38</v>
      </c>
      <c r="M186" t="str">
        <f t="shared" si="2"/>
        <v>MIddleAge</v>
      </c>
      <c r="N186" t="s">
        <v>15</v>
      </c>
      <c r="R186">
        <v>25940</v>
      </c>
      <c r="S186" t="s">
        <v>36</v>
      </c>
      <c r="T186" t="s">
        <v>38</v>
      </c>
      <c r="U186" s="4">
        <v>20000</v>
      </c>
      <c r="V186">
        <v>2</v>
      </c>
      <c r="W186" t="s">
        <v>29</v>
      </c>
      <c r="X186" t="s">
        <v>20</v>
      </c>
      <c r="Y186" t="s">
        <v>15</v>
      </c>
      <c r="Z186">
        <v>2</v>
      </c>
      <c r="AA186" t="s">
        <v>23</v>
      </c>
      <c r="AB186" t="s">
        <v>24</v>
      </c>
      <c r="AC186">
        <v>55</v>
      </c>
      <c r="AD186" t="s">
        <v>45</v>
      </c>
      <c r="BL186">
        <v>27673</v>
      </c>
      <c r="BM186" t="s">
        <v>36</v>
      </c>
      <c r="BN186" t="s">
        <v>37</v>
      </c>
      <c r="BO186" s="4">
        <v>60000</v>
      </c>
      <c r="BP186" s="4">
        <v>60000</v>
      </c>
      <c r="BQ186">
        <v>3</v>
      </c>
      <c r="BR186" t="s">
        <v>28</v>
      </c>
      <c r="BS186" t="s">
        <v>15</v>
      </c>
      <c r="BT186">
        <v>53</v>
      </c>
      <c r="CB186">
        <v>28228</v>
      </c>
      <c r="CC186" t="s">
        <v>36</v>
      </c>
      <c r="CD186" t="s">
        <v>37</v>
      </c>
      <c r="CE186" s="4">
        <v>80000</v>
      </c>
      <c r="CF186">
        <v>2</v>
      </c>
      <c r="CG186" t="s">
        <v>14</v>
      </c>
      <c r="CH186" t="s">
        <v>18</v>
      </c>
      <c r="CI186">
        <v>50</v>
      </c>
      <c r="CK186">
        <v>28228</v>
      </c>
      <c r="CL186" t="s">
        <v>36</v>
      </c>
      <c r="CM186" t="s">
        <v>37</v>
      </c>
      <c r="CN186" s="4">
        <v>80000</v>
      </c>
      <c r="CO186">
        <v>2</v>
      </c>
      <c r="CP186" t="s">
        <v>14</v>
      </c>
      <c r="CQ186" t="s">
        <v>18</v>
      </c>
      <c r="CR186">
        <v>50</v>
      </c>
      <c r="CS186">
        <v>2</v>
      </c>
    </row>
    <row r="187" spans="1:97" x14ac:dyDescent="0.25">
      <c r="A187">
        <v>14432</v>
      </c>
      <c r="B187" t="s">
        <v>36</v>
      </c>
      <c r="C187" t="s">
        <v>38</v>
      </c>
      <c r="D187" s="11">
        <v>90000</v>
      </c>
      <c r="E187">
        <v>4</v>
      </c>
      <c r="F187" t="s">
        <v>30</v>
      </c>
      <c r="G187" t="s">
        <v>28</v>
      </c>
      <c r="H187" t="s">
        <v>15</v>
      </c>
      <c r="I187">
        <v>1</v>
      </c>
      <c r="J187" t="s">
        <v>23</v>
      </c>
      <c r="K187" t="s">
        <v>31</v>
      </c>
      <c r="L187">
        <v>73</v>
      </c>
      <c r="M187" t="str">
        <f t="shared" si="2"/>
        <v>Old</v>
      </c>
      <c r="N187" t="s">
        <v>18</v>
      </c>
      <c r="R187">
        <v>25752</v>
      </c>
      <c r="S187" t="s">
        <v>36</v>
      </c>
      <c r="T187" t="s">
        <v>37</v>
      </c>
      <c r="U187" s="4">
        <v>20000</v>
      </c>
      <c r="V187">
        <v>2</v>
      </c>
      <c r="W187" t="s">
        <v>19</v>
      </c>
      <c r="X187" t="s">
        <v>25</v>
      </c>
      <c r="Y187" t="s">
        <v>18</v>
      </c>
      <c r="Z187">
        <v>1</v>
      </c>
      <c r="AA187" t="s">
        <v>16</v>
      </c>
      <c r="AB187" t="s">
        <v>17</v>
      </c>
      <c r="AC187">
        <v>53</v>
      </c>
      <c r="AD187" t="s">
        <v>44</v>
      </c>
      <c r="BL187">
        <v>27441</v>
      </c>
      <c r="BM187" t="s">
        <v>35</v>
      </c>
      <c r="BN187" t="s">
        <v>38</v>
      </c>
      <c r="BO187" s="4">
        <v>60000</v>
      </c>
      <c r="BP187" s="4">
        <v>60000</v>
      </c>
      <c r="BQ187">
        <v>3</v>
      </c>
      <c r="BR187" t="s">
        <v>21</v>
      </c>
      <c r="BS187" t="s">
        <v>18</v>
      </c>
      <c r="BT187">
        <v>53</v>
      </c>
      <c r="CB187">
        <v>26678</v>
      </c>
      <c r="CC187" t="s">
        <v>36</v>
      </c>
      <c r="CD187" t="s">
        <v>37</v>
      </c>
      <c r="CE187" s="4">
        <v>80000</v>
      </c>
      <c r="CF187">
        <v>2</v>
      </c>
      <c r="CG187" t="s">
        <v>14</v>
      </c>
      <c r="CH187" t="s">
        <v>15</v>
      </c>
      <c r="CI187">
        <v>49</v>
      </c>
      <c r="CK187">
        <v>26678</v>
      </c>
      <c r="CL187" t="s">
        <v>36</v>
      </c>
      <c r="CM187" t="s">
        <v>37</v>
      </c>
      <c r="CN187" s="4">
        <v>80000</v>
      </c>
      <c r="CO187">
        <v>2</v>
      </c>
      <c r="CP187" t="s">
        <v>14</v>
      </c>
      <c r="CQ187" t="s">
        <v>15</v>
      </c>
      <c r="CR187">
        <v>49</v>
      </c>
      <c r="CS187">
        <v>2</v>
      </c>
    </row>
    <row r="188" spans="1:97" x14ac:dyDescent="0.25">
      <c r="A188">
        <v>14192</v>
      </c>
      <c r="B188" t="s">
        <v>35</v>
      </c>
      <c r="C188" t="s">
        <v>38</v>
      </c>
      <c r="D188" s="11">
        <v>90000</v>
      </c>
      <c r="E188">
        <v>4</v>
      </c>
      <c r="F188" t="s">
        <v>27</v>
      </c>
      <c r="G188" t="s">
        <v>28</v>
      </c>
      <c r="H188" t="s">
        <v>15</v>
      </c>
      <c r="I188">
        <v>3</v>
      </c>
      <c r="J188" t="s">
        <v>23</v>
      </c>
      <c r="K188" t="s">
        <v>17</v>
      </c>
      <c r="L188">
        <v>56</v>
      </c>
      <c r="M188" t="str">
        <f t="shared" si="2"/>
        <v>Old</v>
      </c>
      <c r="N188" t="s">
        <v>15</v>
      </c>
      <c r="R188">
        <v>25605</v>
      </c>
      <c r="S188" t="s">
        <v>36</v>
      </c>
      <c r="T188" t="s">
        <v>37</v>
      </c>
      <c r="U188" s="4">
        <v>20000</v>
      </c>
      <c r="V188">
        <v>2</v>
      </c>
      <c r="W188" t="s">
        <v>19</v>
      </c>
      <c r="X188" t="s">
        <v>25</v>
      </c>
      <c r="Y188" t="s">
        <v>18</v>
      </c>
      <c r="Z188">
        <v>1</v>
      </c>
      <c r="AA188" t="s">
        <v>16</v>
      </c>
      <c r="AB188" t="s">
        <v>17</v>
      </c>
      <c r="AC188">
        <v>54</v>
      </c>
      <c r="AD188" t="s">
        <v>44</v>
      </c>
      <c r="BL188">
        <v>27388</v>
      </c>
      <c r="BM188" t="s">
        <v>35</v>
      </c>
      <c r="BN188" t="s">
        <v>38</v>
      </c>
      <c r="BO188" s="4">
        <v>60000</v>
      </c>
      <c r="BP188" s="4">
        <v>60000</v>
      </c>
      <c r="BQ188">
        <v>3</v>
      </c>
      <c r="BR188" t="s">
        <v>28</v>
      </c>
      <c r="BS188" t="s">
        <v>18</v>
      </c>
      <c r="BT188">
        <v>66</v>
      </c>
      <c r="CB188">
        <v>23455</v>
      </c>
      <c r="CC188" t="s">
        <v>36</v>
      </c>
      <c r="CD188" t="s">
        <v>38</v>
      </c>
      <c r="CE188" s="4">
        <v>80000</v>
      </c>
      <c r="CF188">
        <v>2</v>
      </c>
      <c r="CG188" t="s">
        <v>14</v>
      </c>
      <c r="CH188" t="s">
        <v>18</v>
      </c>
      <c r="CI188">
        <v>50</v>
      </c>
      <c r="CK188">
        <v>23455</v>
      </c>
      <c r="CL188" t="s">
        <v>36</v>
      </c>
      <c r="CM188" t="s">
        <v>38</v>
      </c>
      <c r="CN188" s="4">
        <v>80000</v>
      </c>
      <c r="CO188">
        <v>2</v>
      </c>
      <c r="CP188" t="s">
        <v>14</v>
      </c>
      <c r="CQ188" t="s">
        <v>18</v>
      </c>
      <c r="CR188">
        <v>50</v>
      </c>
      <c r="CS188">
        <v>2</v>
      </c>
    </row>
    <row r="189" spans="1:97" x14ac:dyDescent="0.25">
      <c r="A189">
        <v>14189</v>
      </c>
      <c r="B189" t="s">
        <v>35</v>
      </c>
      <c r="C189" t="s">
        <v>37</v>
      </c>
      <c r="D189" s="11">
        <v>90000</v>
      </c>
      <c r="E189">
        <v>4</v>
      </c>
      <c r="F189" t="s">
        <v>27</v>
      </c>
      <c r="G189" t="s">
        <v>21</v>
      </c>
      <c r="H189" t="s">
        <v>18</v>
      </c>
      <c r="I189">
        <v>2</v>
      </c>
      <c r="J189" t="s">
        <v>22</v>
      </c>
      <c r="K189" t="s">
        <v>17</v>
      </c>
      <c r="L189">
        <v>54</v>
      </c>
      <c r="M189" t="str">
        <f t="shared" si="2"/>
        <v>MIddleAge</v>
      </c>
      <c r="N189" t="s">
        <v>15</v>
      </c>
      <c r="R189">
        <v>25026</v>
      </c>
      <c r="S189" t="s">
        <v>35</v>
      </c>
      <c r="T189" t="s">
        <v>38</v>
      </c>
      <c r="U189" s="4">
        <v>20000</v>
      </c>
      <c r="V189">
        <v>2</v>
      </c>
      <c r="W189" t="s">
        <v>29</v>
      </c>
      <c r="X189" t="s">
        <v>20</v>
      </c>
      <c r="Y189" t="s">
        <v>15</v>
      </c>
      <c r="Z189">
        <v>3</v>
      </c>
      <c r="AA189" t="s">
        <v>23</v>
      </c>
      <c r="AB189" t="s">
        <v>24</v>
      </c>
      <c r="AC189">
        <v>54</v>
      </c>
      <c r="AD189" t="s">
        <v>44</v>
      </c>
      <c r="BL189">
        <v>24943</v>
      </c>
      <c r="BM189" t="s">
        <v>35</v>
      </c>
      <c r="BN189" t="s">
        <v>38</v>
      </c>
      <c r="BO189" s="4">
        <v>60000</v>
      </c>
      <c r="BP189" s="4">
        <v>60000</v>
      </c>
      <c r="BQ189">
        <v>3</v>
      </c>
      <c r="BR189" t="s">
        <v>28</v>
      </c>
      <c r="BS189" t="s">
        <v>15</v>
      </c>
      <c r="BT189">
        <v>66</v>
      </c>
      <c r="CB189">
        <v>19784</v>
      </c>
      <c r="CC189" t="s">
        <v>35</v>
      </c>
      <c r="CD189" t="s">
        <v>37</v>
      </c>
      <c r="CE189" s="4">
        <v>80000</v>
      </c>
      <c r="CF189">
        <v>2</v>
      </c>
      <c r="CG189" t="s">
        <v>14</v>
      </c>
      <c r="CH189" t="s">
        <v>15</v>
      </c>
      <c r="CI189">
        <v>50</v>
      </c>
      <c r="CK189">
        <v>19784</v>
      </c>
      <c r="CL189" t="s">
        <v>35</v>
      </c>
      <c r="CM189" t="s">
        <v>37</v>
      </c>
      <c r="CN189" s="4">
        <v>80000</v>
      </c>
      <c r="CO189">
        <v>2</v>
      </c>
      <c r="CP189" t="s">
        <v>14</v>
      </c>
      <c r="CQ189" t="s">
        <v>15</v>
      </c>
      <c r="CR189">
        <v>50</v>
      </c>
      <c r="CS189">
        <v>2</v>
      </c>
    </row>
    <row r="190" spans="1:97" x14ac:dyDescent="0.25">
      <c r="A190">
        <v>12332</v>
      </c>
      <c r="B190" t="s">
        <v>35</v>
      </c>
      <c r="C190" t="s">
        <v>38</v>
      </c>
      <c r="D190" s="11">
        <v>90000</v>
      </c>
      <c r="E190">
        <v>4</v>
      </c>
      <c r="F190" t="s">
        <v>27</v>
      </c>
      <c r="G190" t="s">
        <v>28</v>
      </c>
      <c r="H190" t="s">
        <v>15</v>
      </c>
      <c r="I190">
        <v>3</v>
      </c>
      <c r="J190" t="s">
        <v>23</v>
      </c>
      <c r="K190" t="s">
        <v>17</v>
      </c>
      <c r="L190">
        <v>58</v>
      </c>
      <c r="M190" t="str">
        <f t="shared" si="2"/>
        <v>Old</v>
      </c>
      <c r="N190" t="s">
        <v>15</v>
      </c>
      <c r="R190">
        <v>23915</v>
      </c>
      <c r="S190" t="s">
        <v>35</v>
      </c>
      <c r="T190" t="s">
        <v>38</v>
      </c>
      <c r="U190" s="4">
        <v>20000</v>
      </c>
      <c r="V190">
        <v>2</v>
      </c>
      <c r="W190" t="s">
        <v>27</v>
      </c>
      <c r="X190" t="s">
        <v>25</v>
      </c>
      <c r="Y190" t="s">
        <v>15</v>
      </c>
      <c r="Z190">
        <v>2</v>
      </c>
      <c r="AA190" t="s">
        <v>16</v>
      </c>
      <c r="AB190" t="s">
        <v>17</v>
      </c>
      <c r="AC190">
        <v>42</v>
      </c>
      <c r="AD190" t="s">
        <v>44</v>
      </c>
      <c r="BL190">
        <v>24941</v>
      </c>
      <c r="BM190" t="s">
        <v>35</v>
      </c>
      <c r="BN190" t="s">
        <v>38</v>
      </c>
      <c r="BO190" s="4">
        <v>60000</v>
      </c>
      <c r="BP190" s="4">
        <v>60000</v>
      </c>
      <c r="BQ190">
        <v>3</v>
      </c>
      <c r="BR190" t="s">
        <v>28</v>
      </c>
      <c r="BS190" t="s">
        <v>15</v>
      </c>
      <c r="BT190">
        <v>66</v>
      </c>
      <c r="CB190">
        <v>18484</v>
      </c>
      <c r="CC190" t="s">
        <v>36</v>
      </c>
      <c r="CD190" t="s">
        <v>38</v>
      </c>
      <c r="CE190" s="4">
        <v>80000</v>
      </c>
      <c r="CF190">
        <v>2</v>
      </c>
      <c r="CG190" t="s">
        <v>14</v>
      </c>
      <c r="CH190" t="s">
        <v>18</v>
      </c>
      <c r="CI190">
        <v>50</v>
      </c>
      <c r="CK190">
        <v>18484</v>
      </c>
      <c r="CL190" t="s">
        <v>36</v>
      </c>
      <c r="CM190" t="s">
        <v>38</v>
      </c>
      <c r="CN190" s="4">
        <v>80000</v>
      </c>
      <c r="CO190">
        <v>2</v>
      </c>
      <c r="CP190" t="s">
        <v>14</v>
      </c>
      <c r="CQ190" t="s">
        <v>18</v>
      </c>
      <c r="CR190">
        <v>50</v>
      </c>
      <c r="CS190">
        <v>2</v>
      </c>
    </row>
    <row r="191" spans="1:97" x14ac:dyDescent="0.25">
      <c r="A191">
        <v>11303</v>
      </c>
      <c r="B191" t="s">
        <v>36</v>
      </c>
      <c r="C191" t="s">
        <v>37</v>
      </c>
      <c r="D191" s="11">
        <v>90000</v>
      </c>
      <c r="E191">
        <v>4</v>
      </c>
      <c r="F191" t="s">
        <v>27</v>
      </c>
      <c r="G191" t="s">
        <v>21</v>
      </c>
      <c r="H191" t="s">
        <v>18</v>
      </c>
      <c r="I191">
        <v>3</v>
      </c>
      <c r="J191" t="s">
        <v>26</v>
      </c>
      <c r="K191" t="s">
        <v>31</v>
      </c>
      <c r="L191">
        <v>45</v>
      </c>
      <c r="M191" t="str">
        <f t="shared" si="2"/>
        <v>MIddleAge</v>
      </c>
      <c r="N191" t="s">
        <v>15</v>
      </c>
      <c r="R191">
        <v>22155</v>
      </c>
      <c r="S191" t="s">
        <v>35</v>
      </c>
      <c r="T191" t="s">
        <v>38</v>
      </c>
      <c r="U191" s="4">
        <v>20000</v>
      </c>
      <c r="V191">
        <v>2</v>
      </c>
      <c r="W191" t="s">
        <v>29</v>
      </c>
      <c r="X191" t="s">
        <v>20</v>
      </c>
      <c r="Y191" t="s">
        <v>15</v>
      </c>
      <c r="Z191">
        <v>2</v>
      </c>
      <c r="AA191" t="s">
        <v>23</v>
      </c>
      <c r="AB191" t="s">
        <v>24</v>
      </c>
      <c r="AC191">
        <v>58</v>
      </c>
      <c r="AD191" t="s">
        <v>45</v>
      </c>
      <c r="BL191">
        <v>23672</v>
      </c>
      <c r="BM191" t="s">
        <v>35</v>
      </c>
      <c r="BN191" t="s">
        <v>37</v>
      </c>
      <c r="BO191" s="4">
        <v>60000</v>
      </c>
      <c r="BP191" s="4">
        <v>60000</v>
      </c>
      <c r="BQ191">
        <v>3</v>
      </c>
      <c r="BR191" t="s">
        <v>28</v>
      </c>
      <c r="BS191" t="s">
        <v>15</v>
      </c>
      <c r="BT191">
        <v>67</v>
      </c>
      <c r="CB191">
        <v>18423</v>
      </c>
      <c r="CC191" t="s">
        <v>36</v>
      </c>
      <c r="CD191" t="s">
        <v>38</v>
      </c>
      <c r="CE191" s="4">
        <v>80000</v>
      </c>
      <c r="CF191">
        <v>2</v>
      </c>
      <c r="CG191" t="s">
        <v>14</v>
      </c>
      <c r="CH191" t="s">
        <v>18</v>
      </c>
      <c r="CI191">
        <v>52</v>
      </c>
      <c r="CK191">
        <v>18423</v>
      </c>
      <c r="CL191" t="s">
        <v>36</v>
      </c>
      <c r="CM191" t="s">
        <v>38</v>
      </c>
      <c r="CN191" s="4">
        <v>80000</v>
      </c>
      <c r="CO191">
        <v>2</v>
      </c>
      <c r="CP191" t="s">
        <v>14</v>
      </c>
      <c r="CQ191" t="s">
        <v>18</v>
      </c>
      <c r="CR191">
        <v>52</v>
      </c>
      <c r="CS191">
        <v>2</v>
      </c>
    </row>
    <row r="192" spans="1:97" x14ac:dyDescent="0.25">
      <c r="A192">
        <v>18952</v>
      </c>
      <c r="B192" t="s">
        <v>35</v>
      </c>
      <c r="C192" t="s">
        <v>37</v>
      </c>
      <c r="D192" s="11">
        <v>100000</v>
      </c>
      <c r="E192">
        <v>4</v>
      </c>
      <c r="F192" t="s">
        <v>13</v>
      </c>
      <c r="G192" t="s">
        <v>28</v>
      </c>
      <c r="H192" t="s">
        <v>15</v>
      </c>
      <c r="I192">
        <v>4</v>
      </c>
      <c r="J192" t="s">
        <v>16</v>
      </c>
      <c r="K192" t="s">
        <v>31</v>
      </c>
      <c r="L192">
        <v>40</v>
      </c>
      <c r="M192" t="str">
        <f t="shared" si="2"/>
        <v>MIddleAge</v>
      </c>
      <c r="N192" t="s">
        <v>18</v>
      </c>
      <c r="R192">
        <v>21375</v>
      </c>
      <c r="S192" t="s">
        <v>36</v>
      </c>
      <c r="T192" t="s">
        <v>38</v>
      </c>
      <c r="U192" s="4">
        <v>20000</v>
      </c>
      <c r="V192">
        <v>2</v>
      </c>
      <c r="W192" t="s">
        <v>29</v>
      </c>
      <c r="X192" t="s">
        <v>20</v>
      </c>
      <c r="Y192" t="s">
        <v>15</v>
      </c>
      <c r="Z192">
        <v>2</v>
      </c>
      <c r="AA192" t="s">
        <v>23</v>
      </c>
      <c r="AB192" t="s">
        <v>24</v>
      </c>
      <c r="AC192">
        <v>57</v>
      </c>
      <c r="AD192" t="s">
        <v>45</v>
      </c>
      <c r="BL192">
        <v>23217</v>
      </c>
      <c r="BM192" t="s">
        <v>36</v>
      </c>
      <c r="BN192" t="s">
        <v>37</v>
      </c>
      <c r="BO192" s="4">
        <v>60000</v>
      </c>
      <c r="BP192" s="4">
        <v>60000</v>
      </c>
      <c r="BQ192">
        <v>3</v>
      </c>
      <c r="BR192" t="s">
        <v>21</v>
      </c>
      <c r="BS192" t="s">
        <v>15</v>
      </c>
      <c r="BT192">
        <v>43</v>
      </c>
      <c r="CB192">
        <v>17504</v>
      </c>
      <c r="CC192" t="s">
        <v>36</v>
      </c>
      <c r="CD192" t="s">
        <v>37</v>
      </c>
      <c r="CE192" s="4">
        <v>80000</v>
      </c>
      <c r="CF192">
        <v>2</v>
      </c>
      <c r="CG192" t="s">
        <v>14</v>
      </c>
      <c r="CH192" t="s">
        <v>15</v>
      </c>
      <c r="CI192">
        <v>52</v>
      </c>
      <c r="CK192">
        <v>17504</v>
      </c>
      <c r="CL192" t="s">
        <v>36</v>
      </c>
      <c r="CM192" t="s">
        <v>37</v>
      </c>
      <c r="CN192" s="4">
        <v>80000</v>
      </c>
      <c r="CO192">
        <v>2</v>
      </c>
      <c r="CP192" t="s">
        <v>14</v>
      </c>
      <c r="CQ192" t="s">
        <v>15</v>
      </c>
      <c r="CR192">
        <v>52</v>
      </c>
      <c r="CS192">
        <v>2</v>
      </c>
    </row>
    <row r="193" spans="1:97" x14ac:dyDescent="0.25">
      <c r="A193">
        <v>17324</v>
      </c>
      <c r="B193" t="s">
        <v>35</v>
      </c>
      <c r="C193" t="s">
        <v>37</v>
      </c>
      <c r="D193" s="11">
        <v>100000</v>
      </c>
      <c r="E193">
        <v>4</v>
      </c>
      <c r="F193" t="s">
        <v>13</v>
      </c>
      <c r="G193" t="s">
        <v>21</v>
      </c>
      <c r="H193" t="s">
        <v>15</v>
      </c>
      <c r="I193">
        <v>1</v>
      </c>
      <c r="J193" t="s">
        <v>42</v>
      </c>
      <c r="K193" t="s">
        <v>24</v>
      </c>
      <c r="L193">
        <v>46</v>
      </c>
      <c r="M193" t="str">
        <f t="shared" si="2"/>
        <v>MIddleAge</v>
      </c>
      <c r="N193" t="s">
        <v>18</v>
      </c>
      <c r="R193">
        <v>19331</v>
      </c>
      <c r="S193" t="s">
        <v>36</v>
      </c>
      <c r="T193" t="s">
        <v>38</v>
      </c>
      <c r="U193" s="4">
        <v>20000</v>
      </c>
      <c r="V193">
        <v>2</v>
      </c>
      <c r="W193" t="s">
        <v>27</v>
      </c>
      <c r="X193" t="s">
        <v>25</v>
      </c>
      <c r="Y193" t="s">
        <v>15</v>
      </c>
      <c r="Z193">
        <v>1</v>
      </c>
      <c r="AA193" t="s">
        <v>16</v>
      </c>
      <c r="AB193" t="s">
        <v>17</v>
      </c>
      <c r="AC193">
        <v>40</v>
      </c>
      <c r="AD193" t="s">
        <v>44</v>
      </c>
      <c r="BL193">
        <v>22127</v>
      </c>
      <c r="BM193" t="s">
        <v>35</v>
      </c>
      <c r="BN193" t="s">
        <v>38</v>
      </c>
      <c r="BO193" s="4">
        <v>60000</v>
      </c>
      <c r="BP193" s="4">
        <v>60000</v>
      </c>
      <c r="BQ193">
        <v>3</v>
      </c>
      <c r="BR193" t="s">
        <v>28</v>
      </c>
      <c r="BS193" t="s">
        <v>15</v>
      </c>
      <c r="BT193">
        <v>67</v>
      </c>
      <c r="CB193">
        <v>15752</v>
      </c>
      <c r="CC193" t="s">
        <v>35</v>
      </c>
      <c r="CD193" t="s">
        <v>38</v>
      </c>
      <c r="CE193" s="4">
        <v>80000</v>
      </c>
      <c r="CF193">
        <v>2</v>
      </c>
      <c r="CG193" t="s">
        <v>14</v>
      </c>
      <c r="CH193" t="s">
        <v>18</v>
      </c>
      <c r="CI193">
        <v>50</v>
      </c>
      <c r="CK193">
        <v>15752</v>
      </c>
      <c r="CL193" t="s">
        <v>35</v>
      </c>
      <c r="CM193" t="s">
        <v>38</v>
      </c>
      <c r="CN193" s="4">
        <v>80000</v>
      </c>
      <c r="CO193">
        <v>2</v>
      </c>
      <c r="CP193" t="s">
        <v>14</v>
      </c>
      <c r="CQ193" t="s">
        <v>18</v>
      </c>
      <c r="CR193">
        <v>50</v>
      </c>
      <c r="CS193">
        <v>2</v>
      </c>
    </row>
    <row r="194" spans="1:97" x14ac:dyDescent="0.25">
      <c r="A194">
        <v>15940</v>
      </c>
      <c r="B194" t="s">
        <v>35</v>
      </c>
      <c r="C194" t="s">
        <v>38</v>
      </c>
      <c r="D194" s="11">
        <v>100000</v>
      </c>
      <c r="E194">
        <v>4</v>
      </c>
      <c r="F194" t="s">
        <v>19</v>
      </c>
      <c r="G194" t="s">
        <v>21</v>
      </c>
      <c r="H194" t="s">
        <v>15</v>
      </c>
      <c r="I194">
        <v>4</v>
      </c>
      <c r="J194" t="s">
        <v>16</v>
      </c>
      <c r="K194" t="s">
        <v>31</v>
      </c>
      <c r="L194">
        <v>40</v>
      </c>
      <c r="M194" t="str">
        <f t="shared" ref="M194:M257" si="3">IF(L194&gt; 54, "Old",IF(L194&gt;= 31, "MIddleAge",IF(L194&lt;31, "Adolescent", "Adult")))</f>
        <v>MIddleAge</v>
      </c>
      <c r="N194" t="s">
        <v>18</v>
      </c>
      <c r="R194">
        <v>17994</v>
      </c>
      <c r="S194" t="s">
        <v>36</v>
      </c>
      <c r="T194" t="s">
        <v>38</v>
      </c>
      <c r="U194" s="4">
        <v>20000</v>
      </c>
      <c r="V194">
        <v>2</v>
      </c>
      <c r="W194" t="s">
        <v>27</v>
      </c>
      <c r="X194" t="s">
        <v>25</v>
      </c>
      <c r="Y194" t="s">
        <v>15</v>
      </c>
      <c r="Z194">
        <v>2</v>
      </c>
      <c r="AA194" t="s">
        <v>16</v>
      </c>
      <c r="AB194" t="s">
        <v>17</v>
      </c>
      <c r="AC194">
        <v>42</v>
      </c>
      <c r="AD194" t="s">
        <v>44</v>
      </c>
      <c r="BL194">
        <v>21752</v>
      </c>
      <c r="BM194" t="s">
        <v>35</v>
      </c>
      <c r="BN194" t="s">
        <v>38</v>
      </c>
      <c r="BO194" s="4">
        <v>60000</v>
      </c>
      <c r="BP194" s="4">
        <v>60000</v>
      </c>
      <c r="BQ194">
        <v>3</v>
      </c>
      <c r="BR194" t="s">
        <v>28</v>
      </c>
      <c r="BS194" t="s">
        <v>15</v>
      </c>
      <c r="BT194">
        <v>64</v>
      </c>
      <c r="CB194">
        <v>14507</v>
      </c>
      <c r="CC194" t="s">
        <v>35</v>
      </c>
      <c r="CD194" t="s">
        <v>38</v>
      </c>
      <c r="CE194" s="4">
        <v>100000</v>
      </c>
      <c r="CF194">
        <v>2</v>
      </c>
      <c r="CG194" t="s">
        <v>28</v>
      </c>
      <c r="CH194" t="s">
        <v>15</v>
      </c>
      <c r="CI194">
        <v>65</v>
      </c>
      <c r="CK194">
        <v>14507</v>
      </c>
      <c r="CL194" t="s">
        <v>35</v>
      </c>
      <c r="CM194" t="s">
        <v>38</v>
      </c>
      <c r="CN194" s="4">
        <v>100000</v>
      </c>
      <c r="CO194">
        <v>2</v>
      </c>
      <c r="CP194" t="s">
        <v>28</v>
      </c>
      <c r="CQ194" t="s">
        <v>15</v>
      </c>
      <c r="CR194">
        <v>65</v>
      </c>
      <c r="CS194">
        <v>3</v>
      </c>
    </row>
    <row r="195" spans="1:97" x14ac:dyDescent="0.25">
      <c r="A195">
        <v>11259</v>
      </c>
      <c r="B195" t="s">
        <v>35</v>
      </c>
      <c r="C195" t="s">
        <v>37</v>
      </c>
      <c r="D195" s="11">
        <v>100000</v>
      </c>
      <c r="E195">
        <v>4</v>
      </c>
      <c r="F195" t="s">
        <v>19</v>
      </c>
      <c r="G195" t="s">
        <v>21</v>
      </c>
      <c r="H195" t="s">
        <v>15</v>
      </c>
      <c r="I195">
        <v>4</v>
      </c>
      <c r="J195" t="s">
        <v>22</v>
      </c>
      <c r="K195" t="s">
        <v>31</v>
      </c>
      <c r="L195">
        <v>41</v>
      </c>
      <c r="M195" t="str">
        <f t="shared" si="3"/>
        <v>MIddleAge</v>
      </c>
      <c r="N195" t="s">
        <v>15</v>
      </c>
      <c r="R195">
        <v>13714</v>
      </c>
      <c r="S195" t="s">
        <v>35</v>
      </c>
      <c r="T195" t="s">
        <v>37</v>
      </c>
      <c r="U195" s="4">
        <v>20000</v>
      </c>
      <c r="V195">
        <v>2</v>
      </c>
      <c r="W195" t="s">
        <v>27</v>
      </c>
      <c r="X195" t="s">
        <v>25</v>
      </c>
      <c r="Y195" t="s">
        <v>18</v>
      </c>
      <c r="Z195">
        <v>2</v>
      </c>
      <c r="AA195" t="s">
        <v>26</v>
      </c>
      <c r="AB195" t="s">
        <v>31</v>
      </c>
      <c r="AC195">
        <v>53</v>
      </c>
      <c r="AD195" t="s">
        <v>44</v>
      </c>
      <c r="BL195">
        <v>21751</v>
      </c>
      <c r="BM195" t="s">
        <v>35</v>
      </c>
      <c r="BN195" t="s">
        <v>38</v>
      </c>
      <c r="BO195" s="4">
        <v>60000</v>
      </c>
      <c r="BP195" s="4">
        <v>60000</v>
      </c>
      <c r="BQ195">
        <v>3</v>
      </c>
      <c r="BR195" t="s">
        <v>28</v>
      </c>
      <c r="BS195" t="s">
        <v>15</v>
      </c>
      <c r="BT195">
        <v>63</v>
      </c>
      <c r="CB195">
        <v>29048</v>
      </c>
      <c r="CC195" t="s">
        <v>36</v>
      </c>
      <c r="CD195" t="s">
        <v>38</v>
      </c>
      <c r="CE195" s="4">
        <v>110000</v>
      </c>
      <c r="CF195">
        <v>2</v>
      </c>
      <c r="CG195" t="s">
        <v>28</v>
      </c>
      <c r="CH195" t="s">
        <v>18</v>
      </c>
      <c r="CI195">
        <v>37</v>
      </c>
      <c r="CK195">
        <v>29048</v>
      </c>
      <c r="CL195" t="s">
        <v>36</v>
      </c>
      <c r="CM195" t="s">
        <v>38</v>
      </c>
      <c r="CN195" s="4">
        <v>110000</v>
      </c>
      <c r="CO195">
        <v>2</v>
      </c>
      <c r="CP195" t="s">
        <v>28</v>
      </c>
      <c r="CQ195" t="s">
        <v>18</v>
      </c>
      <c r="CR195">
        <v>37</v>
      </c>
      <c r="CS195">
        <v>3</v>
      </c>
    </row>
    <row r="196" spans="1:97" x14ac:dyDescent="0.25">
      <c r="A196">
        <v>22204</v>
      </c>
      <c r="B196" t="s">
        <v>35</v>
      </c>
      <c r="C196" t="s">
        <v>38</v>
      </c>
      <c r="D196" s="11">
        <v>110000</v>
      </c>
      <c r="E196">
        <v>4</v>
      </c>
      <c r="F196" t="s">
        <v>13</v>
      </c>
      <c r="G196" t="s">
        <v>28</v>
      </c>
      <c r="H196" t="s">
        <v>15</v>
      </c>
      <c r="I196">
        <v>3</v>
      </c>
      <c r="J196" t="s">
        <v>22</v>
      </c>
      <c r="K196" t="s">
        <v>24</v>
      </c>
      <c r="L196">
        <v>48</v>
      </c>
      <c r="M196" t="str">
        <f t="shared" si="3"/>
        <v>MIddleAge</v>
      </c>
      <c r="N196" t="s">
        <v>18</v>
      </c>
      <c r="R196">
        <v>29337</v>
      </c>
      <c r="S196" t="s">
        <v>36</v>
      </c>
      <c r="T196" t="s">
        <v>38</v>
      </c>
      <c r="U196" s="4">
        <v>30000</v>
      </c>
      <c r="V196">
        <v>2</v>
      </c>
      <c r="W196" t="s">
        <v>19</v>
      </c>
      <c r="X196" t="s">
        <v>20</v>
      </c>
      <c r="Y196" t="s">
        <v>15</v>
      </c>
      <c r="Z196">
        <v>2</v>
      </c>
      <c r="AA196" t="s">
        <v>23</v>
      </c>
      <c r="AB196" t="s">
        <v>24</v>
      </c>
      <c r="AC196">
        <v>68</v>
      </c>
      <c r="AD196" t="s">
        <v>45</v>
      </c>
      <c r="BL196">
        <v>21660</v>
      </c>
      <c r="BM196" t="s">
        <v>35</v>
      </c>
      <c r="BN196" t="s">
        <v>37</v>
      </c>
      <c r="BO196" s="4">
        <v>60000</v>
      </c>
      <c r="BP196" s="4">
        <v>60000</v>
      </c>
      <c r="BQ196">
        <v>3</v>
      </c>
      <c r="BR196" t="s">
        <v>21</v>
      </c>
      <c r="BS196" t="s">
        <v>15</v>
      </c>
      <c r="BT196">
        <v>43</v>
      </c>
      <c r="CB196">
        <v>27304</v>
      </c>
      <c r="CC196" t="s">
        <v>36</v>
      </c>
      <c r="CD196" t="s">
        <v>37</v>
      </c>
      <c r="CE196" s="4">
        <v>110000</v>
      </c>
      <c r="CF196">
        <v>2</v>
      </c>
      <c r="CG196" t="s">
        <v>21</v>
      </c>
      <c r="CH196" t="s">
        <v>18</v>
      </c>
      <c r="CI196">
        <v>48</v>
      </c>
      <c r="CK196">
        <v>27304</v>
      </c>
      <c r="CL196" t="s">
        <v>36</v>
      </c>
      <c r="CM196" t="s">
        <v>37</v>
      </c>
      <c r="CN196" s="4">
        <v>110000</v>
      </c>
      <c r="CO196">
        <v>2</v>
      </c>
      <c r="CP196" t="s">
        <v>21</v>
      </c>
      <c r="CQ196" t="s">
        <v>18</v>
      </c>
      <c r="CR196">
        <v>48</v>
      </c>
      <c r="CS196">
        <v>3</v>
      </c>
    </row>
    <row r="197" spans="1:97" x14ac:dyDescent="0.25">
      <c r="A197">
        <v>13287</v>
      </c>
      <c r="B197" t="s">
        <v>36</v>
      </c>
      <c r="C197" t="s">
        <v>38</v>
      </c>
      <c r="D197" s="11">
        <v>110000</v>
      </c>
      <c r="E197">
        <v>4</v>
      </c>
      <c r="F197" t="s">
        <v>13</v>
      </c>
      <c r="G197" t="s">
        <v>28</v>
      </c>
      <c r="H197" t="s">
        <v>15</v>
      </c>
      <c r="I197">
        <v>4</v>
      </c>
      <c r="J197" t="s">
        <v>23</v>
      </c>
      <c r="K197" t="s">
        <v>31</v>
      </c>
      <c r="L197">
        <v>42</v>
      </c>
      <c r="M197" t="str">
        <f t="shared" si="3"/>
        <v>MIddleAge</v>
      </c>
      <c r="N197" t="s">
        <v>15</v>
      </c>
      <c r="R197">
        <v>27803</v>
      </c>
      <c r="S197" t="s">
        <v>36</v>
      </c>
      <c r="T197" t="s">
        <v>37</v>
      </c>
      <c r="U197" s="4">
        <v>30000</v>
      </c>
      <c r="V197">
        <v>2</v>
      </c>
      <c r="W197" t="s">
        <v>19</v>
      </c>
      <c r="X197" t="s">
        <v>20</v>
      </c>
      <c r="Y197" t="s">
        <v>18</v>
      </c>
      <c r="Z197">
        <v>0</v>
      </c>
      <c r="AA197" t="s">
        <v>16</v>
      </c>
      <c r="AB197" t="s">
        <v>17</v>
      </c>
      <c r="AC197">
        <v>43</v>
      </c>
      <c r="AD197" t="s">
        <v>44</v>
      </c>
      <c r="BL197">
        <v>20678</v>
      </c>
      <c r="BM197" t="s">
        <v>36</v>
      </c>
      <c r="BN197" t="s">
        <v>37</v>
      </c>
      <c r="BO197" s="4">
        <v>60000</v>
      </c>
      <c r="BP197" s="4">
        <v>60000</v>
      </c>
      <c r="BQ197">
        <v>3</v>
      </c>
      <c r="BR197" t="s">
        <v>14</v>
      </c>
      <c r="BS197" t="s">
        <v>15</v>
      </c>
      <c r="BT197">
        <v>40</v>
      </c>
      <c r="CB197">
        <v>16651</v>
      </c>
      <c r="CC197" t="s">
        <v>35</v>
      </c>
      <c r="CD197" t="s">
        <v>37</v>
      </c>
      <c r="CE197" s="4">
        <v>120000</v>
      </c>
      <c r="CF197">
        <v>2</v>
      </c>
      <c r="CG197" t="s">
        <v>28</v>
      </c>
      <c r="CH197" t="s">
        <v>15</v>
      </c>
      <c r="CI197">
        <v>62</v>
      </c>
      <c r="CK197">
        <v>16651</v>
      </c>
      <c r="CL197" t="s">
        <v>35</v>
      </c>
      <c r="CM197" t="s">
        <v>37</v>
      </c>
      <c r="CN197" s="4">
        <v>120000</v>
      </c>
      <c r="CO197">
        <v>2</v>
      </c>
      <c r="CP197" t="s">
        <v>28</v>
      </c>
      <c r="CQ197" t="s">
        <v>15</v>
      </c>
      <c r="CR197">
        <v>62</v>
      </c>
      <c r="CS197">
        <v>3</v>
      </c>
    </row>
    <row r="198" spans="1:97" x14ac:dyDescent="0.25">
      <c r="A198">
        <v>29237</v>
      </c>
      <c r="B198" t="s">
        <v>36</v>
      </c>
      <c r="C198" t="s">
        <v>37</v>
      </c>
      <c r="D198" s="11">
        <v>120000</v>
      </c>
      <c r="E198">
        <v>4</v>
      </c>
      <c r="F198" t="s">
        <v>19</v>
      </c>
      <c r="G198" t="s">
        <v>21</v>
      </c>
      <c r="H198" t="s">
        <v>15</v>
      </c>
      <c r="I198">
        <v>3</v>
      </c>
      <c r="J198" t="s">
        <v>23</v>
      </c>
      <c r="K198" t="s">
        <v>31</v>
      </c>
      <c r="L198">
        <v>43</v>
      </c>
      <c r="M198" t="str">
        <f t="shared" si="3"/>
        <v>MIddleAge</v>
      </c>
      <c r="N198" t="s">
        <v>15</v>
      </c>
      <c r="R198">
        <v>26547</v>
      </c>
      <c r="S198" t="s">
        <v>36</v>
      </c>
      <c r="T198" t="s">
        <v>37</v>
      </c>
      <c r="U198" s="4">
        <v>30000</v>
      </c>
      <c r="V198">
        <v>2</v>
      </c>
      <c r="W198" t="s">
        <v>19</v>
      </c>
      <c r="X198" t="s">
        <v>20</v>
      </c>
      <c r="Y198" t="s">
        <v>18</v>
      </c>
      <c r="Z198">
        <v>2</v>
      </c>
      <c r="AA198" t="s">
        <v>23</v>
      </c>
      <c r="AB198" t="s">
        <v>24</v>
      </c>
      <c r="AC198">
        <v>60</v>
      </c>
      <c r="AD198" t="s">
        <v>45</v>
      </c>
      <c r="BL198">
        <v>20380</v>
      </c>
      <c r="BM198" t="s">
        <v>35</v>
      </c>
      <c r="BN198" t="s">
        <v>37</v>
      </c>
      <c r="BO198" s="4">
        <v>60000</v>
      </c>
      <c r="BP198" s="4">
        <v>60000</v>
      </c>
      <c r="BQ198">
        <v>3</v>
      </c>
      <c r="BR198" t="s">
        <v>28</v>
      </c>
      <c r="BS198" t="s">
        <v>15</v>
      </c>
      <c r="BT198">
        <v>69</v>
      </c>
      <c r="CB198">
        <v>15194</v>
      </c>
      <c r="CC198" t="s">
        <v>36</v>
      </c>
      <c r="CD198" t="s">
        <v>38</v>
      </c>
      <c r="CE198" s="4">
        <v>120000</v>
      </c>
      <c r="CF198">
        <v>2</v>
      </c>
      <c r="CG198" t="s">
        <v>28</v>
      </c>
      <c r="CH198" t="s">
        <v>18</v>
      </c>
      <c r="CI198">
        <v>39</v>
      </c>
      <c r="CK198">
        <v>15194</v>
      </c>
      <c r="CL198" t="s">
        <v>36</v>
      </c>
      <c r="CM198" t="s">
        <v>38</v>
      </c>
      <c r="CN198" s="4">
        <v>120000</v>
      </c>
      <c r="CO198">
        <v>2</v>
      </c>
      <c r="CP198" t="s">
        <v>28</v>
      </c>
      <c r="CQ198" t="s">
        <v>18</v>
      </c>
      <c r="CR198">
        <v>39</v>
      </c>
      <c r="CS198">
        <v>3</v>
      </c>
    </row>
    <row r="199" spans="1:97" x14ac:dyDescent="0.25">
      <c r="A199">
        <v>22830</v>
      </c>
      <c r="B199" t="s">
        <v>35</v>
      </c>
      <c r="C199" t="s">
        <v>38</v>
      </c>
      <c r="D199" s="11">
        <v>120000</v>
      </c>
      <c r="E199">
        <v>4</v>
      </c>
      <c r="F199" t="s">
        <v>19</v>
      </c>
      <c r="G199" t="s">
        <v>28</v>
      </c>
      <c r="H199" t="s">
        <v>15</v>
      </c>
      <c r="I199">
        <v>3</v>
      </c>
      <c r="J199" t="s">
        <v>42</v>
      </c>
      <c r="K199" t="s">
        <v>17</v>
      </c>
      <c r="L199">
        <v>56</v>
      </c>
      <c r="M199" t="str">
        <f t="shared" si="3"/>
        <v>Old</v>
      </c>
      <c r="N199" t="s">
        <v>18</v>
      </c>
      <c r="R199">
        <v>25918</v>
      </c>
      <c r="S199" t="s">
        <v>36</v>
      </c>
      <c r="T199" t="s">
        <v>37</v>
      </c>
      <c r="U199" s="4">
        <v>30000</v>
      </c>
      <c r="V199">
        <v>2</v>
      </c>
      <c r="W199" t="s">
        <v>19</v>
      </c>
      <c r="X199" t="s">
        <v>20</v>
      </c>
      <c r="Y199" t="s">
        <v>18</v>
      </c>
      <c r="Z199">
        <v>2</v>
      </c>
      <c r="AA199" t="s">
        <v>23</v>
      </c>
      <c r="AB199" t="s">
        <v>24</v>
      </c>
      <c r="AC199">
        <v>60</v>
      </c>
      <c r="AD199" t="s">
        <v>45</v>
      </c>
      <c r="BL199">
        <v>20236</v>
      </c>
      <c r="BM199" t="s">
        <v>36</v>
      </c>
      <c r="BN199" t="s">
        <v>38</v>
      </c>
      <c r="BO199" s="4">
        <v>60000</v>
      </c>
      <c r="BP199" s="4">
        <v>60000</v>
      </c>
      <c r="BQ199">
        <v>3</v>
      </c>
      <c r="BR199" t="s">
        <v>21</v>
      </c>
      <c r="BS199" t="s">
        <v>18</v>
      </c>
      <c r="BT199">
        <v>43</v>
      </c>
      <c r="CB199">
        <v>12056</v>
      </c>
      <c r="CC199" t="s">
        <v>35</v>
      </c>
      <c r="CD199" t="s">
        <v>38</v>
      </c>
      <c r="CE199" s="4">
        <v>120000</v>
      </c>
      <c r="CF199">
        <v>2</v>
      </c>
      <c r="CG199" t="s">
        <v>28</v>
      </c>
      <c r="CH199" t="s">
        <v>15</v>
      </c>
      <c r="CI199">
        <v>64</v>
      </c>
      <c r="CK199">
        <v>12056</v>
      </c>
      <c r="CL199" t="s">
        <v>35</v>
      </c>
      <c r="CM199" t="s">
        <v>38</v>
      </c>
      <c r="CN199" s="4">
        <v>120000</v>
      </c>
      <c r="CO199">
        <v>2</v>
      </c>
      <c r="CP199" t="s">
        <v>28</v>
      </c>
      <c r="CQ199" t="s">
        <v>15</v>
      </c>
      <c r="CR199">
        <v>64</v>
      </c>
      <c r="CS199">
        <v>3</v>
      </c>
    </row>
    <row r="200" spans="1:97" x14ac:dyDescent="0.25">
      <c r="A200">
        <v>17522</v>
      </c>
      <c r="B200" t="s">
        <v>35</v>
      </c>
      <c r="C200" t="s">
        <v>38</v>
      </c>
      <c r="D200" s="11">
        <v>120000</v>
      </c>
      <c r="E200">
        <v>4</v>
      </c>
      <c r="F200" t="s">
        <v>13</v>
      </c>
      <c r="G200" t="s">
        <v>28</v>
      </c>
      <c r="H200" t="s">
        <v>15</v>
      </c>
      <c r="I200">
        <v>1</v>
      </c>
      <c r="J200" t="s">
        <v>22</v>
      </c>
      <c r="K200" t="s">
        <v>24</v>
      </c>
      <c r="L200">
        <v>47</v>
      </c>
      <c r="M200" t="str">
        <f t="shared" si="3"/>
        <v>MIddleAge</v>
      </c>
      <c r="N200" t="s">
        <v>18</v>
      </c>
      <c r="R200">
        <v>25266</v>
      </c>
      <c r="S200" t="s">
        <v>36</v>
      </c>
      <c r="T200" t="s">
        <v>37</v>
      </c>
      <c r="U200" s="4">
        <v>30000</v>
      </c>
      <c r="V200">
        <v>2</v>
      </c>
      <c r="W200" t="s">
        <v>19</v>
      </c>
      <c r="X200" t="s">
        <v>20</v>
      </c>
      <c r="Y200" t="s">
        <v>18</v>
      </c>
      <c r="Z200">
        <v>2</v>
      </c>
      <c r="AA200" t="s">
        <v>23</v>
      </c>
      <c r="AB200" t="s">
        <v>24</v>
      </c>
      <c r="AC200">
        <v>67</v>
      </c>
      <c r="AD200" t="s">
        <v>45</v>
      </c>
      <c r="BL200">
        <v>19413</v>
      </c>
      <c r="BM200" t="s">
        <v>36</v>
      </c>
      <c r="BN200" t="s">
        <v>38</v>
      </c>
      <c r="BO200" s="4">
        <v>60000</v>
      </c>
      <c r="BP200" s="4">
        <v>60000</v>
      </c>
      <c r="BQ200">
        <v>3</v>
      </c>
      <c r="BR200" t="s">
        <v>21</v>
      </c>
      <c r="BS200" t="s">
        <v>18</v>
      </c>
      <c r="BT200">
        <v>47</v>
      </c>
      <c r="CB200">
        <v>15412</v>
      </c>
      <c r="CC200" t="s">
        <v>35</v>
      </c>
      <c r="CD200" t="s">
        <v>38</v>
      </c>
      <c r="CE200" s="4">
        <v>130000</v>
      </c>
      <c r="CF200">
        <v>2</v>
      </c>
      <c r="CG200" t="s">
        <v>28</v>
      </c>
      <c r="CH200" t="s">
        <v>15</v>
      </c>
      <c r="CI200">
        <v>69</v>
      </c>
      <c r="CK200">
        <v>15412</v>
      </c>
      <c r="CL200" t="s">
        <v>35</v>
      </c>
      <c r="CM200" t="s">
        <v>38</v>
      </c>
      <c r="CN200" s="4">
        <v>130000</v>
      </c>
      <c r="CO200">
        <v>2</v>
      </c>
      <c r="CP200" t="s">
        <v>28</v>
      </c>
      <c r="CQ200" t="s">
        <v>15</v>
      </c>
      <c r="CR200">
        <v>69</v>
      </c>
      <c r="CS200">
        <v>3</v>
      </c>
    </row>
    <row r="201" spans="1:97" x14ac:dyDescent="0.25">
      <c r="A201">
        <v>28918</v>
      </c>
      <c r="B201" t="s">
        <v>35</v>
      </c>
      <c r="C201" t="s">
        <v>37</v>
      </c>
      <c r="D201" s="11">
        <v>130000</v>
      </c>
      <c r="E201">
        <v>4</v>
      </c>
      <c r="F201" t="s">
        <v>27</v>
      </c>
      <c r="G201" t="s">
        <v>28</v>
      </c>
      <c r="H201" t="s">
        <v>18</v>
      </c>
      <c r="I201">
        <v>4</v>
      </c>
      <c r="J201" t="s">
        <v>42</v>
      </c>
      <c r="K201" t="s">
        <v>17</v>
      </c>
      <c r="L201">
        <v>58</v>
      </c>
      <c r="M201" t="str">
        <f t="shared" si="3"/>
        <v>Old</v>
      </c>
      <c r="N201" t="s">
        <v>18</v>
      </c>
      <c r="R201">
        <v>24745</v>
      </c>
      <c r="S201" t="s">
        <v>36</v>
      </c>
      <c r="T201" t="s">
        <v>37</v>
      </c>
      <c r="U201" s="4">
        <v>30000</v>
      </c>
      <c r="V201">
        <v>2</v>
      </c>
      <c r="W201" t="s">
        <v>27</v>
      </c>
      <c r="X201" t="s">
        <v>14</v>
      </c>
      <c r="Y201" t="s">
        <v>18</v>
      </c>
      <c r="Z201">
        <v>2</v>
      </c>
      <c r="AA201" t="s">
        <v>16</v>
      </c>
      <c r="AB201" t="s">
        <v>31</v>
      </c>
      <c r="AC201">
        <v>49</v>
      </c>
      <c r="AD201" t="s">
        <v>44</v>
      </c>
      <c r="BL201">
        <v>18267</v>
      </c>
      <c r="BM201" t="s">
        <v>35</v>
      </c>
      <c r="BN201" t="s">
        <v>38</v>
      </c>
      <c r="BO201" s="4">
        <v>60000</v>
      </c>
      <c r="BP201" s="4">
        <v>60000</v>
      </c>
      <c r="BQ201">
        <v>3</v>
      </c>
      <c r="BR201" t="s">
        <v>21</v>
      </c>
      <c r="BS201" t="s">
        <v>15</v>
      </c>
      <c r="BT201">
        <v>43</v>
      </c>
      <c r="CB201">
        <v>11270</v>
      </c>
      <c r="CC201" t="s">
        <v>35</v>
      </c>
      <c r="CD201" t="s">
        <v>38</v>
      </c>
      <c r="CE201" s="4">
        <v>130000</v>
      </c>
      <c r="CF201">
        <v>2</v>
      </c>
      <c r="CG201" t="s">
        <v>28</v>
      </c>
      <c r="CH201" t="s">
        <v>15</v>
      </c>
      <c r="CI201">
        <v>42</v>
      </c>
      <c r="CK201">
        <v>11270</v>
      </c>
      <c r="CL201" t="s">
        <v>35</v>
      </c>
      <c r="CM201" t="s">
        <v>38</v>
      </c>
      <c r="CN201" s="4">
        <v>130000</v>
      </c>
      <c r="CO201">
        <v>2</v>
      </c>
      <c r="CP201" t="s">
        <v>28</v>
      </c>
      <c r="CQ201" t="s">
        <v>15</v>
      </c>
      <c r="CR201">
        <v>42</v>
      </c>
      <c r="CS201">
        <v>3</v>
      </c>
    </row>
    <row r="202" spans="1:97" x14ac:dyDescent="0.25">
      <c r="A202">
        <v>20567</v>
      </c>
      <c r="B202" t="s">
        <v>35</v>
      </c>
      <c r="C202" t="s">
        <v>38</v>
      </c>
      <c r="D202" s="11">
        <v>130000</v>
      </c>
      <c r="E202">
        <v>4</v>
      </c>
      <c r="F202" t="s">
        <v>19</v>
      </c>
      <c r="G202" t="s">
        <v>21</v>
      </c>
      <c r="H202" t="s">
        <v>18</v>
      </c>
      <c r="I202">
        <v>4</v>
      </c>
      <c r="J202" t="s">
        <v>23</v>
      </c>
      <c r="K202" t="s">
        <v>17</v>
      </c>
      <c r="L202">
        <v>61</v>
      </c>
      <c r="M202" t="str">
        <f t="shared" si="3"/>
        <v>Old</v>
      </c>
      <c r="N202" t="s">
        <v>15</v>
      </c>
      <c r="R202">
        <v>23275</v>
      </c>
      <c r="S202" t="s">
        <v>35</v>
      </c>
      <c r="T202" t="s">
        <v>38</v>
      </c>
      <c r="U202" s="4">
        <v>30000</v>
      </c>
      <c r="V202">
        <v>2</v>
      </c>
      <c r="W202" t="s">
        <v>27</v>
      </c>
      <c r="X202" t="s">
        <v>14</v>
      </c>
      <c r="Y202" t="s">
        <v>15</v>
      </c>
      <c r="Z202">
        <v>2</v>
      </c>
      <c r="AA202" t="s">
        <v>26</v>
      </c>
      <c r="AB202" t="s">
        <v>31</v>
      </c>
      <c r="AC202">
        <v>49</v>
      </c>
      <c r="AD202" t="s">
        <v>44</v>
      </c>
      <c r="BL202">
        <v>17269</v>
      </c>
      <c r="BM202" t="s">
        <v>36</v>
      </c>
      <c r="BN202" t="s">
        <v>38</v>
      </c>
      <c r="BO202" s="4">
        <v>60000</v>
      </c>
      <c r="BP202" s="4">
        <v>60000</v>
      </c>
      <c r="BQ202">
        <v>3</v>
      </c>
      <c r="BR202" t="s">
        <v>21</v>
      </c>
      <c r="BS202" t="s">
        <v>18</v>
      </c>
      <c r="BT202">
        <v>47</v>
      </c>
      <c r="CB202">
        <v>11269</v>
      </c>
      <c r="CC202" t="s">
        <v>35</v>
      </c>
      <c r="CD202" t="s">
        <v>38</v>
      </c>
      <c r="CE202" s="4">
        <v>130000</v>
      </c>
      <c r="CF202">
        <v>2</v>
      </c>
      <c r="CG202" t="s">
        <v>28</v>
      </c>
      <c r="CH202" t="s">
        <v>15</v>
      </c>
      <c r="CI202">
        <v>41</v>
      </c>
      <c r="CK202">
        <v>11269</v>
      </c>
      <c r="CL202" t="s">
        <v>35</v>
      </c>
      <c r="CM202" t="s">
        <v>38</v>
      </c>
      <c r="CN202" s="4">
        <v>130000</v>
      </c>
      <c r="CO202">
        <v>2</v>
      </c>
      <c r="CP202" t="s">
        <v>28</v>
      </c>
      <c r="CQ202" t="s">
        <v>15</v>
      </c>
      <c r="CR202">
        <v>41</v>
      </c>
      <c r="CS202">
        <v>2</v>
      </c>
    </row>
    <row r="203" spans="1:97" x14ac:dyDescent="0.25">
      <c r="A203">
        <v>19066</v>
      </c>
      <c r="B203" t="s">
        <v>35</v>
      </c>
      <c r="C203" t="s">
        <v>38</v>
      </c>
      <c r="D203" s="11">
        <v>130000</v>
      </c>
      <c r="E203">
        <v>4</v>
      </c>
      <c r="F203" t="s">
        <v>19</v>
      </c>
      <c r="G203" t="s">
        <v>21</v>
      </c>
      <c r="H203" t="s">
        <v>18</v>
      </c>
      <c r="I203">
        <v>3</v>
      </c>
      <c r="J203" t="s">
        <v>42</v>
      </c>
      <c r="K203" t="s">
        <v>17</v>
      </c>
      <c r="L203">
        <v>54</v>
      </c>
      <c r="M203" t="str">
        <f t="shared" si="3"/>
        <v>MIddleAge</v>
      </c>
      <c r="N203" t="s">
        <v>18</v>
      </c>
      <c r="R203">
        <v>20758</v>
      </c>
      <c r="S203" t="s">
        <v>35</v>
      </c>
      <c r="T203" t="s">
        <v>38</v>
      </c>
      <c r="U203" s="4">
        <v>30000</v>
      </c>
      <c r="V203">
        <v>2</v>
      </c>
      <c r="W203" t="s">
        <v>27</v>
      </c>
      <c r="X203" t="s">
        <v>14</v>
      </c>
      <c r="Y203" t="s">
        <v>15</v>
      </c>
      <c r="Z203">
        <v>2</v>
      </c>
      <c r="AA203" t="s">
        <v>26</v>
      </c>
      <c r="AB203" t="s">
        <v>31</v>
      </c>
      <c r="AC203">
        <v>50</v>
      </c>
      <c r="AD203" t="s">
        <v>44</v>
      </c>
      <c r="BL203">
        <v>17012</v>
      </c>
      <c r="BM203" t="s">
        <v>35</v>
      </c>
      <c r="BN203" t="s">
        <v>37</v>
      </c>
      <c r="BO203" s="4">
        <v>60000</v>
      </c>
      <c r="BP203" s="4">
        <v>60000</v>
      </c>
      <c r="BQ203">
        <v>3</v>
      </c>
      <c r="BR203" t="s">
        <v>21</v>
      </c>
      <c r="BS203" t="s">
        <v>15</v>
      </c>
      <c r="BT203">
        <v>42</v>
      </c>
      <c r="CB203">
        <v>29117</v>
      </c>
      <c r="CC203" t="s">
        <v>36</v>
      </c>
      <c r="CD203" t="s">
        <v>38</v>
      </c>
      <c r="CE203" s="4">
        <v>100000</v>
      </c>
      <c r="CF203">
        <v>1</v>
      </c>
      <c r="CG203" t="s">
        <v>28</v>
      </c>
      <c r="CH203" t="s">
        <v>18</v>
      </c>
      <c r="CI203">
        <v>48</v>
      </c>
      <c r="CK203">
        <v>29117</v>
      </c>
      <c r="CL203" t="s">
        <v>36</v>
      </c>
      <c r="CM203" t="s">
        <v>38</v>
      </c>
      <c r="CN203" s="4">
        <v>100000</v>
      </c>
      <c r="CO203">
        <v>1</v>
      </c>
      <c r="CP203" t="s">
        <v>28</v>
      </c>
      <c r="CQ203" t="s">
        <v>18</v>
      </c>
      <c r="CR203">
        <v>48</v>
      </c>
      <c r="CS203">
        <v>3</v>
      </c>
    </row>
    <row r="204" spans="1:97" x14ac:dyDescent="0.25">
      <c r="A204">
        <v>18172</v>
      </c>
      <c r="B204" t="s">
        <v>35</v>
      </c>
      <c r="C204" t="s">
        <v>38</v>
      </c>
      <c r="D204" s="11">
        <v>130000</v>
      </c>
      <c r="E204">
        <v>4</v>
      </c>
      <c r="F204" t="s">
        <v>27</v>
      </c>
      <c r="G204" t="s">
        <v>21</v>
      </c>
      <c r="H204" t="s">
        <v>15</v>
      </c>
      <c r="I204">
        <v>3</v>
      </c>
      <c r="J204" t="s">
        <v>16</v>
      </c>
      <c r="K204" t="s">
        <v>17</v>
      </c>
      <c r="L204">
        <v>55</v>
      </c>
      <c r="M204" t="str">
        <f t="shared" si="3"/>
        <v>Old</v>
      </c>
      <c r="N204" t="s">
        <v>18</v>
      </c>
      <c r="R204">
        <v>20754</v>
      </c>
      <c r="S204" t="s">
        <v>35</v>
      </c>
      <c r="T204" t="s">
        <v>38</v>
      </c>
      <c r="U204" s="4">
        <v>30000</v>
      </c>
      <c r="V204">
        <v>2</v>
      </c>
      <c r="W204" t="s">
        <v>27</v>
      </c>
      <c r="X204" t="s">
        <v>14</v>
      </c>
      <c r="Y204" t="s">
        <v>15</v>
      </c>
      <c r="Z204">
        <v>2</v>
      </c>
      <c r="AA204" t="s">
        <v>26</v>
      </c>
      <c r="AB204" t="s">
        <v>31</v>
      </c>
      <c r="AC204">
        <v>51</v>
      </c>
      <c r="AD204" t="s">
        <v>44</v>
      </c>
      <c r="BL204">
        <v>16890</v>
      </c>
      <c r="BM204" t="s">
        <v>35</v>
      </c>
      <c r="BN204" t="s">
        <v>38</v>
      </c>
      <c r="BO204" s="4">
        <v>60000</v>
      </c>
      <c r="BP204" s="4">
        <v>60000</v>
      </c>
      <c r="BQ204">
        <v>3</v>
      </c>
      <c r="BR204" t="s">
        <v>14</v>
      </c>
      <c r="BS204" t="s">
        <v>15</v>
      </c>
      <c r="BT204">
        <v>52</v>
      </c>
      <c r="CB204">
        <v>27638</v>
      </c>
      <c r="CC204" t="s">
        <v>36</v>
      </c>
      <c r="CD204" t="s">
        <v>38</v>
      </c>
      <c r="CE204" s="4">
        <v>100000</v>
      </c>
      <c r="CF204">
        <v>1</v>
      </c>
      <c r="CG204" t="s">
        <v>21</v>
      </c>
      <c r="CH204" t="s">
        <v>18</v>
      </c>
      <c r="CI204">
        <v>44</v>
      </c>
      <c r="CK204">
        <v>27638</v>
      </c>
      <c r="CL204" t="s">
        <v>36</v>
      </c>
      <c r="CM204" t="s">
        <v>38</v>
      </c>
      <c r="CN204" s="4">
        <v>100000</v>
      </c>
      <c r="CO204">
        <v>1</v>
      </c>
      <c r="CP204" t="s">
        <v>21</v>
      </c>
      <c r="CQ204" t="s">
        <v>18</v>
      </c>
      <c r="CR204">
        <v>44</v>
      </c>
      <c r="CS204">
        <v>3</v>
      </c>
    </row>
    <row r="205" spans="1:97" x14ac:dyDescent="0.25">
      <c r="A205">
        <v>17203</v>
      </c>
      <c r="B205" t="s">
        <v>35</v>
      </c>
      <c r="C205" t="s">
        <v>37</v>
      </c>
      <c r="D205" s="11">
        <v>130000</v>
      </c>
      <c r="E205">
        <v>4</v>
      </c>
      <c r="F205" t="s">
        <v>19</v>
      </c>
      <c r="G205" t="s">
        <v>21</v>
      </c>
      <c r="H205" t="s">
        <v>15</v>
      </c>
      <c r="I205">
        <v>4</v>
      </c>
      <c r="J205" t="s">
        <v>23</v>
      </c>
      <c r="K205" t="s">
        <v>17</v>
      </c>
      <c r="L205">
        <v>61</v>
      </c>
      <c r="M205" t="str">
        <f t="shared" si="3"/>
        <v>Old</v>
      </c>
      <c r="N205" t="s">
        <v>15</v>
      </c>
      <c r="R205">
        <v>20277</v>
      </c>
      <c r="S205" t="s">
        <v>35</v>
      </c>
      <c r="T205" t="s">
        <v>37</v>
      </c>
      <c r="U205" s="4">
        <v>30000</v>
      </c>
      <c r="V205">
        <v>2</v>
      </c>
      <c r="W205" t="s">
        <v>19</v>
      </c>
      <c r="X205" t="s">
        <v>20</v>
      </c>
      <c r="Y205" t="s">
        <v>18</v>
      </c>
      <c r="Z205">
        <v>2</v>
      </c>
      <c r="AA205" t="s">
        <v>16</v>
      </c>
      <c r="AB205" t="s">
        <v>24</v>
      </c>
      <c r="AC205">
        <v>69</v>
      </c>
      <c r="AD205" t="s">
        <v>45</v>
      </c>
      <c r="BL205">
        <v>14417</v>
      </c>
      <c r="BM205" t="s">
        <v>36</v>
      </c>
      <c r="BN205" t="s">
        <v>38</v>
      </c>
      <c r="BO205" s="4">
        <v>60000</v>
      </c>
      <c r="BP205" s="4">
        <v>60000</v>
      </c>
      <c r="BQ205">
        <v>3</v>
      </c>
      <c r="BR205" t="s">
        <v>21</v>
      </c>
      <c r="BS205" t="s">
        <v>15</v>
      </c>
      <c r="BT205">
        <v>54</v>
      </c>
      <c r="CB205">
        <v>27637</v>
      </c>
      <c r="CC205" t="s">
        <v>36</v>
      </c>
      <c r="CD205" t="s">
        <v>37</v>
      </c>
      <c r="CE205" s="4">
        <v>100000</v>
      </c>
      <c r="CF205">
        <v>1</v>
      </c>
      <c r="CG205" t="s">
        <v>21</v>
      </c>
      <c r="CH205" t="s">
        <v>18</v>
      </c>
      <c r="CI205">
        <v>44</v>
      </c>
      <c r="CK205">
        <v>27637</v>
      </c>
      <c r="CL205" t="s">
        <v>36</v>
      </c>
      <c r="CM205" t="s">
        <v>37</v>
      </c>
      <c r="CN205" s="4">
        <v>100000</v>
      </c>
      <c r="CO205">
        <v>1</v>
      </c>
      <c r="CP205" t="s">
        <v>21</v>
      </c>
      <c r="CQ205" t="s">
        <v>18</v>
      </c>
      <c r="CR205">
        <v>44</v>
      </c>
      <c r="CS205">
        <v>3</v>
      </c>
    </row>
    <row r="206" spans="1:97" x14ac:dyDescent="0.25">
      <c r="A206">
        <v>12678</v>
      </c>
      <c r="B206" t="s">
        <v>36</v>
      </c>
      <c r="C206" t="s">
        <v>37</v>
      </c>
      <c r="D206" s="11">
        <v>130000</v>
      </c>
      <c r="E206">
        <v>4</v>
      </c>
      <c r="F206" t="s">
        <v>27</v>
      </c>
      <c r="G206" t="s">
        <v>28</v>
      </c>
      <c r="H206" t="s">
        <v>15</v>
      </c>
      <c r="I206">
        <v>4</v>
      </c>
      <c r="J206" t="s">
        <v>16</v>
      </c>
      <c r="K206" t="s">
        <v>24</v>
      </c>
      <c r="L206">
        <v>31</v>
      </c>
      <c r="M206" t="str">
        <f t="shared" si="3"/>
        <v>MIddleAge</v>
      </c>
      <c r="N206" t="s">
        <v>18</v>
      </c>
      <c r="R206">
        <v>19650</v>
      </c>
      <c r="S206" t="s">
        <v>35</v>
      </c>
      <c r="T206" t="s">
        <v>37</v>
      </c>
      <c r="U206" s="4">
        <v>30000</v>
      </c>
      <c r="V206">
        <v>2</v>
      </c>
      <c r="W206" t="s">
        <v>19</v>
      </c>
      <c r="X206" t="s">
        <v>20</v>
      </c>
      <c r="Y206" t="s">
        <v>18</v>
      </c>
      <c r="Z206">
        <v>2</v>
      </c>
      <c r="AA206" t="s">
        <v>16</v>
      </c>
      <c r="AB206" t="s">
        <v>24</v>
      </c>
      <c r="AC206">
        <v>67</v>
      </c>
      <c r="AD206" t="s">
        <v>45</v>
      </c>
      <c r="BL206">
        <v>12922</v>
      </c>
      <c r="BM206" t="s">
        <v>36</v>
      </c>
      <c r="BN206" t="s">
        <v>37</v>
      </c>
      <c r="BO206" s="4">
        <v>60000</v>
      </c>
      <c r="BP206" s="4">
        <v>60000</v>
      </c>
      <c r="BQ206">
        <v>3</v>
      </c>
      <c r="BR206" t="s">
        <v>14</v>
      </c>
      <c r="BS206" t="s">
        <v>15</v>
      </c>
      <c r="BT206">
        <v>40</v>
      </c>
      <c r="CB206">
        <v>25058</v>
      </c>
      <c r="CC206" t="s">
        <v>35</v>
      </c>
      <c r="CD206" t="s">
        <v>38</v>
      </c>
      <c r="CE206" s="4">
        <v>100000</v>
      </c>
      <c r="CF206">
        <v>1</v>
      </c>
      <c r="CG206" t="s">
        <v>28</v>
      </c>
      <c r="CH206" t="s">
        <v>15</v>
      </c>
      <c r="CI206">
        <v>47</v>
      </c>
      <c r="CK206">
        <v>25058</v>
      </c>
      <c r="CL206" t="s">
        <v>35</v>
      </c>
      <c r="CM206" t="s">
        <v>38</v>
      </c>
      <c r="CN206" s="4">
        <v>100000</v>
      </c>
      <c r="CO206">
        <v>1</v>
      </c>
      <c r="CP206" t="s">
        <v>28</v>
      </c>
      <c r="CQ206" t="s">
        <v>15</v>
      </c>
      <c r="CR206">
        <v>47</v>
      </c>
      <c r="CS206">
        <v>3</v>
      </c>
    </row>
    <row r="207" spans="1:97" x14ac:dyDescent="0.25">
      <c r="A207">
        <v>14191</v>
      </c>
      <c r="B207" t="s">
        <v>35</v>
      </c>
      <c r="C207" t="s">
        <v>38</v>
      </c>
      <c r="D207" s="11">
        <v>160000</v>
      </c>
      <c r="E207">
        <v>4</v>
      </c>
      <c r="F207" t="s">
        <v>19</v>
      </c>
      <c r="G207" t="s">
        <v>21</v>
      </c>
      <c r="H207" t="s">
        <v>18</v>
      </c>
      <c r="I207">
        <v>2</v>
      </c>
      <c r="J207" t="s">
        <v>42</v>
      </c>
      <c r="K207" t="s">
        <v>17</v>
      </c>
      <c r="L207">
        <v>55</v>
      </c>
      <c r="M207" t="str">
        <f t="shared" si="3"/>
        <v>Old</v>
      </c>
      <c r="N207" t="s">
        <v>15</v>
      </c>
      <c r="R207">
        <v>19491</v>
      </c>
      <c r="S207" t="s">
        <v>36</v>
      </c>
      <c r="T207" t="s">
        <v>38</v>
      </c>
      <c r="U207" s="4">
        <v>30000</v>
      </c>
      <c r="V207">
        <v>2</v>
      </c>
      <c r="W207" t="s">
        <v>19</v>
      </c>
      <c r="X207" t="s">
        <v>20</v>
      </c>
      <c r="Y207" t="s">
        <v>15</v>
      </c>
      <c r="Z207">
        <v>2</v>
      </c>
      <c r="AA207" t="s">
        <v>16</v>
      </c>
      <c r="AB207" t="s">
        <v>17</v>
      </c>
      <c r="AC207">
        <v>42</v>
      </c>
      <c r="AD207" t="s">
        <v>44</v>
      </c>
      <c r="BL207">
        <v>12121</v>
      </c>
      <c r="BM207" t="s">
        <v>36</v>
      </c>
      <c r="BN207" t="s">
        <v>38</v>
      </c>
      <c r="BO207" s="4">
        <v>60000</v>
      </c>
      <c r="BP207" s="4">
        <v>60000</v>
      </c>
      <c r="BQ207">
        <v>3</v>
      </c>
      <c r="BR207" t="s">
        <v>21</v>
      </c>
      <c r="BS207" t="s">
        <v>15</v>
      </c>
      <c r="BT207">
        <v>53</v>
      </c>
      <c r="CB207">
        <v>24305</v>
      </c>
      <c r="CC207" t="s">
        <v>36</v>
      </c>
      <c r="CD207" t="s">
        <v>38</v>
      </c>
      <c r="CE207" s="4">
        <v>100000</v>
      </c>
      <c r="CF207">
        <v>1</v>
      </c>
      <c r="CG207" t="s">
        <v>28</v>
      </c>
      <c r="CH207" t="s">
        <v>18</v>
      </c>
      <c r="CI207">
        <v>46</v>
      </c>
      <c r="CK207">
        <v>24305</v>
      </c>
      <c r="CL207" t="s">
        <v>36</v>
      </c>
      <c r="CM207" t="s">
        <v>38</v>
      </c>
      <c r="CN207" s="4">
        <v>100000</v>
      </c>
      <c r="CO207">
        <v>1</v>
      </c>
      <c r="CP207" t="s">
        <v>28</v>
      </c>
      <c r="CQ207" t="s">
        <v>18</v>
      </c>
      <c r="CR207">
        <v>46</v>
      </c>
      <c r="CS207">
        <v>3</v>
      </c>
    </row>
    <row r="208" spans="1:97" x14ac:dyDescent="0.25">
      <c r="A208">
        <v>17185</v>
      </c>
      <c r="B208" t="s">
        <v>35</v>
      </c>
      <c r="C208" t="s">
        <v>37</v>
      </c>
      <c r="D208" s="11">
        <v>170000</v>
      </c>
      <c r="E208">
        <v>4</v>
      </c>
      <c r="F208" t="s">
        <v>19</v>
      </c>
      <c r="G208" t="s">
        <v>21</v>
      </c>
      <c r="H208" t="s">
        <v>18</v>
      </c>
      <c r="I208">
        <v>3</v>
      </c>
      <c r="J208" t="s">
        <v>23</v>
      </c>
      <c r="K208" t="s">
        <v>17</v>
      </c>
      <c r="L208">
        <v>48</v>
      </c>
      <c r="M208" t="str">
        <f t="shared" si="3"/>
        <v>MIddleAge</v>
      </c>
      <c r="N208" t="s">
        <v>15</v>
      </c>
      <c r="R208">
        <v>19217</v>
      </c>
      <c r="S208" t="s">
        <v>35</v>
      </c>
      <c r="T208" t="s">
        <v>38</v>
      </c>
      <c r="U208" s="4">
        <v>30000</v>
      </c>
      <c r="V208">
        <v>2</v>
      </c>
      <c r="W208" t="s">
        <v>27</v>
      </c>
      <c r="X208" t="s">
        <v>14</v>
      </c>
      <c r="Y208" t="s">
        <v>15</v>
      </c>
      <c r="Z208">
        <v>2</v>
      </c>
      <c r="AA208" t="s">
        <v>26</v>
      </c>
      <c r="AB208" t="s">
        <v>31</v>
      </c>
      <c r="AC208">
        <v>49</v>
      </c>
      <c r="AD208" t="s">
        <v>44</v>
      </c>
      <c r="BL208">
        <v>11886</v>
      </c>
      <c r="BM208" t="s">
        <v>35</v>
      </c>
      <c r="BN208" t="s">
        <v>37</v>
      </c>
      <c r="BO208" s="4">
        <v>60000</v>
      </c>
      <c r="BP208" s="4">
        <v>60000</v>
      </c>
      <c r="BQ208">
        <v>3</v>
      </c>
      <c r="BR208" t="s">
        <v>21</v>
      </c>
      <c r="BS208" t="s">
        <v>15</v>
      </c>
      <c r="BT208">
        <v>48</v>
      </c>
      <c r="CB208">
        <v>13415</v>
      </c>
      <c r="CC208" t="s">
        <v>36</v>
      </c>
      <c r="CD208" t="s">
        <v>38</v>
      </c>
      <c r="CE208" s="4">
        <v>100000</v>
      </c>
      <c r="CF208">
        <v>1</v>
      </c>
      <c r="CG208" t="s">
        <v>28</v>
      </c>
      <c r="CH208" t="s">
        <v>15</v>
      </c>
      <c r="CI208">
        <v>73</v>
      </c>
      <c r="CK208">
        <v>13415</v>
      </c>
      <c r="CL208" t="s">
        <v>36</v>
      </c>
      <c r="CM208" t="s">
        <v>38</v>
      </c>
      <c r="CN208" s="4">
        <v>100000</v>
      </c>
      <c r="CO208">
        <v>1</v>
      </c>
      <c r="CP208" t="s">
        <v>28</v>
      </c>
      <c r="CQ208" t="s">
        <v>15</v>
      </c>
      <c r="CR208">
        <v>73</v>
      </c>
      <c r="CS208">
        <v>3</v>
      </c>
    </row>
    <row r="209" spans="1:97" x14ac:dyDescent="0.25">
      <c r="A209">
        <v>26849</v>
      </c>
      <c r="B209" t="s">
        <v>35</v>
      </c>
      <c r="C209" t="s">
        <v>38</v>
      </c>
      <c r="D209" s="11">
        <v>10000</v>
      </c>
      <c r="E209">
        <v>3</v>
      </c>
      <c r="F209" t="s">
        <v>29</v>
      </c>
      <c r="G209" t="s">
        <v>25</v>
      </c>
      <c r="H209" t="s">
        <v>15</v>
      </c>
      <c r="I209">
        <v>2</v>
      </c>
      <c r="J209" t="s">
        <v>16</v>
      </c>
      <c r="K209" t="s">
        <v>17</v>
      </c>
      <c r="L209">
        <v>43</v>
      </c>
      <c r="M209" t="str">
        <f t="shared" si="3"/>
        <v>MIddleAge</v>
      </c>
      <c r="N209" t="s">
        <v>18</v>
      </c>
      <c r="R209">
        <v>17668</v>
      </c>
      <c r="S209" t="s">
        <v>36</v>
      </c>
      <c r="T209" t="s">
        <v>38</v>
      </c>
      <c r="U209" s="4">
        <v>30000</v>
      </c>
      <c r="V209">
        <v>2</v>
      </c>
      <c r="W209" t="s">
        <v>27</v>
      </c>
      <c r="X209" t="s">
        <v>14</v>
      </c>
      <c r="Y209" t="s">
        <v>15</v>
      </c>
      <c r="Z209">
        <v>2</v>
      </c>
      <c r="AA209" t="s">
        <v>26</v>
      </c>
      <c r="AB209" t="s">
        <v>31</v>
      </c>
      <c r="AC209">
        <v>50</v>
      </c>
      <c r="AD209" t="s">
        <v>44</v>
      </c>
      <c r="BL209">
        <v>27273</v>
      </c>
      <c r="BM209" t="s">
        <v>36</v>
      </c>
      <c r="BN209" t="s">
        <v>38</v>
      </c>
      <c r="BO209" s="4">
        <v>70000</v>
      </c>
      <c r="BP209" s="4">
        <v>70000</v>
      </c>
      <c r="BQ209">
        <v>3</v>
      </c>
      <c r="BR209" t="s">
        <v>21</v>
      </c>
      <c r="BS209" t="s">
        <v>18</v>
      </c>
      <c r="BT209">
        <v>35</v>
      </c>
      <c r="CB209">
        <v>15382</v>
      </c>
      <c r="CC209" t="s">
        <v>35</v>
      </c>
      <c r="CD209" t="s">
        <v>37</v>
      </c>
      <c r="CE209" s="4">
        <v>110000</v>
      </c>
      <c r="CF209">
        <v>1</v>
      </c>
      <c r="CG209" t="s">
        <v>28</v>
      </c>
      <c r="CH209" t="s">
        <v>15</v>
      </c>
      <c r="CI209">
        <v>44</v>
      </c>
      <c r="CK209">
        <v>15382</v>
      </c>
      <c r="CL209" t="s">
        <v>35</v>
      </c>
      <c r="CM209" t="s">
        <v>37</v>
      </c>
      <c r="CN209" s="4">
        <v>110000</v>
      </c>
      <c r="CO209">
        <v>1</v>
      </c>
      <c r="CP209" t="s">
        <v>28</v>
      </c>
      <c r="CQ209" t="s">
        <v>15</v>
      </c>
      <c r="CR209">
        <v>44</v>
      </c>
      <c r="CS209">
        <v>2</v>
      </c>
    </row>
    <row r="210" spans="1:97" x14ac:dyDescent="0.25">
      <c r="A210">
        <v>26818</v>
      </c>
      <c r="B210" t="s">
        <v>36</v>
      </c>
      <c r="C210" t="s">
        <v>38</v>
      </c>
      <c r="D210" s="11">
        <v>10000</v>
      </c>
      <c r="E210">
        <v>3</v>
      </c>
      <c r="F210" t="s">
        <v>27</v>
      </c>
      <c r="G210" t="s">
        <v>25</v>
      </c>
      <c r="H210" t="s">
        <v>15</v>
      </c>
      <c r="I210">
        <v>1</v>
      </c>
      <c r="J210" t="s">
        <v>16</v>
      </c>
      <c r="K210" t="s">
        <v>17</v>
      </c>
      <c r="L210">
        <v>39</v>
      </c>
      <c r="M210" t="str">
        <f t="shared" si="3"/>
        <v>MIddleAge</v>
      </c>
      <c r="N210" t="s">
        <v>15</v>
      </c>
      <c r="R210">
        <v>13136</v>
      </c>
      <c r="S210" t="s">
        <v>35</v>
      </c>
      <c r="T210" t="s">
        <v>37</v>
      </c>
      <c r="U210" s="4">
        <v>30000</v>
      </c>
      <c r="V210">
        <v>2</v>
      </c>
      <c r="W210" t="s">
        <v>19</v>
      </c>
      <c r="X210" t="s">
        <v>20</v>
      </c>
      <c r="Y210" t="s">
        <v>18</v>
      </c>
      <c r="Z210">
        <v>2</v>
      </c>
      <c r="AA210" t="s">
        <v>23</v>
      </c>
      <c r="AB210" t="s">
        <v>24</v>
      </c>
      <c r="AC210">
        <v>69</v>
      </c>
      <c r="AD210" t="s">
        <v>45</v>
      </c>
      <c r="BL210">
        <v>26728</v>
      </c>
      <c r="BM210" t="s">
        <v>36</v>
      </c>
      <c r="BN210" t="s">
        <v>38</v>
      </c>
      <c r="BO210" s="4">
        <v>70000</v>
      </c>
      <c r="BP210" s="4">
        <v>70000</v>
      </c>
      <c r="BQ210">
        <v>3</v>
      </c>
      <c r="BR210" t="s">
        <v>28</v>
      </c>
      <c r="BS210" t="s">
        <v>18</v>
      </c>
      <c r="BT210">
        <v>53</v>
      </c>
      <c r="CB210">
        <v>13296</v>
      </c>
      <c r="CC210" t="s">
        <v>35</v>
      </c>
      <c r="CD210" t="s">
        <v>38</v>
      </c>
      <c r="CE210" s="4">
        <v>110000</v>
      </c>
      <c r="CF210">
        <v>1</v>
      </c>
      <c r="CG210" t="s">
        <v>28</v>
      </c>
      <c r="CH210" t="s">
        <v>15</v>
      </c>
      <c r="CI210">
        <v>45</v>
      </c>
      <c r="CK210">
        <v>13296</v>
      </c>
      <c r="CL210" t="s">
        <v>35</v>
      </c>
      <c r="CM210" t="s">
        <v>38</v>
      </c>
      <c r="CN210" s="4">
        <v>110000</v>
      </c>
      <c r="CO210">
        <v>1</v>
      </c>
      <c r="CP210" t="s">
        <v>28</v>
      </c>
      <c r="CQ210" t="s">
        <v>15</v>
      </c>
      <c r="CR210">
        <v>45</v>
      </c>
      <c r="CS210">
        <v>3</v>
      </c>
    </row>
    <row r="211" spans="1:97" x14ac:dyDescent="0.25">
      <c r="A211">
        <v>14805</v>
      </c>
      <c r="B211" t="s">
        <v>36</v>
      </c>
      <c r="C211" t="s">
        <v>37</v>
      </c>
      <c r="D211" s="11">
        <v>10000</v>
      </c>
      <c r="E211">
        <v>3</v>
      </c>
      <c r="F211" t="s">
        <v>29</v>
      </c>
      <c r="G211" t="s">
        <v>25</v>
      </c>
      <c r="H211" t="s">
        <v>15</v>
      </c>
      <c r="I211">
        <v>2</v>
      </c>
      <c r="J211" t="s">
        <v>16</v>
      </c>
      <c r="K211" t="s">
        <v>17</v>
      </c>
      <c r="L211">
        <v>43</v>
      </c>
      <c r="M211" t="str">
        <f t="shared" si="3"/>
        <v>MIddleAge</v>
      </c>
      <c r="N211" t="s">
        <v>18</v>
      </c>
      <c r="R211">
        <v>11139</v>
      </c>
      <c r="S211" t="s">
        <v>36</v>
      </c>
      <c r="T211" t="s">
        <v>37</v>
      </c>
      <c r="U211" s="4">
        <v>30000</v>
      </c>
      <c r="V211">
        <v>2</v>
      </c>
      <c r="W211" t="s">
        <v>19</v>
      </c>
      <c r="X211" t="s">
        <v>20</v>
      </c>
      <c r="Y211" t="s">
        <v>18</v>
      </c>
      <c r="Z211">
        <v>2</v>
      </c>
      <c r="AA211" t="s">
        <v>23</v>
      </c>
      <c r="AB211" t="s">
        <v>24</v>
      </c>
      <c r="AC211">
        <v>67</v>
      </c>
      <c r="AD211" t="s">
        <v>45</v>
      </c>
      <c r="BL211">
        <v>26693</v>
      </c>
      <c r="BM211" t="s">
        <v>35</v>
      </c>
      <c r="BN211" t="s">
        <v>38</v>
      </c>
      <c r="BO211" s="4">
        <v>70000</v>
      </c>
      <c r="BP211" s="4">
        <v>70000</v>
      </c>
      <c r="BQ211">
        <v>3</v>
      </c>
      <c r="BR211" t="s">
        <v>21</v>
      </c>
      <c r="BS211" t="s">
        <v>15</v>
      </c>
      <c r="BT211">
        <v>49</v>
      </c>
      <c r="CB211">
        <v>13089</v>
      </c>
      <c r="CC211" t="s">
        <v>35</v>
      </c>
      <c r="CD211" t="s">
        <v>37</v>
      </c>
      <c r="CE211" s="4">
        <v>120000</v>
      </c>
      <c r="CF211">
        <v>1</v>
      </c>
      <c r="CG211" t="s">
        <v>28</v>
      </c>
      <c r="CH211" t="s">
        <v>15</v>
      </c>
      <c r="CI211">
        <v>46</v>
      </c>
      <c r="CK211">
        <v>13089</v>
      </c>
      <c r="CL211" t="s">
        <v>35</v>
      </c>
      <c r="CM211" t="s">
        <v>37</v>
      </c>
      <c r="CN211" s="4">
        <v>120000</v>
      </c>
      <c r="CO211">
        <v>1</v>
      </c>
      <c r="CP211" t="s">
        <v>28</v>
      </c>
      <c r="CQ211" t="s">
        <v>15</v>
      </c>
      <c r="CR211">
        <v>46</v>
      </c>
      <c r="CS211">
        <v>2</v>
      </c>
    </row>
    <row r="212" spans="1:97" x14ac:dyDescent="0.25">
      <c r="A212">
        <v>14804</v>
      </c>
      <c r="B212" t="s">
        <v>36</v>
      </c>
      <c r="C212" t="s">
        <v>37</v>
      </c>
      <c r="D212" s="11">
        <v>10000</v>
      </c>
      <c r="E212">
        <v>3</v>
      </c>
      <c r="F212" t="s">
        <v>29</v>
      </c>
      <c r="G212" t="s">
        <v>25</v>
      </c>
      <c r="H212" t="s">
        <v>15</v>
      </c>
      <c r="I212">
        <v>2</v>
      </c>
      <c r="J212" t="s">
        <v>16</v>
      </c>
      <c r="K212" t="s">
        <v>17</v>
      </c>
      <c r="L212">
        <v>43</v>
      </c>
      <c r="M212" t="str">
        <f t="shared" si="3"/>
        <v>MIddleAge</v>
      </c>
      <c r="N212" t="s">
        <v>18</v>
      </c>
      <c r="R212">
        <v>28799</v>
      </c>
      <c r="S212" t="s">
        <v>36</v>
      </c>
      <c r="T212" t="s">
        <v>37</v>
      </c>
      <c r="U212" s="4">
        <v>40000</v>
      </c>
      <c r="V212">
        <v>2</v>
      </c>
      <c r="W212" t="s">
        <v>19</v>
      </c>
      <c r="X212" t="s">
        <v>20</v>
      </c>
      <c r="Y212" t="s">
        <v>18</v>
      </c>
      <c r="Z212">
        <v>1</v>
      </c>
      <c r="AA212" t="s">
        <v>26</v>
      </c>
      <c r="AB212" t="s">
        <v>31</v>
      </c>
      <c r="AC212">
        <v>47</v>
      </c>
      <c r="AD212" t="s">
        <v>44</v>
      </c>
      <c r="BL212">
        <v>24433</v>
      </c>
      <c r="BM212" t="s">
        <v>35</v>
      </c>
      <c r="BN212" t="s">
        <v>38</v>
      </c>
      <c r="BO212" s="4">
        <v>70000</v>
      </c>
      <c r="BP212" s="4">
        <v>70000</v>
      </c>
      <c r="BQ212">
        <v>3</v>
      </c>
      <c r="BR212" t="s">
        <v>21</v>
      </c>
      <c r="BS212" t="s">
        <v>18</v>
      </c>
      <c r="BT212">
        <v>52</v>
      </c>
      <c r="CB212">
        <v>22088</v>
      </c>
      <c r="CC212" t="s">
        <v>35</v>
      </c>
      <c r="CD212" t="s">
        <v>37</v>
      </c>
      <c r="CE212" s="4">
        <v>130000</v>
      </c>
      <c r="CF212">
        <v>1</v>
      </c>
      <c r="CG212" t="s">
        <v>28</v>
      </c>
      <c r="CH212" t="s">
        <v>15</v>
      </c>
      <c r="CI212">
        <v>45</v>
      </c>
      <c r="CK212">
        <v>22088</v>
      </c>
      <c r="CL212" t="s">
        <v>35</v>
      </c>
      <c r="CM212" t="s">
        <v>37</v>
      </c>
      <c r="CN212" s="4">
        <v>130000</v>
      </c>
      <c r="CO212">
        <v>1</v>
      </c>
      <c r="CP212" t="s">
        <v>28</v>
      </c>
      <c r="CQ212" t="s">
        <v>15</v>
      </c>
      <c r="CR212">
        <v>45</v>
      </c>
      <c r="CS212">
        <v>2</v>
      </c>
    </row>
    <row r="213" spans="1:97" x14ac:dyDescent="0.25">
      <c r="A213">
        <v>13572</v>
      </c>
      <c r="B213" t="s">
        <v>36</v>
      </c>
      <c r="C213" t="s">
        <v>38</v>
      </c>
      <c r="D213" s="11">
        <v>10000</v>
      </c>
      <c r="E213">
        <v>3</v>
      </c>
      <c r="F213" t="s">
        <v>27</v>
      </c>
      <c r="G213" t="s">
        <v>25</v>
      </c>
      <c r="H213" t="s">
        <v>15</v>
      </c>
      <c r="I213">
        <v>0</v>
      </c>
      <c r="J213" t="s">
        <v>16</v>
      </c>
      <c r="K213" t="s">
        <v>17</v>
      </c>
      <c r="L213">
        <v>37</v>
      </c>
      <c r="M213" t="str">
        <f t="shared" si="3"/>
        <v>MIddleAge</v>
      </c>
      <c r="N213" t="s">
        <v>15</v>
      </c>
      <c r="R213">
        <v>28758</v>
      </c>
      <c r="S213" t="s">
        <v>35</v>
      </c>
      <c r="T213" t="s">
        <v>38</v>
      </c>
      <c r="U213" s="4">
        <v>40000</v>
      </c>
      <c r="V213">
        <v>2</v>
      </c>
      <c r="W213" t="s">
        <v>19</v>
      </c>
      <c r="X213" t="s">
        <v>20</v>
      </c>
      <c r="Y213" t="s">
        <v>15</v>
      </c>
      <c r="Z213">
        <v>1</v>
      </c>
      <c r="AA213" t="s">
        <v>26</v>
      </c>
      <c r="AB213" t="s">
        <v>17</v>
      </c>
      <c r="AC213">
        <v>35</v>
      </c>
      <c r="AD213" t="s">
        <v>44</v>
      </c>
      <c r="BL213">
        <v>22118</v>
      </c>
      <c r="BM213" t="s">
        <v>36</v>
      </c>
      <c r="BN213" t="s">
        <v>37</v>
      </c>
      <c r="BO213" s="4">
        <v>70000</v>
      </c>
      <c r="BP213" s="4">
        <v>70000</v>
      </c>
      <c r="BQ213">
        <v>3</v>
      </c>
      <c r="BR213" t="s">
        <v>28</v>
      </c>
      <c r="BS213" t="s">
        <v>15</v>
      </c>
      <c r="BT213">
        <v>53</v>
      </c>
      <c r="CB213">
        <v>16867</v>
      </c>
      <c r="CC213" t="s">
        <v>36</v>
      </c>
      <c r="CD213" t="s">
        <v>37</v>
      </c>
      <c r="CE213" s="4">
        <v>130000</v>
      </c>
      <c r="CF213">
        <v>1</v>
      </c>
      <c r="CG213" t="s">
        <v>28</v>
      </c>
      <c r="CH213" t="s">
        <v>18</v>
      </c>
      <c r="CI213">
        <v>45</v>
      </c>
      <c r="CK213">
        <v>16867</v>
      </c>
      <c r="CL213" t="s">
        <v>36</v>
      </c>
      <c r="CM213" t="s">
        <v>37</v>
      </c>
      <c r="CN213" s="4">
        <v>130000</v>
      </c>
      <c r="CO213">
        <v>1</v>
      </c>
      <c r="CP213" t="s">
        <v>28</v>
      </c>
      <c r="CQ213" t="s">
        <v>18</v>
      </c>
      <c r="CR213">
        <v>45</v>
      </c>
      <c r="CS213">
        <v>3</v>
      </c>
    </row>
    <row r="214" spans="1:97" x14ac:dyDescent="0.25">
      <c r="A214">
        <v>29380</v>
      </c>
      <c r="B214" t="s">
        <v>35</v>
      </c>
      <c r="C214" t="s">
        <v>37</v>
      </c>
      <c r="D214" s="11">
        <v>20000</v>
      </c>
      <c r="E214">
        <v>3</v>
      </c>
      <c r="F214" t="s">
        <v>27</v>
      </c>
      <c r="G214" t="s">
        <v>25</v>
      </c>
      <c r="H214" t="s">
        <v>15</v>
      </c>
      <c r="I214">
        <v>0</v>
      </c>
      <c r="J214" t="s">
        <v>16</v>
      </c>
      <c r="K214" t="s">
        <v>17</v>
      </c>
      <c r="L214">
        <v>41</v>
      </c>
      <c r="M214" t="str">
        <f t="shared" si="3"/>
        <v>MIddleAge</v>
      </c>
      <c r="N214" t="s">
        <v>15</v>
      </c>
      <c r="R214">
        <v>28026</v>
      </c>
      <c r="S214" t="s">
        <v>35</v>
      </c>
      <c r="T214" t="s">
        <v>37</v>
      </c>
      <c r="U214" s="4">
        <v>40000</v>
      </c>
      <c r="V214">
        <v>2</v>
      </c>
      <c r="W214" t="s">
        <v>27</v>
      </c>
      <c r="X214" t="s">
        <v>21</v>
      </c>
      <c r="Y214" t="s">
        <v>18</v>
      </c>
      <c r="Z214">
        <v>2</v>
      </c>
      <c r="AA214" t="s">
        <v>22</v>
      </c>
      <c r="AB214" t="s">
        <v>31</v>
      </c>
      <c r="AC214">
        <v>59</v>
      </c>
      <c r="AD214" t="s">
        <v>45</v>
      </c>
      <c r="BL214">
        <v>21741</v>
      </c>
      <c r="BM214" t="s">
        <v>35</v>
      </c>
      <c r="BN214" t="s">
        <v>37</v>
      </c>
      <c r="BO214" s="4">
        <v>70000</v>
      </c>
      <c r="BP214" s="4">
        <v>70000</v>
      </c>
      <c r="BQ214">
        <v>3</v>
      </c>
      <c r="BR214" t="s">
        <v>21</v>
      </c>
      <c r="BS214" t="s">
        <v>15</v>
      </c>
      <c r="BT214">
        <v>50</v>
      </c>
      <c r="CB214">
        <v>29112</v>
      </c>
      <c r="CC214" t="s">
        <v>36</v>
      </c>
      <c r="CD214" t="s">
        <v>38</v>
      </c>
      <c r="CE214" s="4">
        <v>60000</v>
      </c>
      <c r="CF214">
        <v>0</v>
      </c>
      <c r="CG214" t="s">
        <v>21</v>
      </c>
      <c r="CH214" t="s">
        <v>18</v>
      </c>
      <c r="CI214">
        <v>30</v>
      </c>
      <c r="CK214">
        <v>29112</v>
      </c>
      <c r="CL214" t="s">
        <v>36</v>
      </c>
      <c r="CM214" t="s">
        <v>38</v>
      </c>
      <c r="CN214" s="4">
        <v>60000</v>
      </c>
      <c r="CO214">
        <v>0</v>
      </c>
      <c r="CP214" t="s">
        <v>21</v>
      </c>
      <c r="CQ214" t="s">
        <v>18</v>
      </c>
      <c r="CR214">
        <v>30</v>
      </c>
      <c r="CS214">
        <v>2</v>
      </c>
    </row>
    <row r="215" spans="1:97" x14ac:dyDescent="0.25">
      <c r="A215">
        <v>26852</v>
      </c>
      <c r="B215" t="s">
        <v>35</v>
      </c>
      <c r="C215" t="s">
        <v>37</v>
      </c>
      <c r="D215" s="11">
        <v>20000</v>
      </c>
      <c r="E215">
        <v>3</v>
      </c>
      <c r="F215" t="s">
        <v>27</v>
      </c>
      <c r="G215" t="s">
        <v>25</v>
      </c>
      <c r="H215" t="s">
        <v>15</v>
      </c>
      <c r="I215">
        <v>2</v>
      </c>
      <c r="J215" t="s">
        <v>16</v>
      </c>
      <c r="K215" t="s">
        <v>17</v>
      </c>
      <c r="L215">
        <v>43</v>
      </c>
      <c r="M215" t="str">
        <f t="shared" si="3"/>
        <v>MIddleAge</v>
      </c>
      <c r="N215" t="s">
        <v>18</v>
      </c>
      <c r="R215">
        <v>27745</v>
      </c>
      <c r="S215" t="s">
        <v>36</v>
      </c>
      <c r="T215" t="s">
        <v>38</v>
      </c>
      <c r="U215" s="4">
        <v>40000</v>
      </c>
      <c r="V215">
        <v>2</v>
      </c>
      <c r="W215" t="s">
        <v>13</v>
      </c>
      <c r="X215" t="s">
        <v>28</v>
      </c>
      <c r="Y215" t="s">
        <v>15</v>
      </c>
      <c r="Z215">
        <v>2</v>
      </c>
      <c r="AA215" t="s">
        <v>23</v>
      </c>
      <c r="AB215" t="s">
        <v>24</v>
      </c>
      <c r="AC215">
        <v>63</v>
      </c>
      <c r="AD215" t="s">
        <v>45</v>
      </c>
      <c r="BL215">
        <v>20659</v>
      </c>
      <c r="BM215" t="s">
        <v>35</v>
      </c>
      <c r="BN215" t="s">
        <v>38</v>
      </c>
      <c r="BO215" s="4">
        <v>70000</v>
      </c>
      <c r="BP215" s="4">
        <v>70000</v>
      </c>
      <c r="BQ215">
        <v>3</v>
      </c>
      <c r="BR215" t="s">
        <v>21</v>
      </c>
      <c r="BS215" t="s">
        <v>15</v>
      </c>
      <c r="BT215">
        <v>35</v>
      </c>
      <c r="CB215">
        <v>26582</v>
      </c>
      <c r="CC215" t="s">
        <v>35</v>
      </c>
      <c r="CD215" t="s">
        <v>38</v>
      </c>
      <c r="CE215" s="4">
        <v>60000</v>
      </c>
      <c r="CF215">
        <v>0</v>
      </c>
      <c r="CG215" t="s">
        <v>14</v>
      </c>
      <c r="CH215" t="s">
        <v>15</v>
      </c>
      <c r="CI215">
        <v>33</v>
      </c>
      <c r="CK215">
        <v>26582</v>
      </c>
      <c r="CL215" t="s">
        <v>35</v>
      </c>
      <c r="CM215" t="s">
        <v>38</v>
      </c>
      <c r="CN215" s="4">
        <v>60000</v>
      </c>
      <c r="CO215">
        <v>0</v>
      </c>
      <c r="CP215" t="s">
        <v>14</v>
      </c>
      <c r="CQ215" t="s">
        <v>15</v>
      </c>
      <c r="CR215">
        <v>33</v>
      </c>
      <c r="CS215">
        <v>2</v>
      </c>
    </row>
    <row r="216" spans="1:97" x14ac:dyDescent="0.25">
      <c r="A216">
        <v>26248</v>
      </c>
      <c r="B216" t="s">
        <v>35</v>
      </c>
      <c r="C216" t="s">
        <v>38</v>
      </c>
      <c r="D216" s="11">
        <v>20000</v>
      </c>
      <c r="E216">
        <v>3</v>
      </c>
      <c r="F216" t="s">
        <v>29</v>
      </c>
      <c r="G216" t="s">
        <v>20</v>
      </c>
      <c r="H216" t="s">
        <v>18</v>
      </c>
      <c r="I216">
        <v>2</v>
      </c>
      <c r="J216" t="s">
        <v>16</v>
      </c>
      <c r="K216" t="s">
        <v>31</v>
      </c>
      <c r="L216">
        <v>52</v>
      </c>
      <c r="M216" t="str">
        <f t="shared" si="3"/>
        <v>MIddleAge</v>
      </c>
      <c r="N216" t="s">
        <v>18</v>
      </c>
      <c r="R216">
        <v>27494</v>
      </c>
      <c r="S216" t="s">
        <v>36</v>
      </c>
      <c r="T216" t="s">
        <v>37</v>
      </c>
      <c r="U216" s="4">
        <v>40000</v>
      </c>
      <c r="V216">
        <v>2</v>
      </c>
      <c r="W216" t="s">
        <v>19</v>
      </c>
      <c r="X216" t="s">
        <v>14</v>
      </c>
      <c r="Y216" t="s">
        <v>18</v>
      </c>
      <c r="Z216">
        <v>2</v>
      </c>
      <c r="AA216" t="s">
        <v>26</v>
      </c>
      <c r="AB216" t="s">
        <v>24</v>
      </c>
      <c r="AC216">
        <v>53</v>
      </c>
      <c r="AD216" t="s">
        <v>44</v>
      </c>
      <c r="BL216">
        <v>20376</v>
      </c>
      <c r="BM216" t="s">
        <v>36</v>
      </c>
      <c r="BN216" t="s">
        <v>37</v>
      </c>
      <c r="BO216" s="4">
        <v>70000</v>
      </c>
      <c r="BP216" s="4">
        <v>70000</v>
      </c>
      <c r="BQ216">
        <v>3</v>
      </c>
      <c r="BR216" t="s">
        <v>28</v>
      </c>
      <c r="BS216" t="s">
        <v>15</v>
      </c>
      <c r="BT216">
        <v>52</v>
      </c>
      <c r="CB216">
        <v>26576</v>
      </c>
      <c r="CC216" t="s">
        <v>35</v>
      </c>
      <c r="CD216" t="s">
        <v>37</v>
      </c>
      <c r="CE216" s="4">
        <v>60000</v>
      </c>
      <c r="CF216">
        <v>0</v>
      </c>
      <c r="CG216" t="s">
        <v>14</v>
      </c>
      <c r="CH216" t="s">
        <v>15</v>
      </c>
      <c r="CI216">
        <v>31</v>
      </c>
      <c r="CK216">
        <v>26576</v>
      </c>
      <c r="CL216" t="s">
        <v>35</v>
      </c>
      <c r="CM216" t="s">
        <v>37</v>
      </c>
      <c r="CN216" s="4">
        <v>60000</v>
      </c>
      <c r="CO216">
        <v>0</v>
      </c>
      <c r="CP216" t="s">
        <v>14</v>
      </c>
      <c r="CQ216" t="s">
        <v>15</v>
      </c>
      <c r="CR216">
        <v>31</v>
      </c>
      <c r="CS216">
        <v>2</v>
      </c>
    </row>
    <row r="217" spans="1:97" x14ac:dyDescent="0.25">
      <c r="A217">
        <v>25347</v>
      </c>
      <c r="B217" t="s">
        <v>36</v>
      </c>
      <c r="C217" t="s">
        <v>37</v>
      </c>
      <c r="D217" s="11">
        <v>20000</v>
      </c>
      <c r="E217">
        <v>3</v>
      </c>
      <c r="F217" t="s">
        <v>29</v>
      </c>
      <c r="G217" t="s">
        <v>20</v>
      </c>
      <c r="H217" t="s">
        <v>18</v>
      </c>
      <c r="I217">
        <v>2</v>
      </c>
      <c r="J217" t="s">
        <v>16</v>
      </c>
      <c r="K217" t="s">
        <v>31</v>
      </c>
      <c r="L217">
        <v>49</v>
      </c>
      <c r="M217" t="str">
        <f t="shared" si="3"/>
        <v>MIddleAge</v>
      </c>
      <c r="N217" t="s">
        <v>18</v>
      </c>
      <c r="R217">
        <v>27183</v>
      </c>
      <c r="S217" t="s">
        <v>36</v>
      </c>
      <c r="T217" t="s">
        <v>38</v>
      </c>
      <c r="U217" s="4">
        <v>40000</v>
      </c>
      <c r="V217">
        <v>2</v>
      </c>
      <c r="W217" t="s">
        <v>19</v>
      </c>
      <c r="X217" t="s">
        <v>20</v>
      </c>
      <c r="Y217" t="s">
        <v>15</v>
      </c>
      <c r="Z217">
        <v>1</v>
      </c>
      <c r="AA217" t="s">
        <v>26</v>
      </c>
      <c r="AB217" t="s">
        <v>17</v>
      </c>
      <c r="AC217">
        <v>35</v>
      </c>
      <c r="AD217" t="s">
        <v>44</v>
      </c>
      <c r="BL217">
        <v>20370</v>
      </c>
      <c r="BM217" t="s">
        <v>35</v>
      </c>
      <c r="BN217" t="s">
        <v>38</v>
      </c>
      <c r="BO217" s="4">
        <v>70000</v>
      </c>
      <c r="BP217" s="4">
        <v>70000</v>
      </c>
      <c r="BQ217">
        <v>3</v>
      </c>
      <c r="BR217" t="s">
        <v>14</v>
      </c>
      <c r="BS217" t="s">
        <v>15</v>
      </c>
      <c r="BT217">
        <v>52</v>
      </c>
      <c r="CB217">
        <v>25954</v>
      </c>
      <c r="CC217" t="s">
        <v>35</v>
      </c>
      <c r="CD217" t="s">
        <v>38</v>
      </c>
      <c r="CE217" s="4">
        <v>60000</v>
      </c>
      <c r="CF217">
        <v>0</v>
      </c>
      <c r="CG217" t="s">
        <v>14</v>
      </c>
      <c r="CH217" t="s">
        <v>18</v>
      </c>
      <c r="CI217">
        <v>31</v>
      </c>
      <c r="CK217">
        <v>25954</v>
      </c>
      <c r="CL217" t="s">
        <v>35</v>
      </c>
      <c r="CM217" t="s">
        <v>38</v>
      </c>
      <c r="CN217" s="4">
        <v>60000</v>
      </c>
      <c r="CO217">
        <v>0</v>
      </c>
      <c r="CP217" t="s">
        <v>14</v>
      </c>
      <c r="CQ217" t="s">
        <v>18</v>
      </c>
      <c r="CR217">
        <v>31</v>
      </c>
      <c r="CS217">
        <v>2</v>
      </c>
    </row>
    <row r="218" spans="1:97" x14ac:dyDescent="0.25">
      <c r="A218">
        <v>25343</v>
      </c>
      <c r="B218" t="s">
        <v>36</v>
      </c>
      <c r="C218" t="s">
        <v>37</v>
      </c>
      <c r="D218" s="11">
        <v>20000</v>
      </c>
      <c r="E218">
        <v>3</v>
      </c>
      <c r="F218" t="s">
        <v>29</v>
      </c>
      <c r="G218" t="s">
        <v>20</v>
      </c>
      <c r="H218" t="s">
        <v>15</v>
      </c>
      <c r="I218">
        <v>2</v>
      </c>
      <c r="J218" t="s">
        <v>26</v>
      </c>
      <c r="K218" t="s">
        <v>31</v>
      </c>
      <c r="L218">
        <v>50</v>
      </c>
      <c r="M218" t="str">
        <f t="shared" si="3"/>
        <v>MIddleAge</v>
      </c>
      <c r="N218" t="s">
        <v>18</v>
      </c>
      <c r="R218">
        <v>26796</v>
      </c>
      <c r="S218" t="s">
        <v>36</v>
      </c>
      <c r="T218" t="s">
        <v>38</v>
      </c>
      <c r="U218" s="4">
        <v>40000</v>
      </c>
      <c r="V218">
        <v>2</v>
      </c>
      <c r="W218" t="s">
        <v>13</v>
      </c>
      <c r="X218" t="s">
        <v>28</v>
      </c>
      <c r="Y218" t="s">
        <v>15</v>
      </c>
      <c r="Z218">
        <v>2</v>
      </c>
      <c r="AA218" t="s">
        <v>23</v>
      </c>
      <c r="AB218" t="s">
        <v>24</v>
      </c>
      <c r="AC218">
        <v>65</v>
      </c>
      <c r="AD218" t="s">
        <v>45</v>
      </c>
      <c r="BL218">
        <v>17462</v>
      </c>
      <c r="BM218" t="s">
        <v>35</v>
      </c>
      <c r="BN218" t="s">
        <v>38</v>
      </c>
      <c r="BO218" s="4">
        <v>70000</v>
      </c>
      <c r="BP218" s="4">
        <v>70000</v>
      </c>
      <c r="BQ218">
        <v>3</v>
      </c>
      <c r="BR218" t="s">
        <v>28</v>
      </c>
      <c r="BS218" t="s">
        <v>15</v>
      </c>
      <c r="BT218">
        <v>53</v>
      </c>
      <c r="CB218">
        <v>24584</v>
      </c>
      <c r="CC218" t="s">
        <v>36</v>
      </c>
      <c r="CD218" t="s">
        <v>38</v>
      </c>
      <c r="CE218" s="4">
        <v>60000</v>
      </c>
      <c r="CF218">
        <v>0</v>
      </c>
      <c r="CG218" t="s">
        <v>21</v>
      </c>
      <c r="CH218" t="s">
        <v>18</v>
      </c>
      <c r="CI218">
        <v>31</v>
      </c>
      <c r="CK218">
        <v>24584</v>
      </c>
      <c r="CL218" t="s">
        <v>36</v>
      </c>
      <c r="CM218" t="s">
        <v>38</v>
      </c>
      <c r="CN218" s="4">
        <v>60000</v>
      </c>
      <c r="CO218">
        <v>0</v>
      </c>
      <c r="CP218" t="s">
        <v>21</v>
      </c>
      <c r="CQ218" t="s">
        <v>18</v>
      </c>
      <c r="CR218">
        <v>31</v>
      </c>
      <c r="CS218">
        <v>3</v>
      </c>
    </row>
    <row r="219" spans="1:97" x14ac:dyDescent="0.25">
      <c r="A219">
        <v>23797</v>
      </c>
      <c r="B219" t="s">
        <v>36</v>
      </c>
      <c r="C219" t="s">
        <v>38</v>
      </c>
      <c r="D219" s="11">
        <v>20000</v>
      </c>
      <c r="E219">
        <v>3</v>
      </c>
      <c r="F219" t="s">
        <v>29</v>
      </c>
      <c r="G219" t="s">
        <v>20</v>
      </c>
      <c r="H219" t="s">
        <v>18</v>
      </c>
      <c r="I219">
        <v>2</v>
      </c>
      <c r="J219" t="s">
        <v>16</v>
      </c>
      <c r="K219" t="s">
        <v>31</v>
      </c>
      <c r="L219">
        <v>50</v>
      </c>
      <c r="M219" t="str">
        <f t="shared" si="3"/>
        <v>MIddleAge</v>
      </c>
      <c r="N219" t="s">
        <v>18</v>
      </c>
      <c r="R219">
        <v>26167</v>
      </c>
      <c r="S219" t="s">
        <v>36</v>
      </c>
      <c r="T219" t="s">
        <v>37</v>
      </c>
      <c r="U219" s="4">
        <v>40000</v>
      </c>
      <c r="V219">
        <v>2</v>
      </c>
      <c r="W219" t="s">
        <v>13</v>
      </c>
      <c r="X219" t="s">
        <v>28</v>
      </c>
      <c r="Y219" t="s">
        <v>18</v>
      </c>
      <c r="Z219">
        <v>1</v>
      </c>
      <c r="AA219" t="s">
        <v>23</v>
      </c>
      <c r="AB219" t="s">
        <v>24</v>
      </c>
      <c r="AC219">
        <v>53</v>
      </c>
      <c r="AD219" t="s">
        <v>44</v>
      </c>
      <c r="BL219">
        <v>17458</v>
      </c>
      <c r="BM219" t="s">
        <v>36</v>
      </c>
      <c r="BN219" t="s">
        <v>38</v>
      </c>
      <c r="BO219" s="4">
        <v>70000</v>
      </c>
      <c r="BP219" s="4">
        <v>70000</v>
      </c>
      <c r="BQ219">
        <v>3</v>
      </c>
      <c r="BR219" t="s">
        <v>21</v>
      </c>
      <c r="BS219" t="s">
        <v>15</v>
      </c>
      <c r="BT219">
        <v>52</v>
      </c>
      <c r="CB219">
        <v>23358</v>
      </c>
      <c r="CC219" t="s">
        <v>35</v>
      </c>
      <c r="CD219" t="s">
        <v>38</v>
      </c>
      <c r="CE219" s="4">
        <v>60000</v>
      </c>
      <c r="CF219">
        <v>0</v>
      </c>
      <c r="CG219" t="s">
        <v>21</v>
      </c>
      <c r="CH219" t="s">
        <v>15</v>
      </c>
      <c r="CI219">
        <v>32</v>
      </c>
      <c r="CK219">
        <v>23358</v>
      </c>
      <c r="CL219" t="s">
        <v>35</v>
      </c>
      <c r="CM219" t="s">
        <v>38</v>
      </c>
      <c r="CN219" s="4">
        <v>60000</v>
      </c>
      <c r="CO219">
        <v>0</v>
      </c>
      <c r="CP219" t="s">
        <v>21</v>
      </c>
      <c r="CQ219" t="s">
        <v>15</v>
      </c>
      <c r="CR219">
        <v>32</v>
      </c>
      <c r="CS219">
        <v>2</v>
      </c>
    </row>
    <row r="220" spans="1:97" x14ac:dyDescent="0.25">
      <c r="A220">
        <v>18058</v>
      </c>
      <c r="B220" t="s">
        <v>36</v>
      </c>
      <c r="C220" t="s">
        <v>37</v>
      </c>
      <c r="D220" s="11">
        <v>20000</v>
      </c>
      <c r="E220">
        <v>3</v>
      </c>
      <c r="F220" t="s">
        <v>27</v>
      </c>
      <c r="G220" t="s">
        <v>14</v>
      </c>
      <c r="H220" t="s">
        <v>15</v>
      </c>
      <c r="I220">
        <v>2</v>
      </c>
      <c r="J220" t="s">
        <v>22</v>
      </c>
      <c r="K220" t="s">
        <v>31</v>
      </c>
      <c r="L220">
        <v>78</v>
      </c>
      <c r="M220" t="str">
        <f t="shared" si="3"/>
        <v>Old</v>
      </c>
      <c r="N220" t="s">
        <v>18</v>
      </c>
      <c r="R220">
        <v>25323</v>
      </c>
      <c r="S220" t="s">
        <v>35</v>
      </c>
      <c r="T220" t="s">
        <v>38</v>
      </c>
      <c r="U220" s="4">
        <v>40000</v>
      </c>
      <c r="V220">
        <v>2</v>
      </c>
      <c r="W220" t="s">
        <v>19</v>
      </c>
      <c r="X220" t="s">
        <v>20</v>
      </c>
      <c r="Y220" t="s">
        <v>15</v>
      </c>
      <c r="Z220">
        <v>1</v>
      </c>
      <c r="AA220" t="s">
        <v>26</v>
      </c>
      <c r="AB220" t="s">
        <v>17</v>
      </c>
      <c r="AC220">
        <v>35</v>
      </c>
      <c r="AD220" t="s">
        <v>44</v>
      </c>
      <c r="BL220">
        <v>14572</v>
      </c>
      <c r="BM220" t="s">
        <v>35</v>
      </c>
      <c r="BN220" t="s">
        <v>37</v>
      </c>
      <c r="BO220" s="4">
        <v>70000</v>
      </c>
      <c r="BP220" s="4">
        <v>70000</v>
      </c>
      <c r="BQ220">
        <v>3</v>
      </c>
      <c r="BR220" t="s">
        <v>21</v>
      </c>
      <c r="BS220" t="s">
        <v>15</v>
      </c>
      <c r="BT220">
        <v>35</v>
      </c>
      <c r="CB220">
        <v>22211</v>
      </c>
      <c r="CC220" t="s">
        <v>35</v>
      </c>
      <c r="CD220" t="s">
        <v>38</v>
      </c>
      <c r="CE220" s="4">
        <v>60000</v>
      </c>
      <c r="CF220">
        <v>0</v>
      </c>
      <c r="CG220" t="s">
        <v>21</v>
      </c>
      <c r="CH220" t="s">
        <v>15</v>
      </c>
      <c r="CI220">
        <v>32</v>
      </c>
      <c r="CK220">
        <v>22211</v>
      </c>
      <c r="CL220" t="s">
        <v>35</v>
      </c>
      <c r="CM220" t="s">
        <v>38</v>
      </c>
      <c r="CN220" s="4">
        <v>60000</v>
      </c>
      <c r="CO220">
        <v>0</v>
      </c>
      <c r="CP220" t="s">
        <v>21</v>
      </c>
      <c r="CQ220" t="s">
        <v>15</v>
      </c>
      <c r="CR220">
        <v>32</v>
      </c>
      <c r="CS220">
        <v>2</v>
      </c>
    </row>
    <row r="221" spans="1:97" x14ac:dyDescent="0.25">
      <c r="A221">
        <v>14517</v>
      </c>
      <c r="B221" t="s">
        <v>35</v>
      </c>
      <c r="C221" t="s">
        <v>37</v>
      </c>
      <c r="D221" s="11">
        <v>20000</v>
      </c>
      <c r="E221">
        <v>3</v>
      </c>
      <c r="F221" t="s">
        <v>27</v>
      </c>
      <c r="G221" t="s">
        <v>14</v>
      </c>
      <c r="H221" t="s">
        <v>18</v>
      </c>
      <c r="I221">
        <v>2</v>
      </c>
      <c r="J221" t="s">
        <v>26</v>
      </c>
      <c r="K221" t="s">
        <v>24</v>
      </c>
      <c r="L221">
        <v>62</v>
      </c>
      <c r="M221" t="str">
        <f t="shared" si="3"/>
        <v>Old</v>
      </c>
      <c r="N221" t="s">
        <v>18</v>
      </c>
      <c r="R221">
        <v>21717</v>
      </c>
      <c r="S221" t="s">
        <v>35</v>
      </c>
      <c r="T221" t="s">
        <v>38</v>
      </c>
      <c r="U221" s="4">
        <v>40000</v>
      </c>
      <c r="V221">
        <v>2</v>
      </c>
      <c r="W221" t="s">
        <v>19</v>
      </c>
      <c r="X221" t="s">
        <v>20</v>
      </c>
      <c r="Y221" t="s">
        <v>15</v>
      </c>
      <c r="Z221">
        <v>1</v>
      </c>
      <c r="AA221" t="s">
        <v>16</v>
      </c>
      <c r="AB221" t="s">
        <v>31</v>
      </c>
      <c r="AC221">
        <v>47</v>
      </c>
      <c r="AD221" t="s">
        <v>44</v>
      </c>
      <c r="BL221">
        <v>14493</v>
      </c>
      <c r="BM221" t="s">
        <v>36</v>
      </c>
      <c r="BN221" t="s">
        <v>37</v>
      </c>
      <c r="BO221" s="4">
        <v>70000</v>
      </c>
      <c r="BP221" s="4">
        <v>70000</v>
      </c>
      <c r="BQ221">
        <v>3</v>
      </c>
      <c r="BR221" t="s">
        <v>28</v>
      </c>
      <c r="BS221" t="s">
        <v>18</v>
      </c>
      <c r="BT221">
        <v>53</v>
      </c>
      <c r="CB221">
        <v>21417</v>
      </c>
      <c r="CC221" t="s">
        <v>36</v>
      </c>
      <c r="CD221" t="s">
        <v>37</v>
      </c>
      <c r="CE221" s="4">
        <v>60000</v>
      </c>
      <c r="CF221">
        <v>0</v>
      </c>
      <c r="CG221" t="s">
        <v>21</v>
      </c>
      <c r="CH221" t="s">
        <v>18</v>
      </c>
      <c r="CI221">
        <v>32</v>
      </c>
      <c r="CK221">
        <v>21417</v>
      </c>
      <c r="CL221" t="s">
        <v>36</v>
      </c>
      <c r="CM221" t="s">
        <v>37</v>
      </c>
      <c r="CN221" s="4">
        <v>60000</v>
      </c>
      <c r="CO221">
        <v>0</v>
      </c>
      <c r="CP221" t="s">
        <v>21</v>
      </c>
      <c r="CQ221" t="s">
        <v>18</v>
      </c>
      <c r="CR221">
        <v>32</v>
      </c>
      <c r="CS221">
        <v>2</v>
      </c>
    </row>
    <row r="222" spans="1:97" x14ac:dyDescent="0.25">
      <c r="A222">
        <v>12833</v>
      </c>
      <c r="B222" t="s">
        <v>36</v>
      </c>
      <c r="C222" t="s">
        <v>37</v>
      </c>
      <c r="D222" s="11">
        <v>20000</v>
      </c>
      <c r="E222">
        <v>3</v>
      </c>
      <c r="F222" t="s">
        <v>27</v>
      </c>
      <c r="G222" t="s">
        <v>25</v>
      </c>
      <c r="H222" t="s">
        <v>15</v>
      </c>
      <c r="I222">
        <v>1</v>
      </c>
      <c r="J222" t="s">
        <v>16</v>
      </c>
      <c r="K222" t="s">
        <v>17</v>
      </c>
      <c r="L222">
        <v>42</v>
      </c>
      <c r="M222" t="str">
        <f t="shared" si="3"/>
        <v>MIddleAge</v>
      </c>
      <c r="N222" t="s">
        <v>15</v>
      </c>
      <c r="R222">
        <v>20729</v>
      </c>
      <c r="S222" t="s">
        <v>35</v>
      </c>
      <c r="T222" t="s">
        <v>37</v>
      </c>
      <c r="U222" s="4">
        <v>40000</v>
      </c>
      <c r="V222">
        <v>2</v>
      </c>
      <c r="W222" t="s">
        <v>19</v>
      </c>
      <c r="X222" t="s">
        <v>20</v>
      </c>
      <c r="Y222" t="s">
        <v>18</v>
      </c>
      <c r="Z222">
        <v>1</v>
      </c>
      <c r="AA222" t="s">
        <v>16</v>
      </c>
      <c r="AB222" t="s">
        <v>17</v>
      </c>
      <c r="AC222">
        <v>34</v>
      </c>
      <c r="AD222" t="s">
        <v>44</v>
      </c>
      <c r="BL222">
        <v>13873</v>
      </c>
      <c r="BM222" t="s">
        <v>35</v>
      </c>
      <c r="BN222" t="s">
        <v>38</v>
      </c>
      <c r="BO222" s="4">
        <v>70000</v>
      </c>
      <c r="BP222" s="4">
        <v>70000</v>
      </c>
      <c r="BQ222">
        <v>3</v>
      </c>
      <c r="BR222" t="s">
        <v>21</v>
      </c>
      <c r="BS222" t="s">
        <v>15</v>
      </c>
      <c r="BT222">
        <v>35</v>
      </c>
      <c r="CB222">
        <v>20414</v>
      </c>
      <c r="CC222" t="s">
        <v>35</v>
      </c>
      <c r="CD222" t="s">
        <v>37</v>
      </c>
      <c r="CE222" s="4">
        <v>60000</v>
      </c>
      <c r="CF222">
        <v>0</v>
      </c>
      <c r="CG222" t="s">
        <v>14</v>
      </c>
      <c r="CH222" t="s">
        <v>15</v>
      </c>
      <c r="CI222">
        <v>29</v>
      </c>
      <c r="CK222">
        <v>20414</v>
      </c>
      <c r="CL222" t="s">
        <v>35</v>
      </c>
      <c r="CM222" t="s">
        <v>37</v>
      </c>
      <c r="CN222" s="4">
        <v>60000</v>
      </c>
      <c r="CO222">
        <v>0</v>
      </c>
      <c r="CP222" t="s">
        <v>14</v>
      </c>
      <c r="CQ222" t="s">
        <v>15</v>
      </c>
      <c r="CR222">
        <v>29</v>
      </c>
      <c r="CS222">
        <v>2</v>
      </c>
    </row>
    <row r="223" spans="1:97" x14ac:dyDescent="0.25">
      <c r="A223">
        <v>29094</v>
      </c>
      <c r="B223" t="s">
        <v>35</v>
      </c>
      <c r="C223" t="s">
        <v>38</v>
      </c>
      <c r="D223" s="11">
        <v>30000</v>
      </c>
      <c r="E223">
        <v>3</v>
      </c>
      <c r="F223" t="s">
        <v>27</v>
      </c>
      <c r="G223" t="s">
        <v>14</v>
      </c>
      <c r="H223" t="s">
        <v>15</v>
      </c>
      <c r="I223">
        <v>2</v>
      </c>
      <c r="J223" t="s">
        <v>23</v>
      </c>
      <c r="K223" t="s">
        <v>24</v>
      </c>
      <c r="L223">
        <v>54</v>
      </c>
      <c r="M223" t="str">
        <f t="shared" si="3"/>
        <v>MIddleAge</v>
      </c>
      <c r="N223" t="s">
        <v>15</v>
      </c>
      <c r="R223">
        <v>20528</v>
      </c>
      <c r="S223" t="s">
        <v>35</v>
      </c>
      <c r="T223" t="s">
        <v>38</v>
      </c>
      <c r="U223" s="4">
        <v>40000</v>
      </c>
      <c r="V223">
        <v>2</v>
      </c>
      <c r="W223" t="s">
        <v>29</v>
      </c>
      <c r="X223" t="s">
        <v>14</v>
      </c>
      <c r="Y223" t="s">
        <v>15</v>
      </c>
      <c r="Z223">
        <v>2</v>
      </c>
      <c r="AA223" t="s">
        <v>22</v>
      </c>
      <c r="AB223" t="s">
        <v>31</v>
      </c>
      <c r="AC223">
        <v>55</v>
      </c>
      <c r="AD223" t="s">
        <v>45</v>
      </c>
      <c r="BL223">
        <v>12195</v>
      </c>
      <c r="BM223" t="s">
        <v>36</v>
      </c>
      <c r="BN223" t="s">
        <v>37</v>
      </c>
      <c r="BO223" s="4">
        <v>70000</v>
      </c>
      <c r="BP223" s="4">
        <v>70000</v>
      </c>
      <c r="BQ223">
        <v>3</v>
      </c>
      <c r="BR223" t="s">
        <v>28</v>
      </c>
      <c r="BS223" t="s">
        <v>15</v>
      </c>
      <c r="BT223">
        <v>52</v>
      </c>
      <c r="CB223">
        <v>19758</v>
      </c>
      <c r="CC223" t="s">
        <v>36</v>
      </c>
      <c r="CD223" t="s">
        <v>38</v>
      </c>
      <c r="CE223" s="4">
        <v>60000</v>
      </c>
      <c r="CF223">
        <v>0</v>
      </c>
      <c r="CG223" t="s">
        <v>14</v>
      </c>
      <c r="CH223" t="s">
        <v>18</v>
      </c>
      <c r="CI223">
        <v>29</v>
      </c>
      <c r="CK223">
        <v>19758</v>
      </c>
      <c r="CL223" t="s">
        <v>36</v>
      </c>
      <c r="CM223" t="s">
        <v>38</v>
      </c>
      <c r="CN223" s="4">
        <v>60000</v>
      </c>
      <c r="CO223">
        <v>0</v>
      </c>
      <c r="CP223" t="s">
        <v>14</v>
      </c>
      <c r="CQ223" t="s">
        <v>18</v>
      </c>
      <c r="CR223">
        <v>29</v>
      </c>
      <c r="CS223">
        <v>2</v>
      </c>
    </row>
    <row r="224" spans="1:97" x14ac:dyDescent="0.25">
      <c r="A224">
        <v>27824</v>
      </c>
      <c r="B224" t="s">
        <v>36</v>
      </c>
      <c r="C224" t="s">
        <v>37</v>
      </c>
      <c r="D224" s="11">
        <v>30000</v>
      </c>
      <c r="E224">
        <v>3</v>
      </c>
      <c r="F224" t="s">
        <v>19</v>
      </c>
      <c r="G224" t="s">
        <v>20</v>
      </c>
      <c r="H224" t="s">
        <v>15</v>
      </c>
      <c r="I224">
        <v>2</v>
      </c>
      <c r="J224" t="s">
        <v>16</v>
      </c>
      <c r="K224" t="s">
        <v>17</v>
      </c>
      <c r="L224">
        <v>28</v>
      </c>
      <c r="M224" t="str">
        <f t="shared" si="3"/>
        <v>Adolescent</v>
      </c>
      <c r="N224" t="s">
        <v>15</v>
      </c>
      <c r="R224">
        <v>20053</v>
      </c>
      <c r="S224" t="s">
        <v>36</v>
      </c>
      <c r="T224" t="s">
        <v>38</v>
      </c>
      <c r="U224" s="4">
        <v>40000</v>
      </c>
      <c r="V224">
        <v>2</v>
      </c>
      <c r="W224" t="s">
        <v>19</v>
      </c>
      <c r="X224" t="s">
        <v>20</v>
      </c>
      <c r="Y224" t="s">
        <v>15</v>
      </c>
      <c r="Z224">
        <v>0</v>
      </c>
      <c r="AA224" t="s">
        <v>16</v>
      </c>
      <c r="AB224" t="s">
        <v>17</v>
      </c>
      <c r="AC224">
        <v>34</v>
      </c>
      <c r="AD224" t="s">
        <v>44</v>
      </c>
      <c r="BL224">
        <v>12153</v>
      </c>
      <c r="BM224" t="s">
        <v>36</v>
      </c>
      <c r="BN224" t="s">
        <v>37</v>
      </c>
      <c r="BO224" s="4">
        <v>70000</v>
      </c>
      <c r="BP224" s="4">
        <v>70000</v>
      </c>
      <c r="BQ224">
        <v>3</v>
      </c>
      <c r="BR224" t="s">
        <v>21</v>
      </c>
      <c r="BS224" t="s">
        <v>15</v>
      </c>
      <c r="BT224">
        <v>49</v>
      </c>
      <c r="CB224">
        <v>17519</v>
      </c>
      <c r="CC224" t="s">
        <v>35</v>
      </c>
      <c r="CD224" t="s">
        <v>37</v>
      </c>
      <c r="CE224" s="4">
        <v>60000</v>
      </c>
      <c r="CF224">
        <v>0</v>
      </c>
      <c r="CG224" t="s">
        <v>21</v>
      </c>
      <c r="CH224" t="s">
        <v>15</v>
      </c>
      <c r="CI224">
        <v>32</v>
      </c>
      <c r="CK224">
        <v>17519</v>
      </c>
      <c r="CL224" t="s">
        <v>35</v>
      </c>
      <c r="CM224" t="s">
        <v>37</v>
      </c>
      <c r="CN224" s="4">
        <v>60000</v>
      </c>
      <c r="CO224">
        <v>0</v>
      </c>
      <c r="CP224" t="s">
        <v>21</v>
      </c>
      <c r="CQ224" t="s">
        <v>15</v>
      </c>
      <c r="CR224">
        <v>32</v>
      </c>
      <c r="CS224">
        <v>2</v>
      </c>
    </row>
    <row r="225" spans="1:97" x14ac:dyDescent="0.25">
      <c r="A225">
        <v>27814</v>
      </c>
      <c r="B225" t="s">
        <v>36</v>
      </c>
      <c r="C225" t="s">
        <v>37</v>
      </c>
      <c r="D225" s="11">
        <v>30000</v>
      </c>
      <c r="E225">
        <v>3</v>
      </c>
      <c r="F225" t="s">
        <v>19</v>
      </c>
      <c r="G225" t="s">
        <v>20</v>
      </c>
      <c r="H225" t="s">
        <v>18</v>
      </c>
      <c r="I225">
        <v>1</v>
      </c>
      <c r="J225" t="s">
        <v>16</v>
      </c>
      <c r="K225" t="s">
        <v>17</v>
      </c>
      <c r="L225">
        <v>26</v>
      </c>
      <c r="M225" t="str">
        <f t="shared" si="3"/>
        <v>Adolescent</v>
      </c>
      <c r="N225" t="s">
        <v>18</v>
      </c>
      <c r="R225">
        <v>19193</v>
      </c>
      <c r="S225" t="s">
        <v>36</v>
      </c>
      <c r="T225" t="s">
        <v>38</v>
      </c>
      <c r="U225" s="4">
        <v>40000</v>
      </c>
      <c r="V225">
        <v>2</v>
      </c>
      <c r="W225" t="s">
        <v>19</v>
      </c>
      <c r="X225" t="s">
        <v>20</v>
      </c>
      <c r="Y225" t="s">
        <v>15</v>
      </c>
      <c r="Z225">
        <v>0</v>
      </c>
      <c r="AA225" t="s">
        <v>26</v>
      </c>
      <c r="AB225" t="s">
        <v>17</v>
      </c>
      <c r="AC225">
        <v>35</v>
      </c>
      <c r="AD225" t="s">
        <v>44</v>
      </c>
      <c r="BL225">
        <v>11807</v>
      </c>
      <c r="BM225" t="s">
        <v>35</v>
      </c>
      <c r="BN225" t="s">
        <v>38</v>
      </c>
      <c r="BO225" s="4">
        <v>70000</v>
      </c>
      <c r="BP225" s="4">
        <v>70000</v>
      </c>
      <c r="BQ225">
        <v>3</v>
      </c>
      <c r="BR225" t="s">
        <v>21</v>
      </c>
      <c r="BS225" t="s">
        <v>15</v>
      </c>
      <c r="BT225">
        <v>34</v>
      </c>
      <c r="CB225">
        <v>16337</v>
      </c>
      <c r="CC225" t="s">
        <v>35</v>
      </c>
      <c r="CD225" t="s">
        <v>38</v>
      </c>
      <c r="CE225" s="4">
        <v>60000</v>
      </c>
      <c r="CF225">
        <v>0</v>
      </c>
      <c r="CG225" t="s">
        <v>14</v>
      </c>
      <c r="CH225" t="s">
        <v>18</v>
      </c>
      <c r="CI225">
        <v>29</v>
      </c>
      <c r="CK225">
        <v>16337</v>
      </c>
      <c r="CL225" t="s">
        <v>35</v>
      </c>
      <c r="CM225" t="s">
        <v>38</v>
      </c>
      <c r="CN225" s="4">
        <v>60000</v>
      </c>
      <c r="CO225">
        <v>0</v>
      </c>
      <c r="CP225" t="s">
        <v>14</v>
      </c>
      <c r="CQ225" t="s">
        <v>18</v>
      </c>
      <c r="CR225">
        <v>29</v>
      </c>
      <c r="CS225">
        <v>2</v>
      </c>
    </row>
    <row r="226" spans="1:97" x14ac:dyDescent="0.25">
      <c r="A226">
        <v>25649</v>
      </c>
      <c r="B226" t="s">
        <v>36</v>
      </c>
      <c r="C226" t="s">
        <v>37</v>
      </c>
      <c r="D226" s="11">
        <v>30000</v>
      </c>
      <c r="E226">
        <v>3</v>
      </c>
      <c r="F226" t="s">
        <v>19</v>
      </c>
      <c r="G226" t="s">
        <v>20</v>
      </c>
      <c r="H226" t="s">
        <v>15</v>
      </c>
      <c r="I226">
        <v>0</v>
      </c>
      <c r="J226" t="s">
        <v>16</v>
      </c>
      <c r="K226" t="s">
        <v>17</v>
      </c>
      <c r="L226">
        <v>42</v>
      </c>
      <c r="M226" t="str">
        <f t="shared" si="3"/>
        <v>MIddleAge</v>
      </c>
      <c r="N226" t="s">
        <v>15</v>
      </c>
      <c r="R226">
        <v>18626</v>
      </c>
      <c r="S226" t="s">
        <v>36</v>
      </c>
      <c r="T226" t="s">
        <v>38</v>
      </c>
      <c r="U226" s="4">
        <v>40000</v>
      </c>
      <c r="V226">
        <v>2</v>
      </c>
      <c r="W226" t="s">
        <v>19</v>
      </c>
      <c r="X226" t="s">
        <v>20</v>
      </c>
      <c r="Y226" t="s">
        <v>15</v>
      </c>
      <c r="Z226">
        <v>0</v>
      </c>
      <c r="AA226" t="s">
        <v>26</v>
      </c>
      <c r="AB226" t="s">
        <v>17</v>
      </c>
      <c r="AC226">
        <v>33</v>
      </c>
      <c r="AD226" t="s">
        <v>44</v>
      </c>
      <c r="BL226">
        <v>29255</v>
      </c>
      <c r="BM226" t="s">
        <v>36</v>
      </c>
      <c r="BN226" t="s">
        <v>38</v>
      </c>
      <c r="BO226" s="4">
        <v>80000</v>
      </c>
      <c r="BP226" s="4">
        <v>80000</v>
      </c>
      <c r="BQ226">
        <v>3</v>
      </c>
      <c r="BR226" t="s">
        <v>21</v>
      </c>
      <c r="BS226" t="s">
        <v>18</v>
      </c>
      <c r="BT226">
        <v>51</v>
      </c>
      <c r="CB226">
        <v>14284</v>
      </c>
      <c r="CC226" t="s">
        <v>36</v>
      </c>
      <c r="CD226" t="s">
        <v>38</v>
      </c>
      <c r="CE226" s="4">
        <v>60000</v>
      </c>
      <c r="CF226">
        <v>0</v>
      </c>
      <c r="CG226" t="s">
        <v>21</v>
      </c>
      <c r="CH226" t="s">
        <v>18</v>
      </c>
      <c r="CI226">
        <v>32</v>
      </c>
      <c r="CK226">
        <v>14284</v>
      </c>
      <c r="CL226" t="s">
        <v>36</v>
      </c>
      <c r="CM226" t="s">
        <v>38</v>
      </c>
      <c r="CN226" s="4">
        <v>60000</v>
      </c>
      <c r="CO226">
        <v>0</v>
      </c>
      <c r="CP226" t="s">
        <v>21</v>
      </c>
      <c r="CQ226" t="s">
        <v>18</v>
      </c>
      <c r="CR226">
        <v>32</v>
      </c>
      <c r="CS226">
        <v>2</v>
      </c>
    </row>
    <row r="227" spans="1:97" x14ac:dyDescent="0.25">
      <c r="A227">
        <v>24187</v>
      </c>
      <c r="B227" t="s">
        <v>36</v>
      </c>
      <c r="C227" t="s">
        <v>37</v>
      </c>
      <c r="D227" s="11">
        <v>30000</v>
      </c>
      <c r="E227">
        <v>3</v>
      </c>
      <c r="F227" t="s">
        <v>30</v>
      </c>
      <c r="G227" t="s">
        <v>20</v>
      </c>
      <c r="H227" t="s">
        <v>18</v>
      </c>
      <c r="I227">
        <v>0</v>
      </c>
      <c r="J227" t="s">
        <v>16</v>
      </c>
      <c r="K227" t="s">
        <v>17</v>
      </c>
      <c r="L227">
        <v>46</v>
      </c>
      <c r="M227" t="str">
        <f t="shared" si="3"/>
        <v>MIddleAge</v>
      </c>
      <c r="N227" t="s">
        <v>15</v>
      </c>
      <c r="R227">
        <v>16713</v>
      </c>
      <c r="S227" t="s">
        <v>35</v>
      </c>
      <c r="T227" t="s">
        <v>38</v>
      </c>
      <c r="U227" s="4">
        <v>40000</v>
      </c>
      <c r="V227">
        <v>2</v>
      </c>
      <c r="W227" t="s">
        <v>13</v>
      </c>
      <c r="X227" t="s">
        <v>28</v>
      </c>
      <c r="Y227" t="s">
        <v>15</v>
      </c>
      <c r="Z227">
        <v>1</v>
      </c>
      <c r="AA227" t="s">
        <v>16</v>
      </c>
      <c r="AB227" t="s">
        <v>24</v>
      </c>
      <c r="AC227">
        <v>52</v>
      </c>
      <c r="AD227" t="s">
        <v>44</v>
      </c>
      <c r="BL227">
        <v>28858</v>
      </c>
      <c r="BM227" t="s">
        <v>36</v>
      </c>
      <c r="BN227" t="s">
        <v>38</v>
      </c>
      <c r="BO227" s="4">
        <v>80000</v>
      </c>
      <c r="BP227" s="4">
        <v>80000</v>
      </c>
      <c r="BQ227">
        <v>3</v>
      </c>
      <c r="BR227" t="s">
        <v>14</v>
      </c>
      <c r="BS227" t="s">
        <v>15</v>
      </c>
      <c r="BT227">
        <v>40</v>
      </c>
      <c r="CB227">
        <v>13073</v>
      </c>
      <c r="CC227" t="s">
        <v>35</v>
      </c>
      <c r="CD227" t="s">
        <v>37</v>
      </c>
      <c r="CE227" s="4">
        <v>60000</v>
      </c>
      <c r="CF227">
        <v>0</v>
      </c>
      <c r="CG227" t="s">
        <v>21</v>
      </c>
      <c r="CH227" t="s">
        <v>15</v>
      </c>
      <c r="CI227">
        <v>30</v>
      </c>
      <c r="CK227">
        <v>13073</v>
      </c>
      <c r="CL227" t="s">
        <v>35</v>
      </c>
      <c r="CM227" t="s">
        <v>37</v>
      </c>
      <c r="CN227" s="4">
        <v>60000</v>
      </c>
      <c r="CO227">
        <v>0</v>
      </c>
      <c r="CP227" t="s">
        <v>21</v>
      </c>
      <c r="CQ227" t="s">
        <v>15</v>
      </c>
      <c r="CR227">
        <v>30</v>
      </c>
      <c r="CS227">
        <v>2</v>
      </c>
    </row>
    <row r="228" spans="1:97" x14ac:dyDescent="0.25">
      <c r="A228">
        <v>24107</v>
      </c>
      <c r="B228" t="s">
        <v>35</v>
      </c>
      <c r="C228" t="s">
        <v>38</v>
      </c>
      <c r="D228" s="11">
        <v>30000</v>
      </c>
      <c r="E228">
        <v>3</v>
      </c>
      <c r="F228" t="s">
        <v>19</v>
      </c>
      <c r="G228" t="s">
        <v>20</v>
      </c>
      <c r="H228" t="s">
        <v>15</v>
      </c>
      <c r="I228">
        <v>1</v>
      </c>
      <c r="J228" t="s">
        <v>16</v>
      </c>
      <c r="K228" t="s">
        <v>17</v>
      </c>
      <c r="L228">
        <v>43</v>
      </c>
      <c r="M228" t="str">
        <f t="shared" si="3"/>
        <v>MIddleAge</v>
      </c>
      <c r="N228" t="s">
        <v>18</v>
      </c>
      <c r="R228">
        <v>15822</v>
      </c>
      <c r="S228" t="s">
        <v>35</v>
      </c>
      <c r="T228" t="s">
        <v>38</v>
      </c>
      <c r="U228" s="4">
        <v>40000</v>
      </c>
      <c r="V228">
        <v>2</v>
      </c>
      <c r="W228" t="s">
        <v>13</v>
      </c>
      <c r="X228" t="s">
        <v>28</v>
      </c>
      <c r="Y228" t="s">
        <v>15</v>
      </c>
      <c r="Z228">
        <v>2</v>
      </c>
      <c r="AA228" t="s">
        <v>16</v>
      </c>
      <c r="AB228" t="s">
        <v>24</v>
      </c>
      <c r="AC228">
        <v>67</v>
      </c>
      <c r="AD228" t="s">
        <v>45</v>
      </c>
      <c r="BL228">
        <v>28068</v>
      </c>
      <c r="BM228" t="s">
        <v>36</v>
      </c>
      <c r="BN228" t="s">
        <v>37</v>
      </c>
      <c r="BO228" s="4">
        <v>80000</v>
      </c>
      <c r="BP228" s="4">
        <v>80000</v>
      </c>
      <c r="BQ228">
        <v>3</v>
      </c>
      <c r="BR228" t="s">
        <v>21</v>
      </c>
      <c r="BS228" t="s">
        <v>18</v>
      </c>
      <c r="BT228">
        <v>36</v>
      </c>
      <c r="CB228">
        <v>11699</v>
      </c>
      <c r="CC228" t="s">
        <v>36</v>
      </c>
      <c r="CD228" t="s">
        <v>38</v>
      </c>
      <c r="CE228" s="4">
        <v>60000</v>
      </c>
      <c r="CF228">
        <v>0</v>
      </c>
      <c r="CG228" t="s">
        <v>14</v>
      </c>
      <c r="CH228" t="s">
        <v>18</v>
      </c>
      <c r="CI228">
        <v>30</v>
      </c>
      <c r="CK228">
        <v>11699</v>
      </c>
      <c r="CL228" t="s">
        <v>36</v>
      </c>
      <c r="CM228" t="s">
        <v>38</v>
      </c>
      <c r="CN228" s="4">
        <v>60000</v>
      </c>
      <c r="CO228">
        <v>0</v>
      </c>
      <c r="CP228" t="s">
        <v>14</v>
      </c>
      <c r="CQ228" t="s">
        <v>18</v>
      </c>
      <c r="CR228">
        <v>30</v>
      </c>
      <c r="CS228">
        <v>2</v>
      </c>
    </row>
    <row r="229" spans="1:97" x14ac:dyDescent="0.25">
      <c r="A229">
        <v>23316</v>
      </c>
      <c r="B229" t="s">
        <v>36</v>
      </c>
      <c r="C229" t="s">
        <v>38</v>
      </c>
      <c r="D229" s="11">
        <v>30000</v>
      </c>
      <c r="E229">
        <v>3</v>
      </c>
      <c r="F229" t="s">
        <v>19</v>
      </c>
      <c r="G229" t="s">
        <v>20</v>
      </c>
      <c r="H229" t="s">
        <v>18</v>
      </c>
      <c r="I229">
        <v>2</v>
      </c>
      <c r="J229" t="s">
        <v>26</v>
      </c>
      <c r="K229" t="s">
        <v>24</v>
      </c>
      <c r="L229">
        <v>59</v>
      </c>
      <c r="M229" t="str">
        <f t="shared" si="3"/>
        <v>Old</v>
      </c>
      <c r="N229" t="s">
        <v>15</v>
      </c>
      <c r="R229">
        <v>15265</v>
      </c>
      <c r="S229" t="s">
        <v>36</v>
      </c>
      <c r="T229" t="s">
        <v>38</v>
      </c>
      <c r="U229" s="4">
        <v>40000</v>
      </c>
      <c r="V229">
        <v>2</v>
      </c>
      <c r="W229" t="s">
        <v>13</v>
      </c>
      <c r="X229" t="s">
        <v>28</v>
      </c>
      <c r="Y229" t="s">
        <v>15</v>
      </c>
      <c r="Z229">
        <v>2</v>
      </c>
      <c r="AA229" t="s">
        <v>23</v>
      </c>
      <c r="AB229" t="s">
        <v>24</v>
      </c>
      <c r="AC229">
        <v>66</v>
      </c>
      <c r="AD229" t="s">
        <v>45</v>
      </c>
      <c r="BL229">
        <v>24357</v>
      </c>
      <c r="BM229" t="s">
        <v>35</v>
      </c>
      <c r="BN229" t="s">
        <v>38</v>
      </c>
      <c r="BO229" s="4">
        <v>80000</v>
      </c>
      <c r="BP229" s="4">
        <v>80000</v>
      </c>
      <c r="BQ229">
        <v>3</v>
      </c>
      <c r="BR229" t="s">
        <v>21</v>
      </c>
      <c r="BS229" t="s">
        <v>15</v>
      </c>
      <c r="BT229">
        <v>48</v>
      </c>
      <c r="CB229">
        <v>28323</v>
      </c>
      <c r="CC229" t="s">
        <v>36</v>
      </c>
      <c r="CD229" t="s">
        <v>38</v>
      </c>
      <c r="CE229" s="4">
        <v>70000</v>
      </c>
      <c r="CF229">
        <v>0</v>
      </c>
      <c r="CG229" t="s">
        <v>21</v>
      </c>
      <c r="CH229" t="s">
        <v>18</v>
      </c>
      <c r="CI229">
        <v>43</v>
      </c>
      <c r="CK229">
        <v>28323</v>
      </c>
      <c r="CL229" t="s">
        <v>36</v>
      </c>
      <c r="CM229" t="s">
        <v>38</v>
      </c>
      <c r="CN229" s="4">
        <v>70000</v>
      </c>
      <c r="CO229">
        <v>0</v>
      </c>
      <c r="CP229" t="s">
        <v>21</v>
      </c>
      <c r="CQ229" t="s">
        <v>18</v>
      </c>
      <c r="CR229">
        <v>43</v>
      </c>
      <c r="CS229">
        <v>2</v>
      </c>
    </row>
    <row r="230" spans="1:97" x14ac:dyDescent="0.25">
      <c r="A230">
        <v>22518</v>
      </c>
      <c r="B230" t="s">
        <v>36</v>
      </c>
      <c r="C230" t="s">
        <v>37</v>
      </c>
      <c r="D230" s="11">
        <v>30000</v>
      </c>
      <c r="E230">
        <v>3</v>
      </c>
      <c r="F230" t="s">
        <v>19</v>
      </c>
      <c r="G230" t="s">
        <v>20</v>
      </c>
      <c r="H230" t="s">
        <v>18</v>
      </c>
      <c r="I230">
        <v>2</v>
      </c>
      <c r="J230" t="s">
        <v>16</v>
      </c>
      <c r="K230" t="s">
        <v>17</v>
      </c>
      <c r="L230">
        <v>27</v>
      </c>
      <c r="M230" t="str">
        <f t="shared" si="3"/>
        <v>Adolescent</v>
      </c>
      <c r="N230" t="s">
        <v>15</v>
      </c>
      <c r="R230">
        <v>14865</v>
      </c>
      <c r="S230" t="s">
        <v>36</v>
      </c>
      <c r="T230" t="s">
        <v>38</v>
      </c>
      <c r="U230" s="4">
        <v>40000</v>
      </c>
      <c r="V230">
        <v>2</v>
      </c>
      <c r="W230" t="s">
        <v>19</v>
      </c>
      <c r="X230" t="s">
        <v>20</v>
      </c>
      <c r="Y230" t="s">
        <v>15</v>
      </c>
      <c r="Z230">
        <v>2</v>
      </c>
      <c r="AA230" t="s">
        <v>26</v>
      </c>
      <c r="AB230" t="s">
        <v>17</v>
      </c>
      <c r="AC230">
        <v>36</v>
      </c>
      <c r="AD230" t="s">
        <v>44</v>
      </c>
      <c r="BL230">
        <v>23882</v>
      </c>
      <c r="BM230" t="s">
        <v>36</v>
      </c>
      <c r="BN230" t="s">
        <v>37</v>
      </c>
      <c r="BO230" s="4">
        <v>80000</v>
      </c>
      <c r="BP230" s="4">
        <v>80000</v>
      </c>
      <c r="BQ230">
        <v>3</v>
      </c>
      <c r="BR230" t="s">
        <v>21</v>
      </c>
      <c r="BS230" t="s">
        <v>15</v>
      </c>
      <c r="BT230">
        <v>37</v>
      </c>
      <c r="CB230">
        <v>25943</v>
      </c>
      <c r="CC230" t="s">
        <v>36</v>
      </c>
      <c r="CD230" t="s">
        <v>37</v>
      </c>
      <c r="CE230" s="4">
        <v>70000</v>
      </c>
      <c r="CF230">
        <v>0</v>
      </c>
      <c r="CG230" t="s">
        <v>14</v>
      </c>
      <c r="CH230" t="s">
        <v>18</v>
      </c>
      <c r="CI230">
        <v>27</v>
      </c>
      <c r="CK230">
        <v>25943</v>
      </c>
      <c r="CL230" t="s">
        <v>36</v>
      </c>
      <c r="CM230" t="s">
        <v>37</v>
      </c>
      <c r="CN230" s="4">
        <v>70000</v>
      </c>
      <c r="CO230">
        <v>0</v>
      </c>
      <c r="CP230" t="s">
        <v>14</v>
      </c>
      <c r="CQ230" t="s">
        <v>18</v>
      </c>
      <c r="CR230">
        <v>27</v>
      </c>
      <c r="CS230">
        <v>2</v>
      </c>
    </row>
    <row r="231" spans="1:97" x14ac:dyDescent="0.25">
      <c r="A231">
        <v>22175</v>
      </c>
      <c r="B231" t="s">
        <v>35</v>
      </c>
      <c r="C231" t="s">
        <v>37</v>
      </c>
      <c r="D231" s="11">
        <v>30000</v>
      </c>
      <c r="E231">
        <v>3</v>
      </c>
      <c r="F231" t="s">
        <v>27</v>
      </c>
      <c r="G231" t="s">
        <v>14</v>
      </c>
      <c r="H231" t="s">
        <v>15</v>
      </c>
      <c r="I231">
        <v>2</v>
      </c>
      <c r="J231" t="s">
        <v>23</v>
      </c>
      <c r="K231" t="s">
        <v>24</v>
      </c>
      <c r="L231">
        <v>53</v>
      </c>
      <c r="M231" t="str">
        <f t="shared" si="3"/>
        <v>MIddleAge</v>
      </c>
      <c r="N231" t="s">
        <v>15</v>
      </c>
      <c r="R231">
        <v>11644</v>
      </c>
      <c r="S231" t="s">
        <v>36</v>
      </c>
      <c r="T231" t="s">
        <v>38</v>
      </c>
      <c r="U231" s="4">
        <v>40000</v>
      </c>
      <c r="V231">
        <v>2</v>
      </c>
      <c r="W231" t="s">
        <v>13</v>
      </c>
      <c r="X231" t="s">
        <v>14</v>
      </c>
      <c r="Y231" t="s">
        <v>15</v>
      </c>
      <c r="Z231">
        <v>0</v>
      </c>
      <c r="AA231" t="s">
        <v>22</v>
      </c>
      <c r="AB231" t="s">
        <v>31</v>
      </c>
      <c r="AC231">
        <v>36</v>
      </c>
      <c r="AD231" t="s">
        <v>44</v>
      </c>
      <c r="BL231">
        <v>19143</v>
      </c>
      <c r="BM231" t="s">
        <v>36</v>
      </c>
      <c r="BN231" t="s">
        <v>37</v>
      </c>
      <c r="BO231" s="4">
        <v>80000</v>
      </c>
      <c r="BP231" s="4">
        <v>80000</v>
      </c>
      <c r="BQ231">
        <v>3</v>
      </c>
      <c r="BR231" t="s">
        <v>14</v>
      </c>
      <c r="BS231" t="s">
        <v>15</v>
      </c>
      <c r="BT231">
        <v>41</v>
      </c>
      <c r="CB231">
        <v>22042</v>
      </c>
      <c r="CC231" t="s">
        <v>35</v>
      </c>
      <c r="CD231" t="s">
        <v>37</v>
      </c>
      <c r="CE231" s="4">
        <v>70000</v>
      </c>
      <c r="CF231">
        <v>0</v>
      </c>
      <c r="CG231" t="s">
        <v>14</v>
      </c>
      <c r="CH231" t="s">
        <v>15</v>
      </c>
      <c r="CI231">
        <v>34</v>
      </c>
      <c r="CK231">
        <v>22042</v>
      </c>
      <c r="CL231" t="s">
        <v>35</v>
      </c>
      <c r="CM231" t="s">
        <v>37</v>
      </c>
      <c r="CN231" s="4">
        <v>70000</v>
      </c>
      <c r="CO231">
        <v>0</v>
      </c>
      <c r="CP231" t="s">
        <v>14</v>
      </c>
      <c r="CQ231" t="s">
        <v>15</v>
      </c>
      <c r="CR231">
        <v>34</v>
      </c>
      <c r="CS231">
        <v>2</v>
      </c>
    </row>
    <row r="232" spans="1:97" x14ac:dyDescent="0.25">
      <c r="A232">
        <v>22174</v>
      </c>
      <c r="B232" t="s">
        <v>35</v>
      </c>
      <c r="C232" t="s">
        <v>38</v>
      </c>
      <c r="D232" s="11">
        <v>30000</v>
      </c>
      <c r="E232">
        <v>3</v>
      </c>
      <c r="F232" t="s">
        <v>27</v>
      </c>
      <c r="G232" t="s">
        <v>14</v>
      </c>
      <c r="H232" t="s">
        <v>15</v>
      </c>
      <c r="I232">
        <v>2</v>
      </c>
      <c r="J232" t="s">
        <v>23</v>
      </c>
      <c r="K232" t="s">
        <v>24</v>
      </c>
      <c r="L232">
        <v>54</v>
      </c>
      <c r="M232" t="str">
        <f t="shared" si="3"/>
        <v>MIddleAge</v>
      </c>
      <c r="N232" t="s">
        <v>15</v>
      </c>
      <c r="R232">
        <v>11149</v>
      </c>
      <c r="S232" t="s">
        <v>35</v>
      </c>
      <c r="T232" t="s">
        <v>38</v>
      </c>
      <c r="U232" s="4">
        <v>40000</v>
      </c>
      <c r="V232">
        <v>2</v>
      </c>
      <c r="W232" t="s">
        <v>13</v>
      </c>
      <c r="X232" t="s">
        <v>28</v>
      </c>
      <c r="Y232" t="s">
        <v>15</v>
      </c>
      <c r="Z232">
        <v>2</v>
      </c>
      <c r="AA232" t="s">
        <v>16</v>
      </c>
      <c r="AB232" t="s">
        <v>24</v>
      </c>
      <c r="AC232">
        <v>65</v>
      </c>
      <c r="AD232" t="s">
        <v>45</v>
      </c>
      <c r="BL232">
        <v>19012</v>
      </c>
      <c r="BM232" t="s">
        <v>35</v>
      </c>
      <c r="BN232" t="s">
        <v>38</v>
      </c>
      <c r="BO232" s="4">
        <v>80000</v>
      </c>
      <c r="BP232" s="4">
        <v>80000</v>
      </c>
      <c r="BQ232">
        <v>3</v>
      </c>
      <c r="BR232" t="s">
        <v>28</v>
      </c>
      <c r="BS232" t="s">
        <v>15</v>
      </c>
      <c r="BT232">
        <v>56</v>
      </c>
      <c r="CB232">
        <v>18949</v>
      </c>
      <c r="CC232" t="s">
        <v>36</v>
      </c>
      <c r="CD232" t="s">
        <v>38</v>
      </c>
      <c r="CE232" s="4">
        <v>70000</v>
      </c>
      <c r="CF232">
        <v>0</v>
      </c>
      <c r="CG232" t="s">
        <v>28</v>
      </c>
      <c r="CH232" t="s">
        <v>15</v>
      </c>
      <c r="CI232">
        <v>74</v>
      </c>
      <c r="CK232">
        <v>18949</v>
      </c>
      <c r="CL232" t="s">
        <v>36</v>
      </c>
      <c r="CM232" t="s">
        <v>38</v>
      </c>
      <c r="CN232" s="4">
        <v>70000</v>
      </c>
      <c r="CO232">
        <v>0</v>
      </c>
      <c r="CP232" t="s">
        <v>28</v>
      </c>
      <c r="CQ232" t="s">
        <v>15</v>
      </c>
      <c r="CR232">
        <v>74</v>
      </c>
      <c r="CS232">
        <v>2</v>
      </c>
    </row>
    <row r="233" spans="1:97" x14ac:dyDescent="0.25">
      <c r="A233">
        <v>22173</v>
      </c>
      <c r="B233" t="s">
        <v>35</v>
      </c>
      <c r="C233" t="s">
        <v>37</v>
      </c>
      <c r="D233" s="11">
        <v>30000</v>
      </c>
      <c r="E233">
        <v>3</v>
      </c>
      <c r="F233" t="s">
        <v>27</v>
      </c>
      <c r="G233" t="s">
        <v>14</v>
      </c>
      <c r="H233" t="s">
        <v>18</v>
      </c>
      <c r="I233">
        <v>2</v>
      </c>
      <c r="J233" t="s">
        <v>26</v>
      </c>
      <c r="K233" t="s">
        <v>24</v>
      </c>
      <c r="L233">
        <v>54</v>
      </c>
      <c r="M233" t="str">
        <f t="shared" si="3"/>
        <v>MIddleAge</v>
      </c>
      <c r="N233" t="s">
        <v>15</v>
      </c>
      <c r="R233">
        <v>28278</v>
      </c>
      <c r="S233" t="s">
        <v>35</v>
      </c>
      <c r="T233" t="s">
        <v>38</v>
      </c>
      <c r="U233" s="4">
        <v>50000</v>
      </c>
      <c r="V233">
        <v>2</v>
      </c>
      <c r="W233" t="s">
        <v>30</v>
      </c>
      <c r="X233" t="s">
        <v>28</v>
      </c>
      <c r="Y233" t="s">
        <v>15</v>
      </c>
      <c r="Z233">
        <v>2</v>
      </c>
      <c r="AA233" t="s">
        <v>23</v>
      </c>
      <c r="AB233" t="s">
        <v>31</v>
      </c>
      <c r="AC233">
        <v>71</v>
      </c>
      <c r="AD233" t="s">
        <v>45</v>
      </c>
      <c r="BL233">
        <v>18594</v>
      </c>
      <c r="BM233" t="s">
        <v>36</v>
      </c>
      <c r="BN233" t="s">
        <v>37</v>
      </c>
      <c r="BO233" s="4">
        <v>80000</v>
      </c>
      <c r="BP233" s="4">
        <v>80000</v>
      </c>
      <c r="BQ233">
        <v>3</v>
      </c>
      <c r="BR233" t="s">
        <v>14</v>
      </c>
      <c r="BS233" t="s">
        <v>15</v>
      </c>
      <c r="BT233">
        <v>40</v>
      </c>
      <c r="CB233">
        <v>16753</v>
      </c>
      <c r="CC233" t="s">
        <v>36</v>
      </c>
      <c r="CD233" t="s">
        <v>37</v>
      </c>
      <c r="CE233" s="4">
        <v>70000</v>
      </c>
      <c r="CF233">
        <v>0</v>
      </c>
      <c r="CG233" t="s">
        <v>14</v>
      </c>
      <c r="CH233" t="s">
        <v>15</v>
      </c>
      <c r="CI233">
        <v>34</v>
      </c>
      <c r="CK233">
        <v>16753</v>
      </c>
      <c r="CL233" t="s">
        <v>36</v>
      </c>
      <c r="CM233" t="s">
        <v>37</v>
      </c>
      <c r="CN233" s="4">
        <v>70000</v>
      </c>
      <c r="CO233">
        <v>0</v>
      </c>
      <c r="CP233" t="s">
        <v>14</v>
      </c>
      <c r="CQ233" t="s">
        <v>15</v>
      </c>
      <c r="CR233">
        <v>34</v>
      </c>
      <c r="CS233">
        <v>2</v>
      </c>
    </row>
    <row r="234" spans="1:97" x14ac:dyDescent="0.25">
      <c r="A234">
        <v>22170</v>
      </c>
      <c r="B234" t="s">
        <v>35</v>
      </c>
      <c r="C234" t="s">
        <v>37</v>
      </c>
      <c r="D234" s="11">
        <v>30000</v>
      </c>
      <c r="E234">
        <v>3</v>
      </c>
      <c r="F234" t="s">
        <v>19</v>
      </c>
      <c r="G234" t="s">
        <v>20</v>
      </c>
      <c r="H234" t="s">
        <v>18</v>
      </c>
      <c r="I234">
        <v>2</v>
      </c>
      <c r="J234" t="s">
        <v>26</v>
      </c>
      <c r="K234" t="s">
        <v>24</v>
      </c>
      <c r="L234">
        <v>55</v>
      </c>
      <c r="M234" t="str">
        <f t="shared" si="3"/>
        <v>Old</v>
      </c>
      <c r="N234" t="s">
        <v>15</v>
      </c>
      <c r="R234">
        <v>20657</v>
      </c>
      <c r="S234" t="s">
        <v>36</v>
      </c>
      <c r="T234" t="s">
        <v>38</v>
      </c>
      <c r="U234" s="4">
        <v>50000</v>
      </c>
      <c r="V234">
        <v>2</v>
      </c>
      <c r="W234" t="s">
        <v>13</v>
      </c>
      <c r="X234" t="s">
        <v>14</v>
      </c>
      <c r="Y234" t="s">
        <v>15</v>
      </c>
      <c r="Z234">
        <v>0</v>
      </c>
      <c r="AA234" t="s">
        <v>22</v>
      </c>
      <c r="AB234" t="s">
        <v>31</v>
      </c>
      <c r="AC234">
        <v>37</v>
      </c>
      <c r="AD234" t="s">
        <v>44</v>
      </c>
      <c r="BL234">
        <v>15372</v>
      </c>
      <c r="BM234" t="s">
        <v>35</v>
      </c>
      <c r="BN234" t="s">
        <v>38</v>
      </c>
      <c r="BO234" s="4">
        <v>80000</v>
      </c>
      <c r="BP234" s="4">
        <v>80000</v>
      </c>
      <c r="BQ234">
        <v>3</v>
      </c>
      <c r="BR234" t="s">
        <v>21</v>
      </c>
      <c r="BS234" t="s">
        <v>18</v>
      </c>
      <c r="BT234">
        <v>50</v>
      </c>
      <c r="CB234">
        <v>13620</v>
      </c>
      <c r="CC234" t="s">
        <v>36</v>
      </c>
      <c r="CD234" t="s">
        <v>38</v>
      </c>
      <c r="CE234" s="4">
        <v>70000</v>
      </c>
      <c r="CF234">
        <v>0</v>
      </c>
      <c r="CG234" t="s">
        <v>21</v>
      </c>
      <c r="CH234" t="s">
        <v>18</v>
      </c>
      <c r="CI234">
        <v>30</v>
      </c>
      <c r="CK234">
        <v>13620</v>
      </c>
      <c r="CL234" t="s">
        <v>36</v>
      </c>
      <c r="CM234" t="s">
        <v>38</v>
      </c>
      <c r="CN234" s="4">
        <v>70000</v>
      </c>
      <c r="CO234">
        <v>0</v>
      </c>
      <c r="CP234" t="s">
        <v>21</v>
      </c>
      <c r="CQ234" t="s">
        <v>18</v>
      </c>
      <c r="CR234">
        <v>30</v>
      </c>
      <c r="CS234">
        <v>3</v>
      </c>
    </row>
    <row r="235" spans="1:97" x14ac:dyDescent="0.25">
      <c r="A235">
        <v>20839</v>
      </c>
      <c r="B235" t="s">
        <v>36</v>
      </c>
      <c r="C235" t="s">
        <v>37</v>
      </c>
      <c r="D235" s="11">
        <v>30000</v>
      </c>
      <c r="E235">
        <v>3</v>
      </c>
      <c r="F235" t="s">
        <v>30</v>
      </c>
      <c r="G235" t="s">
        <v>20</v>
      </c>
      <c r="H235" t="s">
        <v>15</v>
      </c>
      <c r="I235">
        <v>0</v>
      </c>
      <c r="J235" t="s">
        <v>16</v>
      </c>
      <c r="K235" t="s">
        <v>17</v>
      </c>
      <c r="L235">
        <v>47</v>
      </c>
      <c r="M235" t="str">
        <f t="shared" si="3"/>
        <v>MIddleAge</v>
      </c>
      <c r="N235" t="s">
        <v>15</v>
      </c>
      <c r="R235">
        <v>20361</v>
      </c>
      <c r="S235" t="s">
        <v>35</v>
      </c>
      <c r="T235" t="s">
        <v>38</v>
      </c>
      <c r="U235" s="4">
        <v>50000</v>
      </c>
      <c r="V235">
        <v>2</v>
      </c>
      <c r="W235" t="s">
        <v>30</v>
      </c>
      <c r="X235" t="s">
        <v>28</v>
      </c>
      <c r="Y235" t="s">
        <v>15</v>
      </c>
      <c r="Z235">
        <v>2</v>
      </c>
      <c r="AA235" t="s">
        <v>23</v>
      </c>
      <c r="AB235" t="s">
        <v>31</v>
      </c>
      <c r="AC235">
        <v>69</v>
      </c>
      <c r="AD235" t="s">
        <v>45</v>
      </c>
      <c r="BL235">
        <v>14602</v>
      </c>
      <c r="BM235" t="s">
        <v>35</v>
      </c>
      <c r="BN235" t="s">
        <v>37</v>
      </c>
      <c r="BO235" s="4">
        <v>80000</v>
      </c>
      <c r="BP235" s="4">
        <v>80000</v>
      </c>
      <c r="BQ235">
        <v>3</v>
      </c>
      <c r="BR235" t="s">
        <v>21</v>
      </c>
      <c r="BS235" t="s">
        <v>15</v>
      </c>
      <c r="BT235">
        <v>36</v>
      </c>
      <c r="CB235">
        <v>27969</v>
      </c>
      <c r="CC235" t="s">
        <v>35</v>
      </c>
      <c r="CD235" t="s">
        <v>38</v>
      </c>
      <c r="CE235" s="4">
        <v>80000</v>
      </c>
      <c r="CF235">
        <v>0</v>
      </c>
      <c r="CG235" t="s">
        <v>21</v>
      </c>
      <c r="CH235" t="s">
        <v>15</v>
      </c>
      <c r="CI235">
        <v>29</v>
      </c>
      <c r="CK235">
        <v>27969</v>
      </c>
      <c r="CL235" t="s">
        <v>35</v>
      </c>
      <c r="CM235" t="s">
        <v>38</v>
      </c>
      <c r="CN235" s="4">
        <v>80000</v>
      </c>
      <c r="CO235">
        <v>0</v>
      </c>
      <c r="CP235" t="s">
        <v>21</v>
      </c>
      <c r="CQ235" t="s">
        <v>15</v>
      </c>
      <c r="CR235">
        <v>29</v>
      </c>
      <c r="CS235">
        <v>2</v>
      </c>
    </row>
    <row r="236" spans="1:97" x14ac:dyDescent="0.25">
      <c r="A236">
        <v>20417</v>
      </c>
      <c r="B236" t="s">
        <v>35</v>
      </c>
      <c r="C236" t="s">
        <v>38</v>
      </c>
      <c r="D236" s="11">
        <v>30000</v>
      </c>
      <c r="E236">
        <v>3</v>
      </c>
      <c r="F236" t="s">
        <v>19</v>
      </c>
      <c r="G236" t="s">
        <v>20</v>
      </c>
      <c r="H236" t="s">
        <v>18</v>
      </c>
      <c r="I236">
        <v>2</v>
      </c>
      <c r="J236" t="s">
        <v>23</v>
      </c>
      <c r="K236" t="s">
        <v>24</v>
      </c>
      <c r="L236">
        <v>56</v>
      </c>
      <c r="M236" t="str">
        <f t="shared" si="3"/>
        <v>Old</v>
      </c>
      <c r="N236" t="s">
        <v>18</v>
      </c>
      <c r="R236">
        <v>19133</v>
      </c>
      <c r="S236" t="s">
        <v>36</v>
      </c>
      <c r="T236" t="s">
        <v>38</v>
      </c>
      <c r="U236" s="4">
        <v>50000</v>
      </c>
      <c r="V236">
        <v>2</v>
      </c>
      <c r="W236" t="s">
        <v>13</v>
      </c>
      <c r="X236" t="s">
        <v>14</v>
      </c>
      <c r="Y236" t="s">
        <v>15</v>
      </c>
      <c r="Z236">
        <v>1</v>
      </c>
      <c r="AA236" t="s">
        <v>22</v>
      </c>
      <c r="AB236" t="s">
        <v>31</v>
      </c>
      <c r="AC236">
        <v>38</v>
      </c>
      <c r="AD236" t="s">
        <v>44</v>
      </c>
      <c r="BL236">
        <v>13911</v>
      </c>
      <c r="BM236" t="s">
        <v>36</v>
      </c>
      <c r="BN236" t="s">
        <v>37</v>
      </c>
      <c r="BO236" s="4">
        <v>80000</v>
      </c>
      <c r="BP236" s="4">
        <v>80000</v>
      </c>
      <c r="BQ236">
        <v>3</v>
      </c>
      <c r="BR236" t="s">
        <v>14</v>
      </c>
      <c r="BS236" t="s">
        <v>15</v>
      </c>
      <c r="BT236">
        <v>41</v>
      </c>
      <c r="CB236">
        <v>24898</v>
      </c>
      <c r="CC236" t="s">
        <v>36</v>
      </c>
      <c r="CD236" t="s">
        <v>37</v>
      </c>
      <c r="CE236" s="4">
        <v>80000</v>
      </c>
      <c r="CF236">
        <v>0</v>
      </c>
      <c r="CG236" t="s">
        <v>21</v>
      </c>
      <c r="CH236" t="s">
        <v>15</v>
      </c>
      <c r="CI236">
        <v>32</v>
      </c>
      <c r="CK236">
        <v>24898</v>
      </c>
      <c r="CL236" t="s">
        <v>36</v>
      </c>
      <c r="CM236" t="s">
        <v>37</v>
      </c>
      <c r="CN236" s="4">
        <v>80000</v>
      </c>
      <c r="CO236">
        <v>0</v>
      </c>
      <c r="CP236" t="s">
        <v>21</v>
      </c>
      <c r="CQ236" t="s">
        <v>15</v>
      </c>
      <c r="CR236">
        <v>32</v>
      </c>
      <c r="CS236">
        <v>3</v>
      </c>
    </row>
    <row r="237" spans="1:97" x14ac:dyDescent="0.25">
      <c r="A237">
        <v>18018</v>
      </c>
      <c r="B237" t="s">
        <v>36</v>
      </c>
      <c r="C237" t="s">
        <v>38</v>
      </c>
      <c r="D237" s="11">
        <v>30000</v>
      </c>
      <c r="E237">
        <v>3</v>
      </c>
      <c r="F237" t="s">
        <v>19</v>
      </c>
      <c r="G237" t="s">
        <v>20</v>
      </c>
      <c r="H237" t="s">
        <v>15</v>
      </c>
      <c r="I237">
        <v>0</v>
      </c>
      <c r="J237" t="s">
        <v>16</v>
      </c>
      <c r="K237" t="s">
        <v>17</v>
      </c>
      <c r="L237">
        <v>43</v>
      </c>
      <c r="M237" t="str">
        <f t="shared" si="3"/>
        <v>MIddleAge</v>
      </c>
      <c r="N237" t="s">
        <v>18</v>
      </c>
      <c r="R237">
        <v>17352</v>
      </c>
      <c r="S237" t="s">
        <v>35</v>
      </c>
      <c r="T237" t="s">
        <v>38</v>
      </c>
      <c r="U237" s="4">
        <v>50000</v>
      </c>
      <c r="V237">
        <v>2</v>
      </c>
      <c r="W237" t="s">
        <v>30</v>
      </c>
      <c r="X237" t="s">
        <v>28</v>
      </c>
      <c r="Y237" t="s">
        <v>15</v>
      </c>
      <c r="Z237">
        <v>1</v>
      </c>
      <c r="AA237" t="s">
        <v>23</v>
      </c>
      <c r="AB237" t="s">
        <v>24</v>
      </c>
      <c r="AC237">
        <v>64</v>
      </c>
      <c r="AD237" t="s">
        <v>45</v>
      </c>
      <c r="BL237">
        <v>13907</v>
      </c>
      <c r="BM237" t="s">
        <v>36</v>
      </c>
      <c r="BN237" t="s">
        <v>37</v>
      </c>
      <c r="BO237" s="4">
        <v>80000</v>
      </c>
      <c r="BP237" s="4">
        <v>80000</v>
      </c>
      <c r="BQ237">
        <v>3</v>
      </c>
      <c r="BR237" t="s">
        <v>14</v>
      </c>
      <c r="BS237" t="s">
        <v>15</v>
      </c>
      <c r="BT237">
        <v>41</v>
      </c>
      <c r="CB237">
        <v>21554</v>
      </c>
      <c r="CC237" t="s">
        <v>36</v>
      </c>
      <c r="CD237" t="s">
        <v>37</v>
      </c>
      <c r="CE237" s="4">
        <v>80000</v>
      </c>
      <c r="CF237">
        <v>0</v>
      </c>
      <c r="CG237" t="s">
        <v>21</v>
      </c>
      <c r="CH237" t="s">
        <v>18</v>
      </c>
      <c r="CI237">
        <v>33</v>
      </c>
      <c r="CK237">
        <v>21554</v>
      </c>
      <c r="CL237" t="s">
        <v>36</v>
      </c>
      <c r="CM237" t="s">
        <v>37</v>
      </c>
      <c r="CN237" s="4">
        <v>80000</v>
      </c>
      <c r="CO237">
        <v>0</v>
      </c>
      <c r="CP237" t="s">
        <v>21</v>
      </c>
      <c r="CQ237" t="s">
        <v>18</v>
      </c>
      <c r="CR237">
        <v>33</v>
      </c>
      <c r="CS237">
        <v>3</v>
      </c>
    </row>
    <row r="238" spans="1:97" x14ac:dyDescent="0.25">
      <c r="A238">
        <v>17754</v>
      </c>
      <c r="B238" t="s">
        <v>36</v>
      </c>
      <c r="C238" t="s">
        <v>37</v>
      </c>
      <c r="D238" s="11">
        <v>30000</v>
      </c>
      <c r="E238">
        <v>3</v>
      </c>
      <c r="F238" t="s">
        <v>13</v>
      </c>
      <c r="G238" t="s">
        <v>20</v>
      </c>
      <c r="H238" t="s">
        <v>15</v>
      </c>
      <c r="I238">
        <v>0</v>
      </c>
      <c r="J238" t="s">
        <v>16</v>
      </c>
      <c r="K238" t="s">
        <v>17</v>
      </c>
      <c r="L238">
        <v>46</v>
      </c>
      <c r="M238" t="str">
        <f t="shared" si="3"/>
        <v>MIddleAge</v>
      </c>
      <c r="N238" t="s">
        <v>15</v>
      </c>
      <c r="R238">
        <v>29181</v>
      </c>
      <c r="S238" t="s">
        <v>36</v>
      </c>
      <c r="T238" t="s">
        <v>37</v>
      </c>
      <c r="U238" s="4">
        <v>60000</v>
      </c>
      <c r="V238">
        <v>2</v>
      </c>
      <c r="W238" t="s">
        <v>13</v>
      </c>
      <c r="X238" t="s">
        <v>21</v>
      </c>
      <c r="Y238" t="s">
        <v>18</v>
      </c>
      <c r="Z238">
        <v>1</v>
      </c>
      <c r="AA238" t="s">
        <v>16</v>
      </c>
      <c r="AB238" t="s">
        <v>24</v>
      </c>
      <c r="AC238">
        <v>38</v>
      </c>
      <c r="AD238" t="s">
        <v>44</v>
      </c>
      <c r="BL238">
        <v>13283</v>
      </c>
      <c r="BM238" t="s">
        <v>35</v>
      </c>
      <c r="BN238" t="s">
        <v>38</v>
      </c>
      <c r="BO238" s="4">
        <v>80000</v>
      </c>
      <c r="BP238" s="4">
        <v>80000</v>
      </c>
      <c r="BQ238">
        <v>3</v>
      </c>
      <c r="BR238" t="s">
        <v>21</v>
      </c>
      <c r="BS238" t="s">
        <v>18</v>
      </c>
      <c r="BT238">
        <v>49</v>
      </c>
      <c r="CB238">
        <v>17238</v>
      </c>
      <c r="CC238" t="s">
        <v>36</v>
      </c>
      <c r="CD238" t="s">
        <v>38</v>
      </c>
      <c r="CE238" s="4">
        <v>80000</v>
      </c>
      <c r="CF238">
        <v>0</v>
      </c>
      <c r="CG238" t="s">
        <v>21</v>
      </c>
      <c r="CH238" t="s">
        <v>15</v>
      </c>
      <c r="CI238">
        <v>32</v>
      </c>
      <c r="CK238">
        <v>17238</v>
      </c>
      <c r="CL238" t="s">
        <v>36</v>
      </c>
      <c r="CM238" t="s">
        <v>38</v>
      </c>
      <c r="CN238" s="4">
        <v>80000</v>
      </c>
      <c r="CO238">
        <v>0</v>
      </c>
      <c r="CP238" t="s">
        <v>21</v>
      </c>
      <c r="CQ238" t="s">
        <v>15</v>
      </c>
      <c r="CR238">
        <v>32</v>
      </c>
      <c r="CS238">
        <v>3</v>
      </c>
    </row>
    <row r="239" spans="1:97" x14ac:dyDescent="0.25">
      <c r="A239">
        <v>16549</v>
      </c>
      <c r="B239" t="s">
        <v>36</v>
      </c>
      <c r="C239" t="s">
        <v>37</v>
      </c>
      <c r="D239" s="11">
        <v>30000</v>
      </c>
      <c r="E239">
        <v>3</v>
      </c>
      <c r="F239" t="s">
        <v>13</v>
      </c>
      <c r="G239" t="s">
        <v>20</v>
      </c>
      <c r="H239" t="s">
        <v>15</v>
      </c>
      <c r="I239">
        <v>0</v>
      </c>
      <c r="J239" t="s">
        <v>16</v>
      </c>
      <c r="K239" t="s">
        <v>17</v>
      </c>
      <c r="L239">
        <v>47</v>
      </c>
      <c r="M239" t="str">
        <f t="shared" si="3"/>
        <v>MIddleAge</v>
      </c>
      <c r="N239" t="s">
        <v>15</v>
      </c>
      <c r="R239">
        <v>28657</v>
      </c>
      <c r="S239" t="s">
        <v>36</v>
      </c>
      <c r="T239" t="s">
        <v>38</v>
      </c>
      <c r="U239" s="4">
        <v>60000</v>
      </c>
      <c r="V239">
        <v>2</v>
      </c>
      <c r="W239" t="s">
        <v>13</v>
      </c>
      <c r="X239" t="s">
        <v>14</v>
      </c>
      <c r="Y239" t="s">
        <v>15</v>
      </c>
      <c r="Z239">
        <v>0</v>
      </c>
      <c r="AA239" t="s">
        <v>22</v>
      </c>
      <c r="AB239" t="s">
        <v>31</v>
      </c>
      <c r="AC239">
        <v>36</v>
      </c>
      <c r="AD239" t="s">
        <v>44</v>
      </c>
      <c r="BL239">
        <v>24842</v>
      </c>
      <c r="BM239" t="s">
        <v>36</v>
      </c>
      <c r="BN239" t="s">
        <v>37</v>
      </c>
      <c r="BO239" s="4">
        <v>90000</v>
      </c>
      <c r="BP239" s="4">
        <v>90000</v>
      </c>
      <c r="BQ239">
        <v>3</v>
      </c>
      <c r="BR239" t="s">
        <v>21</v>
      </c>
      <c r="BS239" t="s">
        <v>18</v>
      </c>
      <c r="BT239">
        <v>51</v>
      </c>
      <c r="CB239">
        <v>17230</v>
      </c>
      <c r="CC239" t="s">
        <v>35</v>
      </c>
      <c r="CD239" t="s">
        <v>38</v>
      </c>
      <c r="CE239" s="4">
        <v>80000</v>
      </c>
      <c r="CF239">
        <v>0</v>
      </c>
      <c r="CG239" t="s">
        <v>21</v>
      </c>
      <c r="CH239" t="s">
        <v>15</v>
      </c>
      <c r="CI239">
        <v>30</v>
      </c>
      <c r="CK239">
        <v>17230</v>
      </c>
      <c r="CL239" t="s">
        <v>35</v>
      </c>
      <c r="CM239" t="s">
        <v>38</v>
      </c>
      <c r="CN239" s="4">
        <v>80000</v>
      </c>
      <c r="CO239">
        <v>0</v>
      </c>
      <c r="CP239" t="s">
        <v>21</v>
      </c>
      <c r="CQ239" t="s">
        <v>15</v>
      </c>
      <c r="CR239">
        <v>30</v>
      </c>
      <c r="CS239">
        <v>3</v>
      </c>
    </row>
    <row r="240" spans="1:97" x14ac:dyDescent="0.25">
      <c r="A240">
        <v>16489</v>
      </c>
      <c r="B240" t="s">
        <v>35</v>
      </c>
      <c r="C240" t="s">
        <v>38</v>
      </c>
      <c r="D240" s="11">
        <v>30000</v>
      </c>
      <c r="E240">
        <v>3</v>
      </c>
      <c r="F240" t="s">
        <v>27</v>
      </c>
      <c r="G240" t="s">
        <v>14</v>
      </c>
      <c r="H240" t="s">
        <v>15</v>
      </c>
      <c r="I240">
        <v>2</v>
      </c>
      <c r="J240" t="s">
        <v>23</v>
      </c>
      <c r="K240" t="s">
        <v>24</v>
      </c>
      <c r="L240">
        <v>55</v>
      </c>
      <c r="M240" t="str">
        <f t="shared" si="3"/>
        <v>Old</v>
      </c>
      <c r="N240" t="s">
        <v>18</v>
      </c>
      <c r="R240">
        <v>28052</v>
      </c>
      <c r="S240" t="s">
        <v>35</v>
      </c>
      <c r="T240" t="s">
        <v>38</v>
      </c>
      <c r="U240" s="4">
        <v>60000</v>
      </c>
      <c r="V240">
        <v>2</v>
      </c>
      <c r="W240" t="s">
        <v>27</v>
      </c>
      <c r="X240" t="s">
        <v>21</v>
      </c>
      <c r="Y240" t="s">
        <v>15</v>
      </c>
      <c r="Z240">
        <v>2</v>
      </c>
      <c r="AA240" t="s">
        <v>42</v>
      </c>
      <c r="AB240" t="s">
        <v>31</v>
      </c>
      <c r="AC240">
        <v>55</v>
      </c>
      <c r="AD240" t="s">
        <v>45</v>
      </c>
      <c r="BL240">
        <v>23627</v>
      </c>
      <c r="BM240" t="s">
        <v>36</v>
      </c>
      <c r="BN240" t="s">
        <v>37</v>
      </c>
      <c r="BO240" s="4">
        <v>100000</v>
      </c>
      <c r="BP240" s="4">
        <v>100000</v>
      </c>
      <c r="BQ240">
        <v>3</v>
      </c>
      <c r="BR240" t="s">
        <v>28</v>
      </c>
      <c r="BS240" t="s">
        <v>18</v>
      </c>
      <c r="BT240">
        <v>56</v>
      </c>
      <c r="CB240">
        <v>16614</v>
      </c>
      <c r="CC240" t="s">
        <v>35</v>
      </c>
      <c r="CD240" t="s">
        <v>37</v>
      </c>
      <c r="CE240" s="4">
        <v>80000</v>
      </c>
      <c r="CF240">
        <v>0</v>
      </c>
      <c r="CG240" t="s">
        <v>21</v>
      </c>
      <c r="CH240" t="s">
        <v>15</v>
      </c>
      <c r="CI240">
        <v>32</v>
      </c>
      <c r="CK240">
        <v>16614</v>
      </c>
      <c r="CL240" t="s">
        <v>35</v>
      </c>
      <c r="CM240" t="s">
        <v>37</v>
      </c>
      <c r="CN240" s="4">
        <v>80000</v>
      </c>
      <c r="CO240">
        <v>0</v>
      </c>
      <c r="CP240" t="s">
        <v>21</v>
      </c>
      <c r="CQ240" t="s">
        <v>15</v>
      </c>
      <c r="CR240">
        <v>32</v>
      </c>
      <c r="CS240">
        <v>3</v>
      </c>
    </row>
    <row r="241" spans="1:97" x14ac:dyDescent="0.25">
      <c r="A241">
        <v>16487</v>
      </c>
      <c r="B241" t="s">
        <v>36</v>
      </c>
      <c r="C241" t="s">
        <v>37</v>
      </c>
      <c r="D241" s="11">
        <v>30000</v>
      </c>
      <c r="E241">
        <v>3</v>
      </c>
      <c r="F241" t="s">
        <v>27</v>
      </c>
      <c r="G241" t="s">
        <v>14</v>
      </c>
      <c r="H241" t="s">
        <v>15</v>
      </c>
      <c r="I241">
        <v>2</v>
      </c>
      <c r="J241" t="s">
        <v>23</v>
      </c>
      <c r="K241" t="s">
        <v>24</v>
      </c>
      <c r="L241">
        <v>55</v>
      </c>
      <c r="M241" t="str">
        <f t="shared" si="3"/>
        <v>Old</v>
      </c>
      <c r="N241" t="s">
        <v>18</v>
      </c>
      <c r="R241">
        <v>26663</v>
      </c>
      <c r="S241" t="s">
        <v>36</v>
      </c>
      <c r="T241" t="s">
        <v>37</v>
      </c>
      <c r="U241" s="4">
        <v>60000</v>
      </c>
      <c r="V241">
        <v>2</v>
      </c>
      <c r="W241" t="s">
        <v>13</v>
      </c>
      <c r="X241" t="s">
        <v>21</v>
      </c>
      <c r="Y241" t="s">
        <v>18</v>
      </c>
      <c r="Z241">
        <v>1</v>
      </c>
      <c r="AA241" t="s">
        <v>16</v>
      </c>
      <c r="AB241" t="s">
        <v>24</v>
      </c>
      <c r="AC241">
        <v>39</v>
      </c>
      <c r="AD241" t="s">
        <v>44</v>
      </c>
      <c r="BL241">
        <v>20598</v>
      </c>
      <c r="BM241" t="s">
        <v>35</v>
      </c>
      <c r="BN241" t="s">
        <v>38</v>
      </c>
      <c r="BO241" s="4">
        <v>100000</v>
      </c>
      <c r="BP241" s="4">
        <v>100000</v>
      </c>
      <c r="BQ241">
        <v>3</v>
      </c>
      <c r="BR241" t="s">
        <v>21</v>
      </c>
      <c r="BS241" t="s">
        <v>15</v>
      </c>
      <c r="BT241">
        <v>59</v>
      </c>
      <c r="CB241">
        <v>12344</v>
      </c>
      <c r="CC241" t="s">
        <v>36</v>
      </c>
      <c r="CD241" t="s">
        <v>37</v>
      </c>
      <c r="CE241" s="4">
        <v>80000</v>
      </c>
      <c r="CF241">
        <v>0</v>
      </c>
      <c r="CG241" t="s">
        <v>21</v>
      </c>
      <c r="CH241" t="s">
        <v>18</v>
      </c>
      <c r="CI241">
        <v>31</v>
      </c>
      <c r="CK241">
        <v>12344</v>
      </c>
      <c r="CL241" t="s">
        <v>36</v>
      </c>
      <c r="CM241" t="s">
        <v>37</v>
      </c>
      <c r="CN241" s="4">
        <v>80000</v>
      </c>
      <c r="CO241">
        <v>0</v>
      </c>
      <c r="CP241" t="s">
        <v>21</v>
      </c>
      <c r="CQ241" t="s">
        <v>18</v>
      </c>
      <c r="CR241">
        <v>31</v>
      </c>
      <c r="CS241">
        <v>3</v>
      </c>
    </row>
    <row r="242" spans="1:97" x14ac:dyDescent="0.25">
      <c r="A242">
        <v>15657</v>
      </c>
      <c r="B242" t="s">
        <v>35</v>
      </c>
      <c r="C242" t="s">
        <v>38</v>
      </c>
      <c r="D242" s="11">
        <v>30000</v>
      </c>
      <c r="E242">
        <v>3</v>
      </c>
      <c r="F242" t="s">
        <v>30</v>
      </c>
      <c r="G242" t="s">
        <v>20</v>
      </c>
      <c r="H242" t="s">
        <v>15</v>
      </c>
      <c r="I242">
        <v>0</v>
      </c>
      <c r="J242" t="s">
        <v>16</v>
      </c>
      <c r="K242" t="s">
        <v>17</v>
      </c>
      <c r="L242">
        <v>46</v>
      </c>
      <c r="M242" t="str">
        <f t="shared" si="3"/>
        <v>MIddleAge</v>
      </c>
      <c r="N242" t="s">
        <v>15</v>
      </c>
      <c r="R242">
        <v>26305</v>
      </c>
      <c r="S242" t="s">
        <v>36</v>
      </c>
      <c r="T242" t="s">
        <v>37</v>
      </c>
      <c r="U242" s="4">
        <v>60000</v>
      </c>
      <c r="V242">
        <v>2</v>
      </c>
      <c r="W242" t="s">
        <v>13</v>
      </c>
      <c r="X242" t="s">
        <v>14</v>
      </c>
      <c r="Y242" t="s">
        <v>18</v>
      </c>
      <c r="Z242">
        <v>0</v>
      </c>
      <c r="AA242" t="s">
        <v>16</v>
      </c>
      <c r="AB242" t="s">
        <v>31</v>
      </c>
      <c r="AC242">
        <v>36</v>
      </c>
      <c r="AD242" t="s">
        <v>44</v>
      </c>
      <c r="BL242">
        <v>19664</v>
      </c>
      <c r="BM242" t="s">
        <v>36</v>
      </c>
      <c r="BN242" t="s">
        <v>38</v>
      </c>
      <c r="BO242" s="4">
        <v>100000</v>
      </c>
      <c r="BP242" s="4">
        <v>100000</v>
      </c>
      <c r="BQ242">
        <v>3</v>
      </c>
      <c r="BR242" t="s">
        <v>28</v>
      </c>
      <c r="BS242" t="s">
        <v>18</v>
      </c>
      <c r="BT242">
        <v>38</v>
      </c>
      <c r="CB242">
        <v>11453</v>
      </c>
      <c r="CC242" t="s">
        <v>36</v>
      </c>
      <c r="CD242" t="s">
        <v>38</v>
      </c>
      <c r="CE242" s="4">
        <v>80000</v>
      </c>
      <c r="CF242">
        <v>0</v>
      </c>
      <c r="CG242" t="s">
        <v>21</v>
      </c>
      <c r="CH242" t="s">
        <v>18</v>
      </c>
      <c r="CI242">
        <v>33</v>
      </c>
      <c r="CK242">
        <v>11453</v>
      </c>
      <c r="CL242" t="s">
        <v>36</v>
      </c>
      <c r="CM242" t="s">
        <v>38</v>
      </c>
      <c r="CN242" s="4">
        <v>80000</v>
      </c>
      <c r="CO242">
        <v>0</v>
      </c>
      <c r="CP242" t="s">
        <v>21</v>
      </c>
      <c r="CQ242" t="s">
        <v>18</v>
      </c>
      <c r="CR242">
        <v>33</v>
      </c>
      <c r="CS242">
        <v>3</v>
      </c>
    </row>
    <row r="243" spans="1:97" x14ac:dyDescent="0.25">
      <c r="A243">
        <v>15019</v>
      </c>
      <c r="B243" t="s">
        <v>36</v>
      </c>
      <c r="C243" t="s">
        <v>37</v>
      </c>
      <c r="D243" s="11">
        <v>30000</v>
      </c>
      <c r="E243">
        <v>3</v>
      </c>
      <c r="F243" t="s">
        <v>27</v>
      </c>
      <c r="G243" t="s">
        <v>14</v>
      </c>
      <c r="H243" t="s">
        <v>15</v>
      </c>
      <c r="I243">
        <v>2</v>
      </c>
      <c r="J243" t="s">
        <v>23</v>
      </c>
      <c r="K243" t="s">
        <v>24</v>
      </c>
      <c r="L243">
        <v>55</v>
      </c>
      <c r="M243" t="str">
        <f t="shared" si="3"/>
        <v>Old</v>
      </c>
      <c r="N243" t="s">
        <v>18</v>
      </c>
      <c r="R243">
        <v>24981</v>
      </c>
      <c r="S243" t="s">
        <v>35</v>
      </c>
      <c r="T243" t="s">
        <v>38</v>
      </c>
      <c r="U243" s="4">
        <v>60000</v>
      </c>
      <c r="V243">
        <v>2</v>
      </c>
      <c r="W243" t="s">
        <v>19</v>
      </c>
      <c r="X243" t="s">
        <v>21</v>
      </c>
      <c r="Y243" t="s">
        <v>15</v>
      </c>
      <c r="Z243">
        <v>2</v>
      </c>
      <c r="AA243" t="s">
        <v>42</v>
      </c>
      <c r="AB243" t="s">
        <v>31</v>
      </c>
      <c r="AC243">
        <v>56</v>
      </c>
      <c r="AD243" t="s">
        <v>45</v>
      </c>
      <c r="BL243">
        <v>18517</v>
      </c>
      <c r="BM243" t="s">
        <v>35</v>
      </c>
      <c r="BN243" t="s">
        <v>38</v>
      </c>
      <c r="BO243" s="4">
        <v>100000</v>
      </c>
      <c r="BP243" s="4">
        <v>100000</v>
      </c>
      <c r="BQ243">
        <v>3</v>
      </c>
      <c r="BR243" t="s">
        <v>28</v>
      </c>
      <c r="BS243" t="s">
        <v>15</v>
      </c>
      <c r="BT243">
        <v>41</v>
      </c>
      <c r="CB243">
        <v>23479</v>
      </c>
      <c r="CC243" t="s">
        <v>36</v>
      </c>
      <c r="CD243" t="s">
        <v>38</v>
      </c>
      <c r="CE243" s="4">
        <v>90000</v>
      </c>
      <c r="CF243">
        <v>0</v>
      </c>
      <c r="CG243" t="s">
        <v>21</v>
      </c>
      <c r="CH243" t="s">
        <v>18</v>
      </c>
      <c r="CI243">
        <v>43</v>
      </c>
      <c r="CK243">
        <v>23479</v>
      </c>
      <c r="CL243" t="s">
        <v>36</v>
      </c>
      <c r="CM243" t="s">
        <v>38</v>
      </c>
      <c r="CN243" s="4">
        <v>90000</v>
      </c>
      <c r="CO243">
        <v>0</v>
      </c>
      <c r="CP243" t="s">
        <v>21</v>
      </c>
      <c r="CQ243" t="s">
        <v>18</v>
      </c>
      <c r="CR243">
        <v>43</v>
      </c>
      <c r="CS243">
        <v>2</v>
      </c>
    </row>
    <row r="244" spans="1:97" x14ac:dyDescent="0.25">
      <c r="A244">
        <v>13813</v>
      </c>
      <c r="B244" t="s">
        <v>35</v>
      </c>
      <c r="C244" t="s">
        <v>37</v>
      </c>
      <c r="D244" s="11">
        <v>30000</v>
      </c>
      <c r="E244">
        <v>3</v>
      </c>
      <c r="F244" t="s">
        <v>19</v>
      </c>
      <c r="G244" t="s">
        <v>20</v>
      </c>
      <c r="H244" t="s">
        <v>18</v>
      </c>
      <c r="I244">
        <v>0</v>
      </c>
      <c r="J244" t="s">
        <v>16</v>
      </c>
      <c r="K244" t="s">
        <v>17</v>
      </c>
      <c r="L244">
        <v>42</v>
      </c>
      <c r="M244" t="str">
        <f t="shared" si="3"/>
        <v>MIddleAge</v>
      </c>
      <c r="N244" t="s">
        <v>18</v>
      </c>
      <c r="R244">
        <v>23731</v>
      </c>
      <c r="S244" t="s">
        <v>35</v>
      </c>
      <c r="T244" t="s">
        <v>38</v>
      </c>
      <c r="U244" s="4">
        <v>60000</v>
      </c>
      <c r="V244" s="1">
        <v>2</v>
      </c>
      <c r="W244" t="s">
        <v>27</v>
      </c>
      <c r="X244" t="s">
        <v>21</v>
      </c>
      <c r="Y244" t="s">
        <v>15</v>
      </c>
      <c r="Z244">
        <v>2</v>
      </c>
      <c r="AA244" t="s">
        <v>22</v>
      </c>
      <c r="AB244" t="s">
        <v>31</v>
      </c>
      <c r="AC244">
        <v>54</v>
      </c>
      <c r="AD244" t="s">
        <v>44</v>
      </c>
      <c r="BL244">
        <v>14469</v>
      </c>
      <c r="BM244" t="s">
        <v>35</v>
      </c>
      <c r="BN244" t="s">
        <v>37</v>
      </c>
      <c r="BO244" s="4">
        <v>100000</v>
      </c>
      <c r="BP244" s="4">
        <v>100000</v>
      </c>
      <c r="BQ244">
        <v>3</v>
      </c>
      <c r="BR244" t="s">
        <v>21</v>
      </c>
      <c r="BS244" t="s">
        <v>15</v>
      </c>
      <c r="BT244">
        <v>45</v>
      </c>
      <c r="CB244">
        <v>21561</v>
      </c>
      <c r="CC244" t="s">
        <v>36</v>
      </c>
      <c r="CD244" t="s">
        <v>38</v>
      </c>
      <c r="CE244" s="4">
        <v>90000</v>
      </c>
      <c r="CF244">
        <v>0</v>
      </c>
      <c r="CG244" t="s">
        <v>21</v>
      </c>
      <c r="CH244" t="s">
        <v>18</v>
      </c>
      <c r="CI244">
        <v>34</v>
      </c>
      <c r="CK244">
        <v>21561</v>
      </c>
      <c r="CL244" t="s">
        <v>36</v>
      </c>
      <c r="CM244" t="s">
        <v>38</v>
      </c>
      <c r="CN244" s="4">
        <v>90000</v>
      </c>
      <c r="CO244">
        <v>0</v>
      </c>
      <c r="CP244" t="s">
        <v>21</v>
      </c>
      <c r="CQ244" t="s">
        <v>18</v>
      </c>
      <c r="CR244">
        <v>34</v>
      </c>
      <c r="CS244">
        <v>3</v>
      </c>
    </row>
    <row r="245" spans="1:97" x14ac:dyDescent="0.25">
      <c r="A245">
        <v>12503</v>
      </c>
      <c r="B245" t="s">
        <v>36</v>
      </c>
      <c r="C245" t="s">
        <v>37</v>
      </c>
      <c r="D245" s="11">
        <v>30000</v>
      </c>
      <c r="E245">
        <v>3</v>
      </c>
      <c r="F245" t="s">
        <v>19</v>
      </c>
      <c r="G245" t="s">
        <v>20</v>
      </c>
      <c r="H245" t="s">
        <v>15</v>
      </c>
      <c r="I245">
        <v>2</v>
      </c>
      <c r="J245" t="s">
        <v>16</v>
      </c>
      <c r="K245" t="s">
        <v>17</v>
      </c>
      <c r="L245">
        <v>27</v>
      </c>
      <c r="M245" t="str">
        <f t="shared" si="3"/>
        <v>Adolescent</v>
      </c>
      <c r="N245" t="s">
        <v>18</v>
      </c>
      <c r="R245">
        <v>23459</v>
      </c>
      <c r="S245" t="s">
        <v>35</v>
      </c>
      <c r="T245" t="s">
        <v>38</v>
      </c>
      <c r="U245" s="4">
        <v>60000</v>
      </c>
      <c r="V245">
        <v>2</v>
      </c>
      <c r="W245" t="s">
        <v>27</v>
      </c>
      <c r="X245" t="s">
        <v>21</v>
      </c>
      <c r="Y245" t="s">
        <v>15</v>
      </c>
      <c r="Z245">
        <v>2</v>
      </c>
      <c r="AA245" t="s">
        <v>23</v>
      </c>
      <c r="AB245" t="s">
        <v>31</v>
      </c>
      <c r="AC245">
        <v>50</v>
      </c>
      <c r="AD245" t="s">
        <v>44</v>
      </c>
      <c r="BL245">
        <v>14193</v>
      </c>
      <c r="BM245" t="s">
        <v>36</v>
      </c>
      <c r="BN245" t="s">
        <v>37</v>
      </c>
      <c r="BO245" s="4">
        <v>100000</v>
      </c>
      <c r="BP245" s="4">
        <v>100000</v>
      </c>
      <c r="BQ245">
        <v>3</v>
      </c>
      <c r="BR245" t="s">
        <v>28</v>
      </c>
      <c r="BS245" t="s">
        <v>15</v>
      </c>
      <c r="BT245">
        <v>56</v>
      </c>
      <c r="CB245">
        <v>20625</v>
      </c>
      <c r="CC245" t="s">
        <v>35</v>
      </c>
      <c r="CD245" t="s">
        <v>38</v>
      </c>
      <c r="CE245" s="4">
        <v>100000</v>
      </c>
      <c r="CF245">
        <v>0</v>
      </c>
      <c r="CG245" t="s">
        <v>28</v>
      </c>
      <c r="CH245" t="s">
        <v>15</v>
      </c>
      <c r="CI245">
        <v>35</v>
      </c>
      <c r="CK245">
        <v>20625</v>
      </c>
      <c r="CL245" t="s">
        <v>35</v>
      </c>
      <c r="CM245" t="s">
        <v>38</v>
      </c>
      <c r="CN245" s="4">
        <v>100000</v>
      </c>
      <c r="CO245">
        <v>0</v>
      </c>
      <c r="CP245" t="s">
        <v>28</v>
      </c>
      <c r="CQ245" t="s">
        <v>15</v>
      </c>
      <c r="CR245">
        <v>35</v>
      </c>
      <c r="CS245">
        <v>3</v>
      </c>
    </row>
    <row r="246" spans="1:97" x14ac:dyDescent="0.25">
      <c r="A246">
        <v>11386</v>
      </c>
      <c r="B246" t="s">
        <v>35</v>
      </c>
      <c r="C246" t="s">
        <v>37</v>
      </c>
      <c r="D246" s="11">
        <v>30000</v>
      </c>
      <c r="E246">
        <v>3</v>
      </c>
      <c r="F246" t="s">
        <v>13</v>
      </c>
      <c r="G246" t="s">
        <v>20</v>
      </c>
      <c r="H246" t="s">
        <v>15</v>
      </c>
      <c r="I246">
        <v>0</v>
      </c>
      <c r="J246" t="s">
        <v>16</v>
      </c>
      <c r="K246" t="s">
        <v>17</v>
      </c>
      <c r="L246">
        <v>45</v>
      </c>
      <c r="M246" t="str">
        <f t="shared" si="3"/>
        <v>MIddleAge</v>
      </c>
      <c r="N246" t="s">
        <v>18</v>
      </c>
      <c r="R246">
        <v>23449</v>
      </c>
      <c r="S246" t="s">
        <v>35</v>
      </c>
      <c r="T246" t="s">
        <v>38</v>
      </c>
      <c r="U246" s="4">
        <v>60000</v>
      </c>
      <c r="V246">
        <v>2</v>
      </c>
      <c r="W246" t="s">
        <v>27</v>
      </c>
      <c r="X246" t="s">
        <v>21</v>
      </c>
      <c r="Y246" t="s">
        <v>15</v>
      </c>
      <c r="Z246">
        <v>2</v>
      </c>
      <c r="AA246" t="s">
        <v>23</v>
      </c>
      <c r="AB246" t="s">
        <v>31</v>
      </c>
      <c r="AC246">
        <v>48</v>
      </c>
      <c r="AD246" t="s">
        <v>44</v>
      </c>
      <c r="BL246">
        <v>26065</v>
      </c>
      <c r="BM246" t="s">
        <v>36</v>
      </c>
      <c r="BN246" t="s">
        <v>37</v>
      </c>
      <c r="BO246" s="4">
        <v>110000</v>
      </c>
      <c r="BP246" s="4">
        <v>110000</v>
      </c>
      <c r="BQ246">
        <v>3</v>
      </c>
      <c r="BR246" t="s">
        <v>28</v>
      </c>
      <c r="BS246" t="s">
        <v>18</v>
      </c>
      <c r="BT246">
        <v>42</v>
      </c>
      <c r="CB246">
        <v>14233</v>
      </c>
      <c r="CC246" t="s">
        <v>36</v>
      </c>
      <c r="CD246" t="s">
        <v>38</v>
      </c>
      <c r="CE246" s="4">
        <v>100000</v>
      </c>
      <c r="CF246">
        <v>0</v>
      </c>
      <c r="CG246" t="s">
        <v>28</v>
      </c>
      <c r="CH246" t="s">
        <v>15</v>
      </c>
      <c r="CI246">
        <v>35</v>
      </c>
      <c r="CK246">
        <v>14233</v>
      </c>
      <c r="CL246" t="s">
        <v>36</v>
      </c>
      <c r="CM246" t="s">
        <v>38</v>
      </c>
      <c r="CN246" s="4">
        <v>100000</v>
      </c>
      <c r="CO246">
        <v>0</v>
      </c>
      <c r="CP246" t="s">
        <v>28</v>
      </c>
      <c r="CQ246" t="s">
        <v>15</v>
      </c>
      <c r="CR246">
        <v>35</v>
      </c>
      <c r="CS246">
        <v>3</v>
      </c>
    </row>
    <row r="247" spans="1:97" x14ac:dyDescent="0.25">
      <c r="A247">
        <v>11383</v>
      </c>
      <c r="B247" t="s">
        <v>35</v>
      </c>
      <c r="C247" t="s">
        <v>37</v>
      </c>
      <c r="D247" s="11">
        <v>30000</v>
      </c>
      <c r="E247">
        <v>3</v>
      </c>
      <c r="F247" t="s">
        <v>30</v>
      </c>
      <c r="G247" t="s">
        <v>20</v>
      </c>
      <c r="H247" t="s">
        <v>15</v>
      </c>
      <c r="I247">
        <v>0</v>
      </c>
      <c r="J247" t="s">
        <v>16</v>
      </c>
      <c r="K247" t="s">
        <v>17</v>
      </c>
      <c r="L247">
        <v>46</v>
      </c>
      <c r="M247" t="str">
        <f t="shared" si="3"/>
        <v>MIddleAge</v>
      </c>
      <c r="N247" t="s">
        <v>18</v>
      </c>
      <c r="R247">
        <v>21306</v>
      </c>
      <c r="S247" t="s">
        <v>36</v>
      </c>
      <c r="T247" t="s">
        <v>38</v>
      </c>
      <c r="U247" s="4">
        <v>60000</v>
      </c>
      <c r="V247">
        <v>2</v>
      </c>
      <c r="W247" t="s">
        <v>27</v>
      </c>
      <c r="X247" t="s">
        <v>21</v>
      </c>
      <c r="Y247" t="s">
        <v>15</v>
      </c>
      <c r="Z247">
        <v>2</v>
      </c>
      <c r="AA247" t="s">
        <v>23</v>
      </c>
      <c r="AB247" t="s">
        <v>31</v>
      </c>
      <c r="AC247">
        <v>51</v>
      </c>
      <c r="AD247" t="s">
        <v>44</v>
      </c>
      <c r="BL247">
        <v>25792</v>
      </c>
      <c r="BM247" t="s">
        <v>36</v>
      </c>
      <c r="BN247" t="s">
        <v>37</v>
      </c>
      <c r="BO247" s="4">
        <v>110000</v>
      </c>
      <c r="BP247" s="4">
        <v>110000</v>
      </c>
      <c r="BQ247">
        <v>3</v>
      </c>
      <c r="BR247" t="s">
        <v>28</v>
      </c>
      <c r="BS247" t="s">
        <v>15</v>
      </c>
      <c r="BT247">
        <v>53</v>
      </c>
      <c r="CB247">
        <v>24901</v>
      </c>
      <c r="CC247" t="s">
        <v>36</v>
      </c>
      <c r="CD247" t="s">
        <v>38</v>
      </c>
      <c r="CE247" s="4">
        <v>110000</v>
      </c>
      <c r="CF247">
        <v>0</v>
      </c>
      <c r="CG247" t="s">
        <v>28</v>
      </c>
      <c r="CH247" t="s">
        <v>18</v>
      </c>
      <c r="CI247">
        <v>32</v>
      </c>
      <c r="CK247">
        <v>24901</v>
      </c>
      <c r="CL247" t="s">
        <v>36</v>
      </c>
      <c r="CM247" t="s">
        <v>38</v>
      </c>
      <c r="CN247" s="4">
        <v>110000</v>
      </c>
      <c r="CO247">
        <v>0</v>
      </c>
      <c r="CP247" t="s">
        <v>28</v>
      </c>
      <c r="CQ247" t="s">
        <v>18</v>
      </c>
      <c r="CR247">
        <v>32</v>
      </c>
      <c r="CS247">
        <v>3</v>
      </c>
    </row>
    <row r="248" spans="1:97" x14ac:dyDescent="0.25">
      <c r="A248">
        <v>11047</v>
      </c>
      <c r="B248" t="s">
        <v>35</v>
      </c>
      <c r="C248" t="s">
        <v>37</v>
      </c>
      <c r="D248" s="11">
        <v>30000</v>
      </c>
      <c r="E248">
        <v>3</v>
      </c>
      <c r="F248" t="s">
        <v>27</v>
      </c>
      <c r="G248" t="s">
        <v>14</v>
      </c>
      <c r="H248" t="s">
        <v>18</v>
      </c>
      <c r="I248">
        <v>2</v>
      </c>
      <c r="J248" t="s">
        <v>26</v>
      </c>
      <c r="K248" t="s">
        <v>24</v>
      </c>
      <c r="L248">
        <v>56</v>
      </c>
      <c r="M248" t="str">
        <f t="shared" si="3"/>
        <v>Old</v>
      </c>
      <c r="N248" t="s">
        <v>15</v>
      </c>
      <c r="R248">
        <v>19884</v>
      </c>
      <c r="S248" t="s">
        <v>35</v>
      </c>
      <c r="T248" t="s">
        <v>38</v>
      </c>
      <c r="U248" s="4">
        <v>60000</v>
      </c>
      <c r="V248">
        <v>2</v>
      </c>
      <c r="W248" t="s">
        <v>27</v>
      </c>
      <c r="X248" t="s">
        <v>21</v>
      </c>
      <c r="Y248" t="s">
        <v>15</v>
      </c>
      <c r="Z248">
        <v>2</v>
      </c>
      <c r="AA248" t="s">
        <v>22</v>
      </c>
      <c r="AB248" t="s">
        <v>31</v>
      </c>
      <c r="AC248">
        <v>55</v>
      </c>
      <c r="AD248" t="s">
        <v>45</v>
      </c>
      <c r="BL248">
        <v>22719</v>
      </c>
      <c r="BM248" t="s">
        <v>36</v>
      </c>
      <c r="BN248" t="s">
        <v>38</v>
      </c>
      <c r="BO248" s="4">
        <v>110000</v>
      </c>
      <c r="BP248" s="4">
        <v>110000</v>
      </c>
      <c r="BQ248">
        <v>3</v>
      </c>
      <c r="BR248" t="s">
        <v>28</v>
      </c>
      <c r="BS248" t="s">
        <v>15</v>
      </c>
      <c r="BT248">
        <v>40</v>
      </c>
      <c r="CB248">
        <v>21891</v>
      </c>
      <c r="CC248" t="s">
        <v>35</v>
      </c>
      <c r="CD248" t="s">
        <v>37</v>
      </c>
      <c r="CE248" s="4">
        <v>110000</v>
      </c>
      <c r="CF248">
        <v>0</v>
      </c>
      <c r="CG248" t="s">
        <v>28</v>
      </c>
      <c r="CH248" t="s">
        <v>15</v>
      </c>
      <c r="CI248">
        <v>34</v>
      </c>
      <c r="CK248">
        <v>21891</v>
      </c>
      <c r="CL248" t="s">
        <v>35</v>
      </c>
      <c r="CM248" t="s">
        <v>37</v>
      </c>
      <c r="CN248" s="4">
        <v>110000</v>
      </c>
      <c r="CO248">
        <v>0</v>
      </c>
      <c r="CP248" t="s">
        <v>28</v>
      </c>
      <c r="CQ248" t="s">
        <v>15</v>
      </c>
      <c r="CR248">
        <v>34</v>
      </c>
      <c r="CS248">
        <v>3</v>
      </c>
    </row>
    <row r="249" spans="1:97" x14ac:dyDescent="0.25">
      <c r="A249">
        <v>27190</v>
      </c>
      <c r="B249" t="s">
        <v>35</v>
      </c>
      <c r="C249" t="s">
        <v>37</v>
      </c>
      <c r="D249" s="11">
        <v>40000</v>
      </c>
      <c r="E249">
        <v>3</v>
      </c>
      <c r="F249" t="s">
        <v>19</v>
      </c>
      <c r="G249" t="s">
        <v>20</v>
      </c>
      <c r="H249" t="s">
        <v>15</v>
      </c>
      <c r="I249">
        <v>1</v>
      </c>
      <c r="J249" t="s">
        <v>26</v>
      </c>
      <c r="K249" t="s">
        <v>31</v>
      </c>
      <c r="L249">
        <v>32</v>
      </c>
      <c r="M249" t="str">
        <f t="shared" si="3"/>
        <v>MIddleAge</v>
      </c>
      <c r="N249" t="s">
        <v>18</v>
      </c>
      <c r="R249">
        <v>18858</v>
      </c>
      <c r="S249" t="s">
        <v>36</v>
      </c>
      <c r="T249" t="s">
        <v>38</v>
      </c>
      <c r="U249" s="4">
        <v>60000</v>
      </c>
      <c r="V249">
        <v>2</v>
      </c>
      <c r="W249" t="s">
        <v>29</v>
      </c>
      <c r="X249" t="s">
        <v>14</v>
      </c>
      <c r="Y249" t="s">
        <v>15</v>
      </c>
      <c r="Z249">
        <v>2</v>
      </c>
      <c r="AA249" t="s">
        <v>23</v>
      </c>
      <c r="AB249" t="s">
        <v>31</v>
      </c>
      <c r="AC249">
        <v>52</v>
      </c>
      <c r="AD249" t="s">
        <v>44</v>
      </c>
      <c r="BL249">
        <v>26385</v>
      </c>
      <c r="BM249" t="s">
        <v>36</v>
      </c>
      <c r="BN249" t="s">
        <v>38</v>
      </c>
      <c r="BO249" s="4">
        <v>120000</v>
      </c>
      <c r="BP249" s="4">
        <v>120000</v>
      </c>
      <c r="BQ249">
        <v>3</v>
      </c>
      <c r="BR249" t="s">
        <v>21</v>
      </c>
      <c r="BS249" t="s">
        <v>18</v>
      </c>
      <c r="BT249">
        <v>50</v>
      </c>
      <c r="CB249">
        <v>21557</v>
      </c>
      <c r="CC249" t="s">
        <v>36</v>
      </c>
      <c r="CD249" t="s">
        <v>37</v>
      </c>
      <c r="CE249" s="4">
        <v>110000</v>
      </c>
      <c r="CF249">
        <v>0</v>
      </c>
      <c r="CG249" t="s">
        <v>28</v>
      </c>
      <c r="CH249" t="s">
        <v>15</v>
      </c>
      <c r="CI249">
        <v>32</v>
      </c>
      <c r="CK249">
        <v>21557</v>
      </c>
      <c r="CL249" t="s">
        <v>36</v>
      </c>
      <c r="CM249" t="s">
        <v>37</v>
      </c>
      <c r="CN249" s="4">
        <v>110000</v>
      </c>
      <c r="CO249">
        <v>0</v>
      </c>
      <c r="CP249" t="s">
        <v>28</v>
      </c>
      <c r="CQ249" t="s">
        <v>15</v>
      </c>
      <c r="CR249">
        <v>32</v>
      </c>
      <c r="CS249">
        <v>3</v>
      </c>
    </row>
    <row r="250" spans="1:97" x14ac:dyDescent="0.25">
      <c r="A250">
        <v>26238</v>
      </c>
      <c r="B250" t="s">
        <v>36</v>
      </c>
      <c r="C250" t="s">
        <v>37</v>
      </c>
      <c r="D250" s="11">
        <v>40000</v>
      </c>
      <c r="E250">
        <v>3</v>
      </c>
      <c r="F250" t="s">
        <v>19</v>
      </c>
      <c r="G250" t="s">
        <v>20</v>
      </c>
      <c r="H250" t="s">
        <v>15</v>
      </c>
      <c r="I250">
        <v>1</v>
      </c>
      <c r="J250" t="s">
        <v>26</v>
      </c>
      <c r="K250" t="s">
        <v>31</v>
      </c>
      <c r="L250">
        <v>31</v>
      </c>
      <c r="M250" t="str">
        <f t="shared" si="3"/>
        <v>MIddleAge</v>
      </c>
      <c r="N250" t="s">
        <v>15</v>
      </c>
      <c r="R250">
        <v>16813</v>
      </c>
      <c r="S250" t="s">
        <v>35</v>
      </c>
      <c r="T250" t="s">
        <v>38</v>
      </c>
      <c r="U250" s="4">
        <v>60000</v>
      </c>
      <c r="V250">
        <v>2</v>
      </c>
      <c r="W250" t="s">
        <v>19</v>
      </c>
      <c r="X250" t="s">
        <v>21</v>
      </c>
      <c r="Y250" t="s">
        <v>15</v>
      </c>
      <c r="Z250">
        <v>2</v>
      </c>
      <c r="AA250" t="s">
        <v>42</v>
      </c>
      <c r="AB250" t="s">
        <v>31</v>
      </c>
      <c r="AC250">
        <v>55</v>
      </c>
      <c r="AD250" t="s">
        <v>45</v>
      </c>
      <c r="BL250">
        <v>19057</v>
      </c>
      <c r="BM250" t="s">
        <v>35</v>
      </c>
      <c r="BN250" t="s">
        <v>37</v>
      </c>
      <c r="BO250" s="4">
        <v>120000</v>
      </c>
      <c r="BP250" s="4">
        <v>120000</v>
      </c>
      <c r="BQ250">
        <v>3</v>
      </c>
      <c r="BR250" t="s">
        <v>28</v>
      </c>
      <c r="BS250" t="s">
        <v>18</v>
      </c>
      <c r="BT250">
        <v>52</v>
      </c>
      <c r="CB250">
        <v>18935</v>
      </c>
      <c r="CC250" t="s">
        <v>35</v>
      </c>
      <c r="CD250" t="s">
        <v>37</v>
      </c>
      <c r="CE250" s="4">
        <v>130000</v>
      </c>
      <c r="CF250">
        <v>0</v>
      </c>
      <c r="CG250" t="s">
        <v>28</v>
      </c>
      <c r="CH250" t="s">
        <v>15</v>
      </c>
      <c r="CI250">
        <v>40</v>
      </c>
      <c r="CK250">
        <v>18935</v>
      </c>
      <c r="CL250" t="s">
        <v>35</v>
      </c>
      <c r="CM250" t="s">
        <v>37</v>
      </c>
      <c r="CN250" s="4">
        <v>130000</v>
      </c>
      <c r="CO250">
        <v>0</v>
      </c>
      <c r="CP250" t="s">
        <v>28</v>
      </c>
      <c r="CQ250" t="s">
        <v>15</v>
      </c>
      <c r="CR250">
        <v>40</v>
      </c>
      <c r="CS250">
        <v>3</v>
      </c>
    </row>
    <row r="251" spans="1:97" x14ac:dyDescent="0.25">
      <c r="A251">
        <v>26236</v>
      </c>
      <c r="B251" t="s">
        <v>35</v>
      </c>
      <c r="C251" t="s">
        <v>37</v>
      </c>
      <c r="D251" s="11">
        <v>40000</v>
      </c>
      <c r="E251">
        <v>3</v>
      </c>
      <c r="F251" t="s">
        <v>19</v>
      </c>
      <c r="G251" t="s">
        <v>20</v>
      </c>
      <c r="H251" t="s">
        <v>15</v>
      </c>
      <c r="I251">
        <v>1</v>
      </c>
      <c r="J251" t="s">
        <v>16</v>
      </c>
      <c r="K251" t="s">
        <v>31</v>
      </c>
      <c r="L251">
        <v>31</v>
      </c>
      <c r="M251" t="str">
        <f t="shared" si="3"/>
        <v>MIddleAge</v>
      </c>
      <c r="N251" t="s">
        <v>18</v>
      </c>
      <c r="R251">
        <v>16163</v>
      </c>
      <c r="S251" t="s">
        <v>36</v>
      </c>
      <c r="T251" t="s">
        <v>38</v>
      </c>
      <c r="U251" s="4">
        <v>60000</v>
      </c>
      <c r="V251">
        <v>2</v>
      </c>
      <c r="W251" t="s">
        <v>13</v>
      </c>
      <c r="X251" t="s">
        <v>21</v>
      </c>
      <c r="Y251" t="s">
        <v>15</v>
      </c>
      <c r="Z251">
        <v>1</v>
      </c>
      <c r="AA251" t="s">
        <v>22</v>
      </c>
      <c r="AB251" t="s">
        <v>24</v>
      </c>
      <c r="AC251">
        <v>38</v>
      </c>
      <c r="AD251" t="s">
        <v>44</v>
      </c>
      <c r="BL251">
        <v>15926</v>
      </c>
      <c r="BM251" t="s">
        <v>36</v>
      </c>
      <c r="BN251" t="s">
        <v>37</v>
      </c>
      <c r="BO251" s="4">
        <v>120000</v>
      </c>
      <c r="BP251" s="4">
        <v>120000</v>
      </c>
      <c r="BQ251">
        <v>3</v>
      </c>
      <c r="BR251" t="s">
        <v>21</v>
      </c>
      <c r="BS251" t="s">
        <v>15</v>
      </c>
      <c r="BT251">
        <v>50</v>
      </c>
      <c r="CB251">
        <v>13176</v>
      </c>
      <c r="CC251" t="s">
        <v>36</v>
      </c>
      <c r="CD251" t="s">
        <v>38</v>
      </c>
      <c r="CE251" s="4">
        <v>130000</v>
      </c>
      <c r="CF251">
        <v>0</v>
      </c>
      <c r="CG251" t="s">
        <v>28</v>
      </c>
      <c r="CH251" t="s">
        <v>18</v>
      </c>
      <c r="CI251">
        <v>38</v>
      </c>
      <c r="CK251">
        <v>13176</v>
      </c>
      <c r="CL251" t="s">
        <v>36</v>
      </c>
      <c r="CM251" t="s">
        <v>38</v>
      </c>
      <c r="CN251" s="4">
        <v>130000</v>
      </c>
      <c r="CO251">
        <v>0</v>
      </c>
      <c r="CP251" t="s">
        <v>28</v>
      </c>
      <c r="CQ251" t="s">
        <v>18</v>
      </c>
      <c r="CR251">
        <v>38</v>
      </c>
      <c r="CS251">
        <v>2</v>
      </c>
    </row>
    <row r="252" spans="1:97" x14ac:dyDescent="0.25">
      <c r="A252">
        <v>25329</v>
      </c>
      <c r="B252" t="s">
        <v>36</v>
      </c>
      <c r="C252" t="s">
        <v>37</v>
      </c>
      <c r="D252" s="11">
        <v>40000</v>
      </c>
      <c r="E252">
        <v>3</v>
      </c>
      <c r="F252" t="s">
        <v>19</v>
      </c>
      <c r="G252" t="s">
        <v>20</v>
      </c>
      <c r="H252" t="s">
        <v>18</v>
      </c>
      <c r="I252">
        <v>2</v>
      </c>
      <c r="J252" t="s">
        <v>16</v>
      </c>
      <c r="K252" t="s">
        <v>31</v>
      </c>
      <c r="L252">
        <v>32</v>
      </c>
      <c r="M252" t="str">
        <f t="shared" si="3"/>
        <v>MIddleAge</v>
      </c>
      <c r="N252" t="s">
        <v>18</v>
      </c>
      <c r="R252">
        <v>15580</v>
      </c>
      <c r="S252" t="s">
        <v>35</v>
      </c>
      <c r="T252" t="s">
        <v>38</v>
      </c>
      <c r="U252" s="4">
        <v>60000</v>
      </c>
      <c r="V252">
        <v>2</v>
      </c>
      <c r="W252" t="s">
        <v>13</v>
      </c>
      <c r="X252" t="s">
        <v>21</v>
      </c>
      <c r="Y252" t="s">
        <v>15</v>
      </c>
      <c r="Z252">
        <v>1</v>
      </c>
      <c r="AA252" t="s">
        <v>22</v>
      </c>
      <c r="AB252" t="s">
        <v>24</v>
      </c>
      <c r="AC252">
        <v>38</v>
      </c>
      <c r="AD252" t="s">
        <v>44</v>
      </c>
      <c r="BL252">
        <v>24857</v>
      </c>
      <c r="BM252" t="s">
        <v>35</v>
      </c>
      <c r="BN252" t="s">
        <v>37</v>
      </c>
      <c r="BO252" s="4">
        <v>130000</v>
      </c>
      <c r="BP252" s="4">
        <v>130000</v>
      </c>
      <c r="BQ252">
        <v>3</v>
      </c>
      <c r="BR252" t="s">
        <v>21</v>
      </c>
      <c r="BS252" t="s">
        <v>15</v>
      </c>
      <c r="BT252">
        <v>52</v>
      </c>
    </row>
    <row r="253" spans="1:97" x14ac:dyDescent="0.25">
      <c r="A253">
        <v>24725</v>
      </c>
      <c r="B253" t="s">
        <v>35</v>
      </c>
      <c r="C253" t="s">
        <v>37</v>
      </c>
      <c r="D253" s="11">
        <v>40000</v>
      </c>
      <c r="E253">
        <v>3</v>
      </c>
      <c r="F253" t="s">
        <v>19</v>
      </c>
      <c r="G253" t="s">
        <v>20</v>
      </c>
      <c r="H253" t="s">
        <v>15</v>
      </c>
      <c r="I253">
        <v>0</v>
      </c>
      <c r="J253" t="s">
        <v>26</v>
      </c>
      <c r="K253" t="s">
        <v>31</v>
      </c>
      <c r="L253">
        <v>31</v>
      </c>
      <c r="M253" t="str">
        <f t="shared" si="3"/>
        <v>MIddleAge</v>
      </c>
      <c r="N253" t="s">
        <v>18</v>
      </c>
      <c r="R253">
        <v>14389</v>
      </c>
      <c r="S253" t="s">
        <v>35</v>
      </c>
      <c r="T253" t="s">
        <v>38</v>
      </c>
      <c r="U253" s="4">
        <v>60000</v>
      </c>
      <c r="V253">
        <v>2</v>
      </c>
      <c r="W253" t="s">
        <v>13</v>
      </c>
      <c r="X253" t="s">
        <v>28</v>
      </c>
      <c r="Y253" t="s">
        <v>15</v>
      </c>
      <c r="Z253">
        <v>0</v>
      </c>
      <c r="AA253" t="s">
        <v>22</v>
      </c>
      <c r="AB253" t="s">
        <v>31</v>
      </c>
      <c r="AC253">
        <v>59</v>
      </c>
      <c r="AD253" t="s">
        <v>45</v>
      </c>
      <c r="BL253">
        <v>22821</v>
      </c>
      <c r="BM253" t="s">
        <v>35</v>
      </c>
      <c r="BN253" t="s">
        <v>37</v>
      </c>
      <c r="BO253" s="4">
        <v>130000</v>
      </c>
      <c r="BP253" s="4">
        <v>130000</v>
      </c>
      <c r="BQ253">
        <v>3</v>
      </c>
      <c r="BR253" t="s">
        <v>21</v>
      </c>
      <c r="BS253" t="s">
        <v>15</v>
      </c>
      <c r="BT253">
        <v>52</v>
      </c>
    </row>
    <row r="254" spans="1:97" x14ac:dyDescent="0.25">
      <c r="A254">
        <v>23513</v>
      </c>
      <c r="B254" t="s">
        <v>35</v>
      </c>
      <c r="C254" t="s">
        <v>37</v>
      </c>
      <c r="D254" s="11">
        <v>40000</v>
      </c>
      <c r="E254">
        <v>3</v>
      </c>
      <c r="F254" t="s">
        <v>19</v>
      </c>
      <c r="G254" t="s">
        <v>21</v>
      </c>
      <c r="H254" t="s">
        <v>15</v>
      </c>
      <c r="I254">
        <v>2</v>
      </c>
      <c r="J254" t="s">
        <v>23</v>
      </c>
      <c r="K254" t="s">
        <v>31</v>
      </c>
      <c r="L254">
        <v>54</v>
      </c>
      <c r="M254" t="str">
        <f t="shared" si="3"/>
        <v>MIddleAge</v>
      </c>
      <c r="N254" t="s">
        <v>18</v>
      </c>
      <c r="R254">
        <v>13388</v>
      </c>
      <c r="S254" t="s">
        <v>36</v>
      </c>
      <c r="T254" t="s">
        <v>38</v>
      </c>
      <c r="U254" s="4">
        <v>60000</v>
      </c>
      <c r="V254">
        <v>2</v>
      </c>
      <c r="W254" t="s">
        <v>19</v>
      </c>
      <c r="X254" t="s">
        <v>21</v>
      </c>
      <c r="Y254" t="s">
        <v>15</v>
      </c>
      <c r="Z254">
        <v>1</v>
      </c>
      <c r="AA254" t="s">
        <v>42</v>
      </c>
      <c r="AB254" t="s">
        <v>31</v>
      </c>
      <c r="AC254">
        <v>56</v>
      </c>
      <c r="AD254" t="s">
        <v>45</v>
      </c>
      <c r="BL254">
        <v>18160</v>
      </c>
      <c r="BM254" t="s">
        <v>35</v>
      </c>
      <c r="BN254" t="s">
        <v>38</v>
      </c>
      <c r="BO254" s="4">
        <v>130000</v>
      </c>
      <c r="BP254" s="4">
        <v>130000</v>
      </c>
      <c r="BQ254">
        <v>3</v>
      </c>
      <c r="BR254" t="s">
        <v>21</v>
      </c>
      <c r="BS254" t="s">
        <v>15</v>
      </c>
      <c r="BT254">
        <v>51</v>
      </c>
    </row>
    <row r="255" spans="1:97" x14ac:dyDescent="0.25">
      <c r="A255">
        <v>23105</v>
      </c>
      <c r="B255" t="s">
        <v>36</v>
      </c>
      <c r="C255" t="s">
        <v>38</v>
      </c>
      <c r="D255" s="11">
        <v>40000</v>
      </c>
      <c r="E255">
        <v>3</v>
      </c>
      <c r="F255" t="s">
        <v>29</v>
      </c>
      <c r="G255" t="s">
        <v>20</v>
      </c>
      <c r="H255" t="s">
        <v>18</v>
      </c>
      <c r="I255">
        <v>2</v>
      </c>
      <c r="J255" t="s">
        <v>23</v>
      </c>
      <c r="K255" t="s">
        <v>24</v>
      </c>
      <c r="L255">
        <v>52</v>
      </c>
      <c r="M255" t="str">
        <f t="shared" si="3"/>
        <v>MIddleAge</v>
      </c>
      <c r="N255" t="s">
        <v>15</v>
      </c>
      <c r="R255">
        <v>13233</v>
      </c>
      <c r="S255" t="s">
        <v>35</v>
      </c>
      <c r="T255" t="s">
        <v>38</v>
      </c>
      <c r="U255" s="4">
        <v>60000</v>
      </c>
      <c r="V255">
        <v>2</v>
      </c>
      <c r="W255" t="s">
        <v>19</v>
      </c>
      <c r="X255" t="s">
        <v>21</v>
      </c>
      <c r="Y255" t="s">
        <v>15</v>
      </c>
      <c r="Z255">
        <v>1</v>
      </c>
      <c r="AA255" t="s">
        <v>42</v>
      </c>
      <c r="AB255" t="s">
        <v>31</v>
      </c>
      <c r="AC255">
        <v>57</v>
      </c>
      <c r="AD255" t="s">
        <v>45</v>
      </c>
      <c r="BL255">
        <v>18140</v>
      </c>
      <c r="BM255" t="s">
        <v>35</v>
      </c>
      <c r="BN255" t="s">
        <v>38</v>
      </c>
      <c r="BO255" s="4">
        <v>130000</v>
      </c>
      <c r="BP255" s="4">
        <v>130000</v>
      </c>
      <c r="BQ255">
        <v>3</v>
      </c>
      <c r="BR255" t="s">
        <v>21</v>
      </c>
      <c r="BS255" t="s">
        <v>18</v>
      </c>
      <c r="BT255">
        <v>51</v>
      </c>
    </row>
    <row r="256" spans="1:97" x14ac:dyDescent="0.25">
      <c r="A256">
        <v>17654</v>
      </c>
      <c r="B256" t="s">
        <v>36</v>
      </c>
      <c r="C256" t="s">
        <v>37</v>
      </c>
      <c r="D256" s="11">
        <v>40000</v>
      </c>
      <c r="E256">
        <v>3</v>
      </c>
      <c r="F256" t="s">
        <v>19</v>
      </c>
      <c r="G256" t="s">
        <v>20</v>
      </c>
      <c r="H256" t="s">
        <v>15</v>
      </c>
      <c r="I256">
        <v>1</v>
      </c>
      <c r="J256" t="s">
        <v>26</v>
      </c>
      <c r="K256" t="s">
        <v>31</v>
      </c>
      <c r="L256">
        <v>30</v>
      </c>
      <c r="M256" t="str">
        <f t="shared" si="3"/>
        <v>Adolescent</v>
      </c>
      <c r="N256" t="s">
        <v>15</v>
      </c>
      <c r="R256">
        <v>12993</v>
      </c>
      <c r="S256" t="s">
        <v>35</v>
      </c>
      <c r="T256" t="s">
        <v>38</v>
      </c>
      <c r="U256" s="4">
        <v>60000</v>
      </c>
      <c r="V256">
        <v>2</v>
      </c>
      <c r="W256" t="s">
        <v>13</v>
      </c>
      <c r="X256" t="s">
        <v>21</v>
      </c>
      <c r="Y256" t="s">
        <v>15</v>
      </c>
      <c r="Z256">
        <v>1</v>
      </c>
      <c r="AA256" t="s">
        <v>22</v>
      </c>
      <c r="AB256" t="s">
        <v>24</v>
      </c>
      <c r="AC256">
        <v>37</v>
      </c>
      <c r="AD256" t="s">
        <v>44</v>
      </c>
      <c r="BL256">
        <v>17191</v>
      </c>
      <c r="BM256" t="s">
        <v>36</v>
      </c>
      <c r="BN256" t="s">
        <v>38</v>
      </c>
      <c r="BO256" s="4">
        <v>130000</v>
      </c>
      <c r="BP256" s="4">
        <v>130000</v>
      </c>
      <c r="BQ256">
        <v>3</v>
      </c>
      <c r="BR256" t="s">
        <v>21</v>
      </c>
      <c r="BS256" t="s">
        <v>18</v>
      </c>
      <c r="BT256">
        <v>51</v>
      </c>
    </row>
    <row r="257" spans="1:72" x14ac:dyDescent="0.25">
      <c r="A257">
        <v>17533</v>
      </c>
      <c r="B257" t="s">
        <v>35</v>
      </c>
      <c r="C257" t="s">
        <v>38</v>
      </c>
      <c r="D257" s="11">
        <v>40000</v>
      </c>
      <c r="E257">
        <v>3</v>
      </c>
      <c r="F257" t="s">
        <v>19</v>
      </c>
      <c r="G257" t="s">
        <v>21</v>
      </c>
      <c r="H257" t="s">
        <v>18</v>
      </c>
      <c r="I257">
        <v>2</v>
      </c>
      <c r="J257" t="s">
        <v>23</v>
      </c>
      <c r="K257" t="s">
        <v>31</v>
      </c>
      <c r="L257">
        <v>73</v>
      </c>
      <c r="M257" t="str">
        <f t="shared" si="3"/>
        <v>Old</v>
      </c>
      <c r="N257" t="s">
        <v>15</v>
      </c>
      <c r="R257">
        <v>12192</v>
      </c>
      <c r="S257" t="s">
        <v>36</v>
      </c>
      <c r="T257" t="s">
        <v>37</v>
      </c>
      <c r="U257" s="4">
        <v>60000</v>
      </c>
      <c r="V257">
        <v>2</v>
      </c>
      <c r="W257" t="s">
        <v>29</v>
      </c>
      <c r="X257" t="s">
        <v>14</v>
      </c>
      <c r="Y257" t="s">
        <v>18</v>
      </c>
      <c r="Z257">
        <v>2</v>
      </c>
      <c r="AA257" t="s">
        <v>26</v>
      </c>
      <c r="AB257" t="s">
        <v>31</v>
      </c>
      <c r="AC257">
        <v>51</v>
      </c>
      <c r="AD257" t="s">
        <v>44</v>
      </c>
      <c r="BL257">
        <v>13453</v>
      </c>
      <c r="BM257" t="s">
        <v>35</v>
      </c>
      <c r="BN257" t="s">
        <v>37</v>
      </c>
      <c r="BO257" s="4">
        <v>130000</v>
      </c>
      <c r="BP257" s="4">
        <v>130000</v>
      </c>
      <c r="BQ257">
        <v>3</v>
      </c>
      <c r="BR257" t="s">
        <v>28</v>
      </c>
      <c r="BS257" t="s">
        <v>15</v>
      </c>
      <c r="BT257">
        <v>45</v>
      </c>
    </row>
    <row r="258" spans="1:72" x14ac:dyDescent="0.25">
      <c r="A258">
        <v>16895</v>
      </c>
      <c r="B258" t="s">
        <v>35</v>
      </c>
      <c r="C258" t="s">
        <v>37</v>
      </c>
      <c r="D258" s="11">
        <v>40000</v>
      </c>
      <c r="E258">
        <v>3</v>
      </c>
      <c r="F258" t="s">
        <v>19</v>
      </c>
      <c r="G258" t="s">
        <v>21</v>
      </c>
      <c r="H258" t="s">
        <v>18</v>
      </c>
      <c r="I258">
        <v>2</v>
      </c>
      <c r="J258" t="s">
        <v>26</v>
      </c>
      <c r="K258" t="s">
        <v>31</v>
      </c>
      <c r="L258">
        <v>54</v>
      </c>
      <c r="M258" t="str">
        <f t="shared" ref="M258:M321" si="4">IF(L258&gt; 54, "Old",IF(L258&gt;= 31, "MIddleAge",IF(L258&lt;31, "Adolescent", "Adult")))</f>
        <v>MIddleAge</v>
      </c>
      <c r="N258" t="s">
        <v>15</v>
      </c>
      <c r="R258">
        <v>12100</v>
      </c>
      <c r="S258" t="s">
        <v>36</v>
      </c>
      <c r="T258" t="s">
        <v>38</v>
      </c>
      <c r="U258" s="4">
        <v>60000</v>
      </c>
      <c r="V258">
        <v>2</v>
      </c>
      <c r="W258" t="s">
        <v>13</v>
      </c>
      <c r="X258" t="s">
        <v>28</v>
      </c>
      <c r="Y258" t="s">
        <v>15</v>
      </c>
      <c r="Z258">
        <v>0</v>
      </c>
      <c r="AA258" t="s">
        <v>42</v>
      </c>
      <c r="AB258" t="s">
        <v>31</v>
      </c>
      <c r="AC258">
        <v>57</v>
      </c>
      <c r="AD258" t="s">
        <v>45</v>
      </c>
      <c r="BL258">
        <v>12133</v>
      </c>
      <c r="BM258" t="s">
        <v>35</v>
      </c>
      <c r="BN258" t="s">
        <v>37</v>
      </c>
      <c r="BO258" s="4">
        <v>130000</v>
      </c>
      <c r="BP258" s="4">
        <v>130000</v>
      </c>
      <c r="BQ258">
        <v>3</v>
      </c>
      <c r="BR258" t="s">
        <v>21</v>
      </c>
      <c r="BS258" t="s">
        <v>15</v>
      </c>
      <c r="BT258">
        <v>50</v>
      </c>
    </row>
    <row r="259" spans="1:72" x14ac:dyDescent="0.25">
      <c r="A259">
        <v>14495</v>
      </c>
      <c r="B259" t="s">
        <v>35</v>
      </c>
      <c r="C259" t="s">
        <v>38</v>
      </c>
      <c r="D259" s="11">
        <v>40000</v>
      </c>
      <c r="E259">
        <v>3</v>
      </c>
      <c r="F259" t="s">
        <v>19</v>
      </c>
      <c r="G259" t="s">
        <v>21</v>
      </c>
      <c r="H259" t="s">
        <v>18</v>
      </c>
      <c r="I259">
        <v>2</v>
      </c>
      <c r="J259" t="s">
        <v>23</v>
      </c>
      <c r="K259" t="s">
        <v>31</v>
      </c>
      <c r="L259">
        <v>54</v>
      </c>
      <c r="M259" t="str">
        <f t="shared" si="4"/>
        <v>MIddleAge</v>
      </c>
      <c r="N259" t="s">
        <v>15</v>
      </c>
      <c r="R259">
        <v>11809</v>
      </c>
      <c r="S259" t="s">
        <v>35</v>
      </c>
      <c r="T259" t="s">
        <v>38</v>
      </c>
      <c r="U259" s="4">
        <v>60000</v>
      </c>
      <c r="V259">
        <v>2</v>
      </c>
      <c r="W259" t="s">
        <v>13</v>
      </c>
      <c r="X259" t="s">
        <v>14</v>
      </c>
      <c r="Y259" t="s">
        <v>15</v>
      </c>
      <c r="Z259">
        <v>0</v>
      </c>
      <c r="AA259" t="s">
        <v>16</v>
      </c>
      <c r="AB259" t="s">
        <v>31</v>
      </c>
      <c r="AC259">
        <v>38</v>
      </c>
      <c r="AD259" t="s">
        <v>44</v>
      </c>
      <c r="BL259">
        <v>11249</v>
      </c>
      <c r="BM259" t="s">
        <v>35</v>
      </c>
      <c r="BN259" t="s">
        <v>37</v>
      </c>
      <c r="BO259" s="4">
        <v>130000</v>
      </c>
      <c r="BP259" s="4">
        <v>130000</v>
      </c>
      <c r="BQ259">
        <v>3</v>
      </c>
      <c r="BR259" t="s">
        <v>21</v>
      </c>
      <c r="BS259" t="s">
        <v>15</v>
      </c>
      <c r="BT259">
        <v>51</v>
      </c>
    </row>
    <row r="260" spans="1:72" x14ac:dyDescent="0.25">
      <c r="A260">
        <v>27756</v>
      </c>
      <c r="B260" t="s">
        <v>36</v>
      </c>
      <c r="C260" t="s">
        <v>37</v>
      </c>
      <c r="D260" s="11">
        <v>50000</v>
      </c>
      <c r="E260">
        <v>3</v>
      </c>
      <c r="F260" t="s">
        <v>13</v>
      </c>
      <c r="G260" t="s">
        <v>14</v>
      </c>
      <c r="H260" t="s">
        <v>18</v>
      </c>
      <c r="I260">
        <v>1</v>
      </c>
      <c r="J260" t="s">
        <v>16</v>
      </c>
      <c r="K260" t="s">
        <v>31</v>
      </c>
      <c r="L260">
        <v>40</v>
      </c>
      <c r="M260" t="str">
        <f t="shared" si="4"/>
        <v>MIddleAge</v>
      </c>
      <c r="N260" t="s">
        <v>18</v>
      </c>
      <c r="R260">
        <v>11219</v>
      </c>
      <c r="S260" t="s">
        <v>35</v>
      </c>
      <c r="T260" t="s">
        <v>38</v>
      </c>
      <c r="U260" s="4">
        <v>60000</v>
      </c>
      <c r="V260">
        <v>2</v>
      </c>
      <c r="W260" t="s">
        <v>27</v>
      </c>
      <c r="X260" t="s">
        <v>21</v>
      </c>
      <c r="Y260" t="s">
        <v>15</v>
      </c>
      <c r="Z260">
        <v>2</v>
      </c>
      <c r="AA260" t="s">
        <v>42</v>
      </c>
      <c r="AB260" t="s">
        <v>31</v>
      </c>
      <c r="AC260">
        <v>55</v>
      </c>
      <c r="AD260" t="s">
        <v>45</v>
      </c>
      <c r="BL260">
        <v>28278</v>
      </c>
      <c r="BM260" t="s">
        <v>35</v>
      </c>
      <c r="BN260" t="s">
        <v>38</v>
      </c>
      <c r="BO260" s="4">
        <v>50000</v>
      </c>
      <c r="BP260" s="4">
        <v>50000</v>
      </c>
      <c r="BQ260">
        <v>2</v>
      </c>
      <c r="BR260" t="s">
        <v>28</v>
      </c>
      <c r="BS260" t="s">
        <v>15</v>
      </c>
      <c r="BT260">
        <v>71</v>
      </c>
    </row>
    <row r="261" spans="1:72" x14ac:dyDescent="0.25">
      <c r="A261">
        <v>26452</v>
      </c>
      <c r="B261" t="s">
        <v>36</v>
      </c>
      <c r="C261" t="s">
        <v>38</v>
      </c>
      <c r="D261" s="11">
        <v>50000</v>
      </c>
      <c r="E261">
        <v>3</v>
      </c>
      <c r="F261" t="s">
        <v>30</v>
      </c>
      <c r="G261" t="s">
        <v>28</v>
      </c>
      <c r="H261" t="s">
        <v>15</v>
      </c>
      <c r="I261">
        <v>2</v>
      </c>
      <c r="J261" t="s">
        <v>42</v>
      </c>
      <c r="K261" t="s">
        <v>31</v>
      </c>
      <c r="L261">
        <v>69</v>
      </c>
      <c r="M261" t="str">
        <f t="shared" si="4"/>
        <v>Old</v>
      </c>
      <c r="N261" t="s">
        <v>18</v>
      </c>
      <c r="R261">
        <v>11147</v>
      </c>
      <c r="S261" t="s">
        <v>35</v>
      </c>
      <c r="T261" t="s">
        <v>38</v>
      </c>
      <c r="U261" s="4">
        <v>60000</v>
      </c>
      <c r="V261">
        <v>2</v>
      </c>
      <c r="W261" t="s">
        <v>30</v>
      </c>
      <c r="X261" t="s">
        <v>28</v>
      </c>
      <c r="Y261" t="s">
        <v>15</v>
      </c>
      <c r="Z261">
        <v>1</v>
      </c>
      <c r="AA261" t="s">
        <v>16</v>
      </c>
      <c r="AB261" t="s">
        <v>24</v>
      </c>
      <c r="AC261">
        <v>67</v>
      </c>
      <c r="AD261" t="s">
        <v>45</v>
      </c>
      <c r="BL261">
        <v>25419</v>
      </c>
      <c r="BM261" t="s">
        <v>36</v>
      </c>
      <c r="BN261" t="s">
        <v>38</v>
      </c>
      <c r="BO261" s="4">
        <v>50000</v>
      </c>
      <c r="BP261" s="4">
        <v>50000</v>
      </c>
      <c r="BQ261">
        <v>2</v>
      </c>
      <c r="BR261" t="s">
        <v>14</v>
      </c>
      <c r="BS261" t="s">
        <v>18</v>
      </c>
      <c r="BT261">
        <v>38</v>
      </c>
    </row>
    <row r="262" spans="1:72" x14ac:dyDescent="0.25">
      <c r="A262">
        <v>23893</v>
      </c>
      <c r="B262" t="s">
        <v>35</v>
      </c>
      <c r="C262" t="s">
        <v>38</v>
      </c>
      <c r="D262" s="11">
        <v>50000</v>
      </c>
      <c r="E262">
        <v>3</v>
      </c>
      <c r="F262" t="s">
        <v>13</v>
      </c>
      <c r="G262" t="s">
        <v>14</v>
      </c>
      <c r="H262" t="s">
        <v>15</v>
      </c>
      <c r="I262">
        <v>3</v>
      </c>
      <c r="J262" t="s">
        <v>42</v>
      </c>
      <c r="K262" t="s">
        <v>31</v>
      </c>
      <c r="L262">
        <v>41</v>
      </c>
      <c r="M262" t="str">
        <f t="shared" si="4"/>
        <v>MIddleAge</v>
      </c>
      <c r="N262" t="s">
        <v>18</v>
      </c>
      <c r="R262">
        <v>29030</v>
      </c>
      <c r="S262" t="s">
        <v>35</v>
      </c>
      <c r="T262" t="s">
        <v>38</v>
      </c>
      <c r="U262" s="4">
        <v>70000</v>
      </c>
      <c r="V262">
        <v>2</v>
      </c>
      <c r="W262" t="s">
        <v>29</v>
      </c>
      <c r="X262" t="s">
        <v>14</v>
      </c>
      <c r="Y262" t="s">
        <v>15</v>
      </c>
      <c r="Z262">
        <v>2</v>
      </c>
      <c r="AA262" t="s">
        <v>42</v>
      </c>
      <c r="AB262" t="s">
        <v>31</v>
      </c>
      <c r="AC262">
        <v>54</v>
      </c>
      <c r="AD262" t="s">
        <v>44</v>
      </c>
      <c r="BL262">
        <v>21613</v>
      </c>
      <c r="BM262" t="s">
        <v>36</v>
      </c>
      <c r="BN262" t="s">
        <v>38</v>
      </c>
      <c r="BO262" s="4">
        <v>50000</v>
      </c>
      <c r="BP262" s="4">
        <v>50000</v>
      </c>
      <c r="BQ262">
        <v>2</v>
      </c>
      <c r="BR262" t="s">
        <v>14</v>
      </c>
      <c r="BS262" t="s">
        <v>18</v>
      </c>
      <c r="BT262">
        <v>39</v>
      </c>
    </row>
    <row r="263" spans="1:72" x14ac:dyDescent="0.25">
      <c r="A263">
        <v>23200</v>
      </c>
      <c r="B263" t="s">
        <v>35</v>
      </c>
      <c r="C263" t="s">
        <v>37</v>
      </c>
      <c r="D263" s="11">
        <v>50000</v>
      </c>
      <c r="E263">
        <v>3</v>
      </c>
      <c r="F263" t="s">
        <v>13</v>
      </c>
      <c r="G263" t="s">
        <v>14</v>
      </c>
      <c r="H263" t="s">
        <v>15</v>
      </c>
      <c r="I263">
        <v>2</v>
      </c>
      <c r="J263" t="s">
        <v>16</v>
      </c>
      <c r="K263" t="s">
        <v>31</v>
      </c>
      <c r="L263">
        <v>41</v>
      </c>
      <c r="M263" t="str">
        <f t="shared" si="4"/>
        <v>MIddleAge</v>
      </c>
      <c r="N263" t="s">
        <v>18</v>
      </c>
      <c r="R263">
        <v>28056</v>
      </c>
      <c r="S263" t="s">
        <v>35</v>
      </c>
      <c r="T263" t="s">
        <v>38</v>
      </c>
      <c r="U263" s="4">
        <v>70000</v>
      </c>
      <c r="V263">
        <v>2</v>
      </c>
      <c r="W263" t="s">
        <v>29</v>
      </c>
      <c r="X263" t="s">
        <v>14</v>
      </c>
      <c r="Y263" t="s">
        <v>15</v>
      </c>
      <c r="Z263">
        <v>2</v>
      </c>
      <c r="AA263" t="s">
        <v>42</v>
      </c>
      <c r="AB263" t="s">
        <v>31</v>
      </c>
      <c r="AC263">
        <v>53</v>
      </c>
      <c r="AD263" t="s">
        <v>44</v>
      </c>
      <c r="BL263">
        <v>20657</v>
      </c>
      <c r="BM263" t="s">
        <v>36</v>
      </c>
      <c r="BN263" t="s">
        <v>38</v>
      </c>
      <c r="BO263" s="4">
        <v>50000</v>
      </c>
      <c r="BP263" s="4">
        <v>50000</v>
      </c>
      <c r="BQ263">
        <v>2</v>
      </c>
      <c r="BR263" t="s">
        <v>14</v>
      </c>
      <c r="BS263" t="s">
        <v>15</v>
      </c>
      <c r="BT263">
        <v>37</v>
      </c>
    </row>
    <row r="264" spans="1:72" x14ac:dyDescent="0.25">
      <c r="A264">
        <v>23197</v>
      </c>
      <c r="B264" t="s">
        <v>35</v>
      </c>
      <c r="C264" t="s">
        <v>38</v>
      </c>
      <c r="D264" s="11">
        <v>50000</v>
      </c>
      <c r="E264">
        <v>3</v>
      </c>
      <c r="F264" t="s">
        <v>13</v>
      </c>
      <c r="G264" t="s">
        <v>14</v>
      </c>
      <c r="H264" t="s">
        <v>15</v>
      </c>
      <c r="I264">
        <v>2</v>
      </c>
      <c r="J264" t="s">
        <v>22</v>
      </c>
      <c r="K264" t="s">
        <v>31</v>
      </c>
      <c r="L264">
        <v>40</v>
      </c>
      <c r="M264" t="str">
        <f t="shared" si="4"/>
        <v>MIddleAge</v>
      </c>
      <c r="N264" t="s">
        <v>18</v>
      </c>
      <c r="R264">
        <v>28031</v>
      </c>
      <c r="S264" t="s">
        <v>36</v>
      </c>
      <c r="T264" t="s">
        <v>37</v>
      </c>
      <c r="U264" s="4">
        <v>70000</v>
      </c>
      <c r="V264">
        <v>2</v>
      </c>
      <c r="W264" t="s">
        <v>13</v>
      </c>
      <c r="X264" t="s">
        <v>28</v>
      </c>
      <c r="Y264" t="s">
        <v>18</v>
      </c>
      <c r="Z264">
        <v>1</v>
      </c>
      <c r="AA264" t="s">
        <v>22</v>
      </c>
      <c r="AB264" t="s">
        <v>31</v>
      </c>
      <c r="AC264">
        <v>59</v>
      </c>
      <c r="AD264" t="s">
        <v>45</v>
      </c>
      <c r="BL264">
        <v>20361</v>
      </c>
      <c r="BM264" t="s">
        <v>35</v>
      </c>
      <c r="BN264" t="s">
        <v>38</v>
      </c>
      <c r="BO264" s="4">
        <v>50000</v>
      </c>
      <c r="BP264" s="4">
        <v>50000</v>
      </c>
      <c r="BQ264">
        <v>2</v>
      </c>
      <c r="BR264" t="s">
        <v>28</v>
      </c>
      <c r="BS264" t="s">
        <v>15</v>
      </c>
      <c r="BT264">
        <v>69</v>
      </c>
    </row>
    <row r="265" spans="1:72" x14ac:dyDescent="0.25">
      <c r="A265">
        <v>23195</v>
      </c>
      <c r="B265" t="s">
        <v>36</v>
      </c>
      <c r="C265" t="s">
        <v>38</v>
      </c>
      <c r="D265" s="11">
        <v>50000</v>
      </c>
      <c r="E265">
        <v>3</v>
      </c>
      <c r="F265" t="s">
        <v>13</v>
      </c>
      <c r="G265" t="s">
        <v>14</v>
      </c>
      <c r="H265" t="s">
        <v>15</v>
      </c>
      <c r="I265">
        <v>2</v>
      </c>
      <c r="J265" t="s">
        <v>22</v>
      </c>
      <c r="K265" t="s">
        <v>31</v>
      </c>
      <c r="L265">
        <v>41</v>
      </c>
      <c r="M265" t="str">
        <f t="shared" si="4"/>
        <v>MIddleAge</v>
      </c>
      <c r="N265" t="s">
        <v>15</v>
      </c>
      <c r="R265">
        <v>25872</v>
      </c>
      <c r="S265" t="s">
        <v>36</v>
      </c>
      <c r="T265" t="s">
        <v>37</v>
      </c>
      <c r="U265" s="4">
        <v>70000</v>
      </c>
      <c r="V265">
        <v>2</v>
      </c>
      <c r="W265" t="s">
        <v>13</v>
      </c>
      <c r="X265" t="s">
        <v>28</v>
      </c>
      <c r="Y265" t="s">
        <v>18</v>
      </c>
      <c r="Z265">
        <v>1</v>
      </c>
      <c r="AA265" t="s">
        <v>22</v>
      </c>
      <c r="AB265" t="s">
        <v>31</v>
      </c>
      <c r="AC265">
        <v>58</v>
      </c>
      <c r="AD265" t="s">
        <v>45</v>
      </c>
      <c r="BL265">
        <v>19133</v>
      </c>
      <c r="BM265" t="s">
        <v>36</v>
      </c>
      <c r="BN265" t="s">
        <v>38</v>
      </c>
      <c r="BO265" s="4">
        <v>50000</v>
      </c>
      <c r="BP265" s="4">
        <v>50000</v>
      </c>
      <c r="BQ265">
        <v>2</v>
      </c>
      <c r="BR265" t="s">
        <v>14</v>
      </c>
      <c r="BS265" t="s">
        <v>15</v>
      </c>
      <c r="BT265">
        <v>38</v>
      </c>
    </row>
    <row r="266" spans="1:72" x14ac:dyDescent="0.25">
      <c r="A266">
        <v>28972</v>
      </c>
      <c r="B266" t="s">
        <v>36</v>
      </c>
      <c r="C266" t="s">
        <v>37</v>
      </c>
      <c r="D266" s="11">
        <v>60000</v>
      </c>
      <c r="E266">
        <v>3</v>
      </c>
      <c r="F266" t="s">
        <v>30</v>
      </c>
      <c r="G266" t="s">
        <v>28</v>
      </c>
      <c r="H266" t="s">
        <v>15</v>
      </c>
      <c r="I266">
        <v>2</v>
      </c>
      <c r="J266" t="s">
        <v>42</v>
      </c>
      <c r="K266" t="s">
        <v>31</v>
      </c>
      <c r="L266">
        <v>66</v>
      </c>
      <c r="M266" t="str">
        <f t="shared" si="4"/>
        <v>Old</v>
      </c>
      <c r="N266" t="s">
        <v>18</v>
      </c>
      <c r="R266">
        <v>25405</v>
      </c>
      <c r="S266" t="s">
        <v>35</v>
      </c>
      <c r="T266" t="s">
        <v>38</v>
      </c>
      <c r="U266" s="4">
        <v>70000</v>
      </c>
      <c r="V266">
        <v>2</v>
      </c>
      <c r="W266" t="s">
        <v>13</v>
      </c>
      <c r="X266" t="s">
        <v>14</v>
      </c>
      <c r="Y266" t="s">
        <v>15</v>
      </c>
      <c r="Z266">
        <v>1</v>
      </c>
      <c r="AA266" t="s">
        <v>22</v>
      </c>
      <c r="AB266" t="s">
        <v>31</v>
      </c>
      <c r="AC266">
        <v>38</v>
      </c>
      <c r="AD266" t="s">
        <v>44</v>
      </c>
      <c r="BL266">
        <v>17352</v>
      </c>
      <c r="BM266" t="s">
        <v>35</v>
      </c>
      <c r="BN266" t="s">
        <v>38</v>
      </c>
      <c r="BO266" s="4">
        <v>50000</v>
      </c>
      <c r="BP266" s="4">
        <v>50000</v>
      </c>
      <c r="BQ266">
        <v>2</v>
      </c>
      <c r="BR266" t="s">
        <v>28</v>
      </c>
      <c r="BS266" t="s">
        <v>15</v>
      </c>
      <c r="BT266">
        <v>64</v>
      </c>
    </row>
    <row r="267" spans="1:72" x14ac:dyDescent="0.25">
      <c r="A267">
        <v>28004</v>
      </c>
      <c r="B267" t="s">
        <v>35</v>
      </c>
      <c r="C267" t="s">
        <v>37</v>
      </c>
      <c r="D267" s="11">
        <v>60000</v>
      </c>
      <c r="E267">
        <v>3</v>
      </c>
      <c r="F267" t="s">
        <v>13</v>
      </c>
      <c r="G267" t="s">
        <v>28</v>
      </c>
      <c r="H267" t="s">
        <v>15</v>
      </c>
      <c r="I267">
        <v>2</v>
      </c>
      <c r="J267" t="s">
        <v>42</v>
      </c>
      <c r="K267" t="s">
        <v>31</v>
      </c>
      <c r="L267">
        <v>66</v>
      </c>
      <c r="M267" t="str">
        <f t="shared" si="4"/>
        <v>Old</v>
      </c>
      <c r="N267" t="s">
        <v>18</v>
      </c>
      <c r="R267">
        <v>25065</v>
      </c>
      <c r="S267" t="s">
        <v>35</v>
      </c>
      <c r="T267" t="s">
        <v>38</v>
      </c>
      <c r="U267" s="4">
        <v>70000</v>
      </c>
      <c r="V267">
        <v>2</v>
      </c>
      <c r="W267" t="s">
        <v>29</v>
      </c>
      <c r="X267" t="s">
        <v>14</v>
      </c>
      <c r="Y267" t="s">
        <v>15</v>
      </c>
      <c r="Z267">
        <v>2</v>
      </c>
      <c r="AA267" t="s">
        <v>23</v>
      </c>
      <c r="AB267" t="s">
        <v>31</v>
      </c>
      <c r="AC267">
        <v>48</v>
      </c>
      <c r="AD267" t="s">
        <v>44</v>
      </c>
      <c r="BL267">
        <v>29181</v>
      </c>
      <c r="BM267" t="s">
        <v>36</v>
      </c>
      <c r="BN267" t="s">
        <v>37</v>
      </c>
      <c r="BO267" s="4">
        <v>60000</v>
      </c>
      <c r="BP267" s="4">
        <v>60000</v>
      </c>
      <c r="BQ267">
        <v>2</v>
      </c>
      <c r="BR267" t="s">
        <v>21</v>
      </c>
      <c r="BS267" t="s">
        <v>18</v>
      </c>
      <c r="BT267">
        <v>38</v>
      </c>
    </row>
    <row r="268" spans="1:72" x14ac:dyDescent="0.25">
      <c r="A268">
        <v>27673</v>
      </c>
      <c r="B268" t="s">
        <v>36</v>
      </c>
      <c r="C268" t="s">
        <v>37</v>
      </c>
      <c r="D268" s="11">
        <v>60000</v>
      </c>
      <c r="E268">
        <v>3</v>
      </c>
      <c r="F268" t="s">
        <v>30</v>
      </c>
      <c r="G268" t="s">
        <v>28</v>
      </c>
      <c r="H268" t="s">
        <v>15</v>
      </c>
      <c r="I268">
        <v>2</v>
      </c>
      <c r="J268" t="s">
        <v>23</v>
      </c>
      <c r="K268" t="s">
        <v>31</v>
      </c>
      <c r="L268">
        <v>53</v>
      </c>
      <c r="M268" t="str">
        <f t="shared" si="4"/>
        <v>MIddleAge</v>
      </c>
      <c r="N268" t="s">
        <v>15</v>
      </c>
      <c r="R268">
        <v>21471</v>
      </c>
      <c r="S268" t="s">
        <v>35</v>
      </c>
      <c r="T268" t="s">
        <v>38</v>
      </c>
      <c r="U268" s="4">
        <v>70000</v>
      </c>
      <c r="V268">
        <v>2</v>
      </c>
      <c r="W268" t="s">
        <v>19</v>
      </c>
      <c r="X268" t="s">
        <v>21</v>
      </c>
      <c r="Y268" t="s">
        <v>15</v>
      </c>
      <c r="Z268">
        <v>1</v>
      </c>
      <c r="AA268" t="s">
        <v>42</v>
      </c>
      <c r="AB268" t="s">
        <v>31</v>
      </c>
      <c r="AC268">
        <v>59</v>
      </c>
      <c r="AD268" t="s">
        <v>45</v>
      </c>
      <c r="BL268">
        <v>28657</v>
      </c>
      <c r="BM268" t="s">
        <v>36</v>
      </c>
      <c r="BN268" t="s">
        <v>38</v>
      </c>
      <c r="BO268" s="4">
        <v>60000</v>
      </c>
      <c r="BP268" s="4">
        <v>60000</v>
      </c>
      <c r="BQ268">
        <v>2</v>
      </c>
      <c r="BR268" t="s">
        <v>14</v>
      </c>
      <c r="BS268" t="s">
        <v>15</v>
      </c>
      <c r="BT268">
        <v>36</v>
      </c>
    </row>
    <row r="269" spans="1:72" x14ac:dyDescent="0.25">
      <c r="A269">
        <v>27441</v>
      </c>
      <c r="B269" t="s">
        <v>35</v>
      </c>
      <c r="C269" t="s">
        <v>38</v>
      </c>
      <c r="D269" s="11">
        <v>60000</v>
      </c>
      <c r="E269">
        <v>3</v>
      </c>
      <c r="F269" t="s">
        <v>27</v>
      </c>
      <c r="G269" t="s">
        <v>21</v>
      </c>
      <c r="H269" t="s">
        <v>18</v>
      </c>
      <c r="I269">
        <v>2</v>
      </c>
      <c r="J269" t="s">
        <v>22</v>
      </c>
      <c r="K269" t="s">
        <v>31</v>
      </c>
      <c r="L269">
        <v>53</v>
      </c>
      <c r="M269" t="str">
        <f t="shared" si="4"/>
        <v>MIddleAge</v>
      </c>
      <c r="N269" t="s">
        <v>18</v>
      </c>
      <c r="R269">
        <v>20430</v>
      </c>
      <c r="S269" t="s">
        <v>35</v>
      </c>
      <c r="T269" t="s">
        <v>38</v>
      </c>
      <c r="U269" s="4">
        <v>70000</v>
      </c>
      <c r="V269">
        <v>2</v>
      </c>
      <c r="W269" t="s">
        <v>19</v>
      </c>
      <c r="X269" t="s">
        <v>14</v>
      </c>
      <c r="Y269" t="s">
        <v>15</v>
      </c>
      <c r="Z269">
        <v>2</v>
      </c>
      <c r="AA269" t="s">
        <v>23</v>
      </c>
      <c r="AB269" t="s">
        <v>24</v>
      </c>
      <c r="AC269">
        <v>52</v>
      </c>
      <c r="AD269" t="s">
        <v>44</v>
      </c>
      <c r="BL269">
        <v>28052</v>
      </c>
      <c r="BM269" t="s">
        <v>35</v>
      </c>
      <c r="BN269" t="s">
        <v>38</v>
      </c>
      <c r="BO269" s="4">
        <v>60000</v>
      </c>
      <c r="BP269" s="4">
        <v>60000</v>
      </c>
      <c r="BQ269">
        <v>2</v>
      </c>
      <c r="BR269" t="s">
        <v>21</v>
      </c>
      <c r="BS269" t="s">
        <v>15</v>
      </c>
      <c r="BT269">
        <v>55</v>
      </c>
    </row>
    <row r="270" spans="1:72" x14ac:dyDescent="0.25">
      <c r="A270">
        <v>27388</v>
      </c>
      <c r="B270" t="s">
        <v>35</v>
      </c>
      <c r="C270" t="s">
        <v>38</v>
      </c>
      <c r="D270" s="11">
        <v>60000</v>
      </c>
      <c r="E270">
        <v>3</v>
      </c>
      <c r="F270" t="s">
        <v>13</v>
      </c>
      <c r="G270" t="s">
        <v>28</v>
      </c>
      <c r="H270" t="s">
        <v>18</v>
      </c>
      <c r="I270">
        <v>2</v>
      </c>
      <c r="J270" t="s">
        <v>26</v>
      </c>
      <c r="K270" t="s">
        <v>31</v>
      </c>
      <c r="L270">
        <v>66</v>
      </c>
      <c r="M270" t="str">
        <f t="shared" si="4"/>
        <v>Old</v>
      </c>
      <c r="N270" t="s">
        <v>18</v>
      </c>
      <c r="R270">
        <v>19889</v>
      </c>
      <c r="S270" t="s">
        <v>36</v>
      </c>
      <c r="T270" t="s">
        <v>37</v>
      </c>
      <c r="U270" s="4">
        <v>70000</v>
      </c>
      <c r="V270">
        <v>2</v>
      </c>
      <c r="W270" t="s">
        <v>29</v>
      </c>
      <c r="X270" t="s">
        <v>14</v>
      </c>
      <c r="Y270" t="s">
        <v>18</v>
      </c>
      <c r="Z270">
        <v>2</v>
      </c>
      <c r="AA270" t="s">
        <v>22</v>
      </c>
      <c r="AB270" t="s">
        <v>31</v>
      </c>
      <c r="AC270">
        <v>54</v>
      </c>
      <c r="AD270" t="s">
        <v>44</v>
      </c>
      <c r="BL270">
        <v>28043</v>
      </c>
      <c r="BM270" t="s">
        <v>35</v>
      </c>
      <c r="BN270" t="s">
        <v>37</v>
      </c>
      <c r="BO270" s="4">
        <v>60000</v>
      </c>
      <c r="BP270" s="4">
        <v>60000</v>
      </c>
      <c r="BQ270">
        <v>2</v>
      </c>
      <c r="BR270" t="s">
        <v>28</v>
      </c>
      <c r="BS270" t="s">
        <v>15</v>
      </c>
      <c r="BT270">
        <v>56</v>
      </c>
    </row>
    <row r="271" spans="1:72" x14ac:dyDescent="0.25">
      <c r="A271">
        <v>24943</v>
      </c>
      <c r="B271" t="s">
        <v>35</v>
      </c>
      <c r="C271" t="s">
        <v>38</v>
      </c>
      <c r="D271" s="11">
        <v>60000</v>
      </c>
      <c r="E271">
        <v>3</v>
      </c>
      <c r="F271" t="s">
        <v>13</v>
      </c>
      <c r="G271" t="s">
        <v>28</v>
      </c>
      <c r="H271" t="s">
        <v>15</v>
      </c>
      <c r="I271">
        <v>2</v>
      </c>
      <c r="J271" t="s">
        <v>42</v>
      </c>
      <c r="K271" t="s">
        <v>31</v>
      </c>
      <c r="L271">
        <v>66</v>
      </c>
      <c r="M271" t="str">
        <f t="shared" si="4"/>
        <v>Old</v>
      </c>
      <c r="N271" t="s">
        <v>18</v>
      </c>
      <c r="R271">
        <v>11061</v>
      </c>
      <c r="S271" t="s">
        <v>35</v>
      </c>
      <c r="T271" t="s">
        <v>38</v>
      </c>
      <c r="U271" s="4">
        <v>70000</v>
      </c>
      <c r="V271">
        <v>2</v>
      </c>
      <c r="W271" t="s">
        <v>19</v>
      </c>
      <c r="X271" t="s">
        <v>14</v>
      </c>
      <c r="Y271" t="s">
        <v>15</v>
      </c>
      <c r="Z271">
        <v>2</v>
      </c>
      <c r="AA271" t="s">
        <v>23</v>
      </c>
      <c r="AB271" t="s">
        <v>24</v>
      </c>
      <c r="AC271">
        <v>52</v>
      </c>
      <c r="AD271" t="s">
        <v>44</v>
      </c>
      <c r="BL271">
        <v>26663</v>
      </c>
      <c r="BM271" t="s">
        <v>36</v>
      </c>
      <c r="BN271" t="s">
        <v>37</v>
      </c>
      <c r="BO271" s="4">
        <v>60000</v>
      </c>
      <c r="BP271" s="4">
        <v>60000</v>
      </c>
      <c r="BQ271">
        <v>2</v>
      </c>
      <c r="BR271" t="s">
        <v>21</v>
      </c>
      <c r="BS271" t="s">
        <v>18</v>
      </c>
      <c r="BT271">
        <v>39</v>
      </c>
    </row>
    <row r="272" spans="1:72" x14ac:dyDescent="0.25">
      <c r="A272">
        <v>24941</v>
      </c>
      <c r="B272" t="s">
        <v>35</v>
      </c>
      <c r="C272" t="s">
        <v>38</v>
      </c>
      <c r="D272" s="11">
        <v>60000</v>
      </c>
      <c r="E272">
        <v>3</v>
      </c>
      <c r="F272" t="s">
        <v>13</v>
      </c>
      <c r="G272" t="s">
        <v>28</v>
      </c>
      <c r="H272" t="s">
        <v>15</v>
      </c>
      <c r="I272">
        <v>2</v>
      </c>
      <c r="J272" t="s">
        <v>42</v>
      </c>
      <c r="K272" t="s">
        <v>31</v>
      </c>
      <c r="L272">
        <v>66</v>
      </c>
      <c r="M272" t="str">
        <f t="shared" si="4"/>
        <v>Old</v>
      </c>
      <c r="N272" t="s">
        <v>18</v>
      </c>
      <c r="R272">
        <v>28228</v>
      </c>
      <c r="S272" t="s">
        <v>36</v>
      </c>
      <c r="T272" t="s">
        <v>37</v>
      </c>
      <c r="U272" s="4">
        <v>80000</v>
      </c>
      <c r="V272">
        <v>2</v>
      </c>
      <c r="W272" t="s">
        <v>29</v>
      </c>
      <c r="X272" t="s">
        <v>14</v>
      </c>
      <c r="Y272" t="s">
        <v>18</v>
      </c>
      <c r="Z272">
        <v>2</v>
      </c>
      <c r="AA272" t="s">
        <v>26</v>
      </c>
      <c r="AB272" t="s">
        <v>31</v>
      </c>
      <c r="AC272">
        <v>50</v>
      </c>
      <c r="AD272" t="s">
        <v>44</v>
      </c>
      <c r="BL272">
        <v>26305</v>
      </c>
      <c r="BM272" t="s">
        <v>36</v>
      </c>
      <c r="BN272" t="s">
        <v>37</v>
      </c>
      <c r="BO272" s="4">
        <v>60000</v>
      </c>
      <c r="BP272" s="4">
        <v>60000</v>
      </c>
      <c r="BQ272">
        <v>2</v>
      </c>
      <c r="BR272" t="s">
        <v>14</v>
      </c>
      <c r="BS272" t="s">
        <v>18</v>
      </c>
      <c r="BT272">
        <v>36</v>
      </c>
    </row>
    <row r="273" spans="1:72" x14ac:dyDescent="0.25">
      <c r="A273">
        <v>23672</v>
      </c>
      <c r="B273" t="s">
        <v>35</v>
      </c>
      <c r="C273" t="s">
        <v>37</v>
      </c>
      <c r="D273" s="11">
        <v>60000</v>
      </c>
      <c r="E273">
        <v>3</v>
      </c>
      <c r="F273" t="s">
        <v>30</v>
      </c>
      <c r="G273" t="s">
        <v>28</v>
      </c>
      <c r="H273" t="s">
        <v>15</v>
      </c>
      <c r="I273">
        <v>2</v>
      </c>
      <c r="J273" t="s">
        <v>26</v>
      </c>
      <c r="K273" t="s">
        <v>31</v>
      </c>
      <c r="L273">
        <v>67</v>
      </c>
      <c r="M273" t="str">
        <f t="shared" si="4"/>
        <v>Old</v>
      </c>
      <c r="N273" t="s">
        <v>18</v>
      </c>
      <c r="R273">
        <v>28066</v>
      </c>
      <c r="S273" t="s">
        <v>35</v>
      </c>
      <c r="T273" t="s">
        <v>38</v>
      </c>
      <c r="U273" s="4">
        <v>80000</v>
      </c>
      <c r="V273">
        <v>2</v>
      </c>
      <c r="W273" t="s">
        <v>30</v>
      </c>
      <c r="X273" t="s">
        <v>21</v>
      </c>
      <c r="Y273" t="s">
        <v>15</v>
      </c>
      <c r="Z273">
        <v>0</v>
      </c>
      <c r="AA273" t="s">
        <v>16</v>
      </c>
      <c r="AB273" t="s">
        <v>31</v>
      </c>
      <c r="AC273">
        <v>37</v>
      </c>
      <c r="AD273" t="s">
        <v>44</v>
      </c>
      <c r="BL273">
        <v>25886</v>
      </c>
      <c r="BM273" t="s">
        <v>35</v>
      </c>
      <c r="BN273" t="s">
        <v>37</v>
      </c>
      <c r="BO273" s="4">
        <v>60000</v>
      </c>
      <c r="BP273" s="4">
        <v>60000</v>
      </c>
      <c r="BQ273">
        <v>2</v>
      </c>
      <c r="BR273" t="s">
        <v>21</v>
      </c>
      <c r="BS273" t="s">
        <v>15</v>
      </c>
      <c r="BT273">
        <v>56</v>
      </c>
    </row>
    <row r="274" spans="1:72" x14ac:dyDescent="0.25">
      <c r="A274">
        <v>23217</v>
      </c>
      <c r="B274" t="s">
        <v>36</v>
      </c>
      <c r="C274" t="s">
        <v>37</v>
      </c>
      <c r="D274" s="11">
        <v>60000</v>
      </c>
      <c r="E274">
        <v>3</v>
      </c>
      <c r="F274" t="s">
        <v>30</v>
      </c>
      <c r="G274" t="s">
        <v>21</v>
      </c>
      <c r="H274" t="s">
        <v>15</v>
      </c>
      <c r="I274">
        <v>0</v>
      </c>
      <c r="J274" t="s">
        <v>22</v>
      </c>
      <c r="K274" t="s">
        <v>31</v>
      </c>
      <c r="L274">
        <v>43</v>
      </c>
      <c r="M274" t="str">
        <f t="shared" si="4"/>
        <v>MIddleAge</v>
      </c>
      <c r="N274" t="s">
        <v>15</v>
      </c>
      <c r="R274">
        <v>27585</v>
      </c>
      <c r="S274" t="s">
        <v>35</v>
      </c>
      <c r="T274" t="s">
        <v>37</v>
      </c>
      <c r="U274" s="4">
        <v>90000</v>
      </c>
      <c r="V274">
        <v>2</v>
      </c>
      <c r="W274" t="s">
        <v>13</v>
      </c>
      <c r="X274" t="s">
        <v>21</v>
      </c>
      <c r="Y274" t="s">
        <v>18</v>
      </c>
      <c r="Z274">
        <v>0</v>
      </c>
      <c r="AA274" t="s">
        <v>16</v>
      </c>
      <c r="AB274" t="s">
        <v>24</v>
      </c>
      <c r="AC274">
        <v>36</v>
      </c>
      <c r="AD274" t="s">
        <v>44</v>
      </c>
      <c r="BL274">
        <v>25148</v>
      </c>
      <c r="BM274" t="s">
        <v>35</v>
      </c>
      <c r="BN274" t="s">
        <v>38</v>
      </c>
      <c r="BO274" s="4">
        <v>60000</v>
      </c>
      <c r="BP274" s="4">
        <v>60000</v>
      </c>
      <c r="BQ274">
        <v>2</v>
      </c>
      <c r="BR274" t="s">
        <v>21</v>
      </c>
      <c r="BS274" t="s">
        <v>18</v>
      </c>
      <c r="BT274">
        <v>48</v>
      </c>
    </row>
    <row r="275" spans="1:72" x14ac:dyDescent="0.25">
      <c r="A275">
        <v>22127</v>
      </c>
      <c r="B275" t="s">
        <v>35</v>
      </c>
      <c r="C275" t="s">
        <v>38</v>
      </c>
      <c r="D275" s="11">
        <v>60000</v>
      </c>
      <c r="E275">
        <v>3</v>
      </c>
      <c r="F275" t="s">
        <v>30</v>
      </c>
      <c r="G275" t="s">
        <v>28</v>
      </c>
      <c r="H275" t="s">
        <v>15</v>
      </c>
      <c r="I275">
        <v>2</v>
      </c>
      <c r="J275" t="s">
        <v>26</v>
      </c>
      <c r="K275" t="s">
        <v>31</v>
      </c>
      <c r="L275">
        <v>67</v>
      </c>
      <c r="M275" t="str">
        <f t="shared" si="4"/>
        <v>Old</v>
      </c>
      <c r="N275" t="s">
        <v>18</v>
      </c>
      <c r="R275">
        <v>27582</v>
      </c>
      <c r="S275" t="s">
        <v>36</v>
      </c>
      <c r="T275" t="s">
        <v>37</v>
      </c>
      <c r="U275" s="4">
        <v>90000</v>
      </c>
      <c r="V275">
        <v>2</v>
      </c>
      <c r="W275" t="s">
        <v>13</v>
      </c>
      <c r="X275" t="s">
        <v>21</v>
      </c>
      <c r="Y275" t="s">
        <v>18</v>
      </c>
      <c r="Z275">
        <v>0</v>
      </c>
      <c r="AA275" t="s">
        <v>16</v>
      </c>
      <c r="AB275" t="s">
        <v>24</v>
      </c>
      <c r="AC275">
        <v>36</v>
      </c>
      <c r="AD275" t="s">
        <v>44</v>
      </c>
      <c r="BL275">
        <v>24981</v>
      </c>
      <c r="BM275" t="s">
        <v>35</v>
      </c>
      <c r="BN275" t="s">
        <v>38</v>
      </c>
      <c r="BO275" s="4">
        <v>60000</v>
      </c>
      <c r="BP275" s="4">
        <v>60000</v>
      </c>
      <c r="BQ275">
        <v>2</v>
      </c>
      <c r="BR275" t="s">
        <v>21</v>
      </c>
      <c r="BS275" t="s">
        <v>15</v>
      </c>
      <c r="BT275">
        <v>56</v>
      </c>
    </row>
    <row r="276" spans="1:72" x14ac:dyDescent="0.25">
      <c r="A276">
        <v>21752</v>
      </c>
      <c r="B276" t="s">
        <v>35</v>
      </c>
      <c r="C276" t="s">
        <v>38</v>
      </c>
      <c r="D276" s="11">
        <v>60000</v>
      </c>
      <c r="E276">
        <v>3</v>
      </c>
      <c r="F276" t="s">
        <v>30</v>
      </c>
      <c r="G276" t="s">
        <v>28</v>
      </c>
      <c r="H276" t="s">
        <v>15</v>
      </c>
      <c r="I276">
        <v>2</v>
      </c>
      <c r="J276" t="s">
        <v>42</v>
      </c>
      <c r="K276" t="s">
        <v>31</v>
      </c>
      <c r="L276">
        <v>64</v>
      </c>
      <c r="M276" t="str">
        <f t="shared" si="4"/>
        <v>Old</v>
      </c>
      <c r="N276" t="s">
        <v>18</v>
      </c>
      <c r="R276">
        <v>26944</v>
      </c>
      <c r="S276" t="s">
        <v>36</v>
      </c>
      <c r="T276" t="s">
        <v>38</v>
      </c>
      <c r="U276" s="4">
        <v>90000</v>
      </c>
      <c r="V276">
        <v>2</v>
      </c>
      <c r="W276" t="s">
        <v>27</v>
      </c>
      <c r="X276" t="s">
        <v>25</v>
      </c>
      <c r="Y276" t="s">
        <v>15</v>
      </c>
      <c r="Z276">
        <v>0</v>
      </c>
      <c r="AA276" t="s">
        <v>16</v>
      </c>
      <c r="AB276" t="s">
        <v>17</v>
      </c>
      <c r="AC276">
        <v>36</v>
      </c>
      <c r="AD276" t="s">
        <v>44</v>
      </c>
      <c r="BL276">
        <v>24979</v>
      </c>
      <c r="BM276" t="s">
        <v>35</v>
      </c>
      <c r="BN276" t="s">
        <v>37</v>
      </c>
      <c r="BO276" s="4">
        <v>60000</v>
      </c>
      <c r="BP276" s="4">
        <v>60000</v>
      </c>
      <c r="BQ276">
        <v>2</v>
      </c>
      <c r="BR276" t="s">
        <v>21</v>
      </c>
      <c r="BS276" t="s">
        <v>15</v>
      </c>
      <c r="BT276">
        <v>57</v>
      </c>
    </row>
    <row r="277" spans="1:72" x14ac:dyDescent="0.25">
      <c r="A277">
        <v>21751</v>
      </c>
      <c r="B277" t="s">
        <v>35</v>
      </c>
      <c r="C277" t="s">
        <v>38</v>
      </c>
      <c r="D277" s="11">
        <v>60000</v>
      </c>
      <c r="E277">
        <v>3</v>
      </c>
      <c r="F277" t="s">
        <v>30</v>
      </c>
      <c r="G277" t="s">
        <v>28</v>
      </c>
      <c r="H277" t="s">
        <v>15</v>
      </c>
      <c r="I277">
        <v>2</v>
      </c>
      <c r="J277" t="s">
        <v>26</v>
      </c>
      <c r="K277" t="s">
        <v>31</v>
      </c>
      <c r="L277">
        <v>63</v>
      </c>
      <c r="M277" t="str">
        <f t="shared" si="4"/>
        <v>Old</v>
      </c>
      <c r="N277" t="s">
        <v>18</v>
      </c>
      <c r="R277">
        <v>25241</v>
      </c>
      <c r="S277" t="s">
        <v>35</v>
      </c>
      <c r="T277" t="s">
        <v>38</v>
      </c>
      <c r="U277" s="4">
        <v>90000</v>
      </c>
      <c r="V277">
        <v>2</v>
      </c>
      <c r="W277" t="s">
        <v>13</v>
      </c>
      <c r="X277" t="s">
        <v>21</v>
      </c>
      <c r="Y277" t="s">
        <v>15</v>
      </c>
      <c r="Z277">
        <v>1</v>
      </c>
      <c r="AA277" t="s">
        <v>23</v>
      </c>
      <c r="AB277" t="s">
        <v>24</v>
      </c>
      <c r="AC277">
        <v>47</v>
      </c>
      <c r="AD277" t="s">
        <v>44</v>
      </c>
      <c r="BL277">
        <v>23731</v>
      </c>
      <c r="BM277" t="s">
        <v>35</v>
      </c>
      <c r="BN277" t="s">
        <v>38</v>
      </c>
      <c r="BO277" s="4">
        <v>60000</v>
      </c>
      <c r="BP277" s="4">
        <v>60000</v>
      </c>
      <c r="BQ277" s="1">
        <v>2</v>
      </c>
      <c r="BR277" t="s">
        <v>21</v>
      </c>
      <c r="BS277" t="s">
        <v>15</v>
      </c>
      <c r="BT277">
        <v>54</v>
      </c>
    </row>
    <row r="278" spans="1:72" x14ac:dyDescent="0.25">
      <c r="A278">
        <v>21660</v>
      </c>
      <c r="B278" t="s">
        <v>35</v>
      </c>
      <c r="C278" t="s">
        <v>37</v>
      </c>
      <c r="D278" s="11">
        <v>60000</v>
      </c>
      <c r="E278">
        <v>3</v>
      </c>
      <c r="F278" t="s">
        <v>30</v>
      </c>
      <c r="G278" t="s">
        <v>21</v>
      </c>
      <c r="H278" t="s">
        <v>15</v>
      </c>
      <c r="I278">
        <v>0</v>
      </c>
      <c r="J278" t="s">
        <v>22</v>
      </c>
      <c r="K278" t="s">
        <v>31</v>
      </c>
      <c r="L278">
        <v>43</v>
      </c>
      <c r="M278" t="str">
        <f t="shared" si="4"/>
        <v>MIddleAge</v>
      </c>
      <c r="N278" t="s">
        <v>15</v>
      </c>
      <c r="R278">
        <v>11090</v>
      </c>
      <c r="S278" t="s">
        <v>36</v>
      </c>
      <c r="T278" t="s">
        <v>38</v>
      </c>
      <c r="U278" s="4">
        <v>90000</v>
      </c>
      <c r="V278">
        <v>2</v>
      </c>
      <c r="W278" t="s">
        <v>19</v>
      </c>
      <c r="X278" t="s">
        <v>21</v>
      </c>
      <c r="Y278" t="s">
        <v>15</v>
      </c>
      <c r="Z278">
        <v>1</v>
      </c>
      <c r="AA278" t="s">
        <v>22</v>
      </c>
      <c r="AB278" t="s">
        <v>31</v>
      </c>
      <c r="AC278">
        <v>48</v>
      </c>
      <c r="AD278" t="s">
        <v>44</v>
      </c>
      <c r="BL278">
        <v>23459</v>
      </c>
      <c r="BM278" t="s">
        <v>35</v>
      </c>
      <c r="BN278" t="s">
        <v>38</v>
      </c>
      <c r="BO278" s="4">
        <v>60000</v>
      </c>
      <c r="BP278" s="4">
        <v>60000</v>
      </c>
      <c r="BQ278">
        <v>2</v>
      </c>
      <c r="BR278" t="s">
        <v>21</v>
      </c>
      <c r="BS278" t="s">
        <v>15</v>
      </c>
      <c r="BT278">
        <v>50</v>
      </c>
    </row>
    <row r="279" spans="1:72" x14ac:dyDescent="0.25">
      <c r="A279">
        <v>20678</v>
      </c>
      <c r="B279" t="s">
        <v>36</v>
      </c>
      <c r="C279" t="s">
        <v>37</v>
      </c>
      <c r="D279" s="11">
        <v>60000</v>
      </c>
      <c r="E279">
        <v>3</v>
      </c>
      <c r="F279" t="s">
        <v>13</v>
      </c>
      <c r="G279" t="s">
        <v>14</v>
      </c>
      <c r="H279" t="s">
        <v>15</v>
      </c>
      <c r="I279">
        <v>1</v>
      </c>
      <c r="J279" t="s">
        <v>22</v>
      </c>
      <c r="K279" t="s">
        <v>31</v>
      </c>
      <c r="L279">
        <v>40</v>
      </c>
      <c r="M279" t="str">
        <f t="shared" si="4"/>
        <v>MIddleAge</v>
      </c>
      <c r="N279" t="s">
        <v>15</v>
      </c>
      <c r="R279">
        <v>11000</v>
      </c>
      <c r="S279" t="s">
        <v>35</v>
      </c>
      <c r="T279" t="s">
        <v>38</v>
      </c>
      <c r="U279" s="4">
        <v>90000</v>
      </c>
      <c r="V279">
        <v>2</v>
      </c>
      <c r="W279" t="s">
        <v>13</v>
      </c>
      <c r="X279" t="s">
        <v>21</v>
      </c>
      <c r="Y279" t="s">
        <v>15</v>
      </c>
      <c r="Z279">
        <v>0</v>
      </c>
      <c r="AA279" t="s">
        <v>26</v>
      </c>
      <c r="AB279" t="s">
        <v>24</v>
      </c>
      <c r="AC279">
        <v>40</v>
      </c>
      <c r="AD279" t="s">
        <v>44</v>
      </c>
      <c r="BL279">
        <v>23449</v>
      </c>
      <c r="BM279" t="s">
        <v>35</v>
      </c>
      <c r="BN279" t="s">
        <v>38</v>
      </c>
      <c r="BO279" s="4">
        <v>60000</v>
      </c>
      <c r="BP279" s="4">
        <v>60000</v>
      </c>
      <c r="BQ279">
        <v>2</v>
      </c>
      <c r="BR279" t="s">
        <v>21</v>
      </c>
      <c r="BS279" t="s">
        <v>15</v>
      </c>
      <c r="BT279">
        <v>48</v>
      </c>
    </row>
    <row r="280" spans="1:72" x14ac:dyDescent="0.25">
      <c r="A280">
        <v>20380</v>
      </c>
      <c r="B280" t="s">
        <v>35</v>
      </c>
      <c r="C280" t="s">
        <v>37</v>
      </c>
      <c r="D280" s="11">
        <v>60000</v>
      </c>
      <c r="E280">
        <v>3</v>
      </c>
      <c r="F280" t="s">
        <v>30</v>
      </c>
      <c r="G280" t="s">
        <v>28</v>
      </c>
      <c r="H280" t="s">
        <v>15</v>
      </c>
      <c r="I280">
        <v>2</v>
      </c>
      <c r="J280" t="s">
        <v>42</v>
      </c>
      <c r="K280" t="s">
        <v>31</v>
      </c>
      <c r="L280">
        <v>69</v>
      </c>
      <c r="M280" t="str">
        <f t="shared" si="4"/>
        <v>Old</v>
      </c>
      <c r="N280" t="s">
        <v>18</v>
      </c>
      <c r="R280">
        <v>14507</v>
      </c>
      <c r="S280" t="s">
        <v>35</v>
      </c>
      <c r="T280" t="s">
        <v>38</v>
      </c>
      <c r="U280" s="4">
        <v>100000</v>
      </c>
      <c r="V280">
        <v>2</v>
      </c>
      <c r="W280" t="s">
        <v>30</v>
      </c>
      <c r="X280" t="s">
        <v>28</v>
      </c>
      <c r="Y280" t="s">
        <v>15</v>
      </c>
      <c r="Z280">
        <v>3</v>
      </c>
      <c r="AA280" t="s">
        <v>26</v>
      </c>
      <c r="AB280" t="s">
        <v>31</v>
      </c>
      <c r="AC280">
        <v>65</v>
      </c>
      <c r="AD280" t="s">
        <v>45</v>
      </c>
      <c r="BL280">
        <v>22227</v>
      </c>
      <c r="BM280" t="s">
        <v>35</v>
      </c>
      <c r="BN280" t="s">
        <v>37</v>
      </c>
      <c r="BO280" s="4">
        <v>60000</v>
      </c>
      <c r="BP280" s="4">
        <v>60000</v>
      </c>
      <c r="BQ280">
        <v>2</v>
      </c>
      <c r="BR280" t="s">
        <v>21</v>
      </c>
      <c r="BS280" t="s">
        <v>15</v>
      </c>
      <c r="BT280">
        <v>50</v>
      </c>
    </row>
    <row r="281" spans="1:72" x14ac:dyDescent="0.25">
      <c r="A281">
        <v>20236</v>
      </c>
      <c r="B281" t="s">
        <v>36</v>
      </c>
      <c r="C281" t="s">
        <v>38</v>
      </c>
      <c r="D281" s="11">
        <v>60000</v>
      </c>
      <c r="E281">
        <v>3</v>
      </c>
      <c r="F281" t="s">
        <v>13</v>
      </c>
      <c r="G281" t="s">
        <v>21</v>
      </c>
      <c r="H281" t="s">
        <v>18</v>
      </c>
      <c r="I281">
        <v>2</v>
      </c>
      <c r="J281" t="s">
        <v>16</v>
      </c>
      <c r="K281" t="s">
        <v>24</v>
      </c>
      <c r="L281">
        <v>43</v>
      </c>
      <c r="M281" t="str">
        <f t="shared" si="4"/>
        <v>MIddleAge</v>
      </c>
      <c r="N281" t="s">
        <v>15</v>
      </c>
      <c r="R281">
        <v>27304</v>
      </c>
      <c r="S281" t="s">
        <v>36</v>
      </c>
      <c r="T281" t="s">
        <v>37</v>
      </c>
      <c r="U281" s="4">
        <v>110000</v>
      </c>
      <c r="V281">
        <v>2</v>
      </c>
      <c r="W281" t="s">
        <v>19</v>
      </c>
      <c r="X281" t="s">
        <v>21</v>
      </c>
      <c r="Y281" t="s">
        <v>18</v>
      </c>
      <c r="Z281">
        <v>3</v>
      </c>
      <c r="AA281" t="s">
        <v>23</v>
      </c>
      <c r="AB281" t="s">
        <v>17</v>
      </c>
      <c r="AC281">
        <v>48</v>
      </c>
      <c r="AD281" t="s">
        <v>44</v>
      </c>
      <c r="BL281">
        <v>22221</v>
      </c>
      <c r="BM281" t="s">
        <v>35</v>
      </c>
      <c r="BN281" t="s">
        <v>38</v>
      </c>
      <c r="BO281" s="4">
        <v>60000</v>
      </c>
      <c r="BP281" s="4">
        <v>60000</v>
      </c>
      <c r="BQ281">
        <v>2</v>
      </c>
      <c r="BR281" t="s">
        <v>21</v>
      </c>
      <c r="BS281" t="s">
        <v>18</v>
      </c>
      <c r="BT281">
        <v>48</v>
      </c>
    </row>
    <row r="282" spans="1:72" x14ac:dyDescent="0.25">
      <c r="A282">
        <v>19413</v>
      </c>
      <c r="B282" t="s">
        <v>36</v>
      </c>
      <c r="C282" t="s">
        <v>38</v>
      </c>
      <c r="D282" s="11">
        <v>60000</v>
      </c>
      <c r="E282">
        <v>3</v>
      </c>
      <c r="F282" t="s">
        <v>13</v>
      </c>
      <c r="G282" t="s">
        <v>21</v>
      </c>
      <c r="H282" t="s">
        <v>18</v>
      </c>
      <c r="I282">
        <v>1</v>
      </c>
      <c r="J282" t="s">
        <v>16</v>
      </c>
      <c r="K282" t="s">
        <v>31</v>
      </c>
      <c r="L282">
        <v>47</v>
      </c>
      <c r="M282" t="str">
        <f t="shared" si="4"/>
        <v>MIddleAge</v>
      </c>
      <c r="N282" t="s">
        <v>15</v>
      </c>
      <c r="R282">
        <v>19280</v>
      </c>
      <c r="S282" t="s">
        <v>35</v>
      </c>
      <c r="T282" t="s">
        <v>38</v>
      </c>
      <c r="U282" s="4">
        <v>120000</v>
      </c>
      <c r="V282">
        <v>2</v>
      </c>
      <c r="W282" t="s">
        <v>19</v>
      </c>
      <c r="X282" t="s">
        <v>25</v>
      </c>
      <c r="Y282" t="s">
        <v>15</v>
      </c>
      <c r="Z282">
        <v>1</v>
      </c>
      <c r="AA282" t="s">
        <v>16</v>
      </c>
      <c r="AB282" t="s">
        <v>17</v>
      </c>
      <c r="AC282">
        <v>40</v>
      </c>
      <c r="AD282" t="s">
        <v>44</v>
      </c>
      <c r="BL282">
        <v>22220</v>
      </c>
      <c r="BM282" t="s">
        <v>35</v>
      </c>
      <c r="BN282" t="s">
        <v>38</v>
      </c>
      <c r="BO282" s="4">
        <v>60000</v>
      </c>
      <c r="BP282" s="4">
        <v>60000</v>
      </c>
      <c r="BQ282">
        <v>2</v>
      </c>
      <c r="BR282" t="s">
        <v>21</v>
      </c>
      <c r="BS282" t="s">
        <v>18</v>
      </c>
      <c r="BT282">
        <v>49</v>
      </c>
    </row>
    <row r="283" spans="1:72" x14ac:dyDescent="0.25">
      <c r="A283">
        <v>18267</v>
      </c>
      <c r="B283" t="s">
        <v>35</v>
      </c>
      <c r="C283" t="s">
        <v>38</v>
      </c>
      <c r="D283" s="11">
        <v>60000</v>
      </c>
      <c r="E283">
        <v>3</v>
      </c>
      <c r="F283" t="s">
        <v>13</v>
      </c>
      <c r="G283" t="s">
        <v>21</v>
      </c>
      <c r="H283" t="s">
        <v>15</v>
      </c>
      <c r="I283">
        <v>2</v>
      </c>
      <c r="J283" t="s">
        <v>23</v>
      </c>
      <c r="K283" t="s">
        <v>24</v>
      </c>
      <c r="L283">
        <v>43</v>
      </c>
      <c r="M283" t="str">
        <f t="shared" si="4"/>
        <v>MIddleAge</v>
      </c>
      <c r="N283" t="s">
        <v>18</v>
      </c>
      <c r="R283">
        <v>12056</v>
      </c>
      <c r="S283" t="s">
        <v>35</v>
      </c>
      <c r="T283" t="s">
        <v>38</v>
      </c>
      <c r="U283" s="4">
        <v>120000</v>
      </c>
      <c r="V283">
        <v>2</v>
      </c>
      <c r="W283" t="s">
        <v>30</v>
      </c>
      <c r="X283" t="s">
        <v>28</v>
      </c>
      <c r="Y283" t="s">
        <v>15</v>
      </c>
      <c r="Z283">
        <v>3</v>
      </c>
      <c r="AA283" t="s">
        <v>23</v>
      </c>
      <c r="AB283" t="s">
        <v>31</v>
      </c>
      <c r="AC283">
        <v>64</v>
      </c>
      <c r="AD283" t="s">
        <v>45</v>
      </c>
      <c r="BL283">
        <v>22219</v>
      </c>
      <c r="BM283" t="s">
        <v>35</v>
      </c>
      <c r="BN283" t="s">
        <v>37</v>
      </c>
      <c r="BO283" s="4">
        <v>60000</v>
      </c>
      <c r="BP283" s="4">
        <v>60000</v>
      </c>
      <c r="BQ283">
        <v>2</v>
      </c>
      <c r="BR283" t="s">
        <v>21</v>
      </c>
      <c r="BS283" t="s">
        <v>15</v>
      </c>
      <c r="BT283">
        <v>49</v>
      </c>
    </row>
    <row r="284" spans="1:72" x14ac:dyDescent="0.25">
      <c r="A284">
        <v>17269</v>
      </c>
      <c r="B284" t="s">
        <v>36</v>
      </c>
      <c r="C284" t="s">
        <v>38</v>
      </c>
      <c r="D284" s="11">
        <v>60000</v>
      </c>
      <c r="E284">
        <v>3</v>
      </c>
      <c r="F284" t="s">
        <v>13</v>
      </c>
      <c r="G284" t="s">
        <v>21</v>
      </c>
      <c r="H284" t="s">
        <v>18</v>
      </c>
      <c r="I284">
        <v>0</v>
      </c>
      <c r="J284" t="s">
        <v>16</v>
      </c>
      <c r="K284" t="s">
        <v>31</v>
      </c>
      <c r="L284">
        <v>47</v>
      </c>
      <c r="M284" t="str">
        <f t="shared" si="4"/>
        <v>MIddleAge</v>
      </c>
      <c r="N284" t="s">
        <v>15</v>
      </c>
      <c r="R284">
        <v>15412</v>
      </c>
      <c r="S284" t="s">
        <v>35</v>
      </c>
      <c r="T284" t="s">
        <v>38</v>
      </c>
      <c r="U284" s="4">
        <v>130000</v>
      </c>
      <c r="V284">
        <v>2</v>
      </c>
      <c r="W284" t="s">
        <v>30</v>
      </c>
      <c r="X284" t="s">
        <v>28</v>
      </c>
      <c r="Y284" t="s">
        <v>15</v>
      </c>
      <c r="Z284">
        <v>3</v>
      </c>
      <c r="AA284" t="s">
        <v>22</v>
      </c>
      <c r="AB284" t="s">
        <v>31</v>
      </c>
      <c r="AC284">
        <v>69</v>
      </c>
      <c r="AD284" t="s">
        <v>45</v>
      </c>
      <c r="BL284">
        <v>21306</v>
      </c>
      <c r="BM284" t="s">
        <v>36</v>
      </c>
      <c r="BN284" t="s">
        <v>38</v>
      </c>
      <c r="BO284" s="4">
        <v>60000</v>
      </c>
      <c r="BP284" s="4">
        <v>60000</v>
      </c>
      <c r="BQ284">
        <v>2</v>
      </c>
      <c r="BR284" t="s">
        <v>21</v>
      </c>
      <c r="BS284" t="s">
        <v>15</v>
      </c>
      <c r="BT284">
        <v>51</v>
      </c>
    </row>
    <row r="285" spans="1:72" x14ac:dyDescent="0.25">
      <c r="A285">
        <v>17012</v>
      </c>
      <c r="B285" t="s">
        <v>35</v>
      </c>
      <c r="C285" t="s">
        <v>37</v>
      </c>
      <c r="D285" s="11">
        <v>60000</v>
      </c>
      <c r="E285">
        <v>3</v>
      </c>
      <c r="F285" t="s">
        <v>30</v>
      </c>
      <c r="G285" t="s">
        <v>21</v>
      </c>
      <c r="H285" t="s">
        <v>15</v>
      </c>
      <c r="I285">
        <v>0</v>
      </c>
      <c r="J285" t="s">
        <v>22</v>
      </c>
      <c r="K285" t="s">
        <v>31</v>
      </c>
      <c r="L285">
        <v>42</v>
      </c>
      <c r="M285" t="str">
        <f t="shared" si="4"/>
        <v>MIddleAge</v>
      </c>
      <c r="N285" t="s">
        <v>15</v>
      </c>
      <c r="R285">
        <v>12205</v>
      </c>
      <c r="S285" t="s">
        <v>36</v>
      </c>
      <c r="T285" t="s">
        <v>37</v>
      </c>
      <c r="U285" s="4">
        <v>130000</v>
      </c>
      <c r="V285">
        <v>2</v>
      </c>
      <c r="W285" t="s">
        <v>13</v>
      </c>
      <c r="X285" t="s">
        <v>28</v>
      </c>
      <c r="Y285" t="s">
        <v>18</v>
      </c>
      <c r="Z285">
        <v>4</v>
      </c>
      <c r="AA285" t="s">
        <v>16</v>
      </c>
      <c r="AB285" t="s">
        <v>31</v>
      </c>
      <c r="AC285">
        <v>67</v>
      </c>
      <c r="AD285" t="s">
        <v>45</v>
      </c>
      <c r="BL285">
        <v>19884</v>
      </c>
      <c r="BM285" t="s">
        <v>35</v>
      </c>
      <c r="BN285" t="s">
        <v>38</v>
      </c>
      <c r="BO285" s="4">
        <v>60000</v>
      </c>
      <c r="BP285" s="4">
        <v>60000</v>
      </c>
      <c r="BQ285">
        <v>2</v>
      </c>
      <c r="BR285" t="s">
        <v>21</v>
      </c>
      <c r="BS285" t="s">
        <v>15</v>
      </c>
      <c r="BT285">
        <v>55</v>
      </c>
    </row>
    <row r="286" spans="1:72" x14ac:dyDescent="0.25">
      <c r="A286">
        <v>16890</v>
      </c>
      <c r="B286" t="s">
        <v>35</v>
      </c>
      <c r="C286" t="s">
        <v>38</v>
      </c>
      <c r="D286" s="11">
        <v>60000</v>
      </c>
      <c r="E286">
        <v>3</v>
      </c>
      <c r="F286" t="s">
        <v>29</v>
      </c>
      <c r="G286" t="s">
        <v>14</v>
      </c>
      <c r="H286" t="s">
        <v>15</v>
      </c>
      <c r="I286">
        <v>2</v>
      </c>
      <c r="J286" t="s">
        <v>23</v>
      </c>
      <c r="K286" t="s">
        <v>31</v>
      </c>
      <c r="L286">
        <v>52</v>
      </c>
      <c r="M286" t="str">
        <f t="shared" si="4"/>
        <v>MIddleAge</v>
      </c>
      <c r="N286" t="s">
        <v>15</v>
      </c>
      <c r="R286">
        <v>11270</v>
      </c>
      <c r="S286" t="s">
        <v>35</v>
      </c>
      <c r="T286" t="s">
        <v>38</v>
      </c>
      <c r="U286" s="4">
        <v>130000</v>
      </c>
      <c r="V286">
        <v>2</v>
      </c>
      <c r="W286" t="s">
        <v>30</v>
      </c>
      <c r="X286" t="s">
        <v>28</v>
      </c>
      <c r="Y286" t="s">
        <v>15</v>
      </c>
      <c r="Z286">
        <v>3</v>
      </c>
      <c r="AA286" t="s">
        <v>16</v>
      </c>
      <c r="AB286" t="s">
        <v>31</v>
      </c>
      <c r="AC286">
        <v>42</v>
      </c>
      <c r="AD286" t="s">
        <v>44</v>
      </c>
      <c r="BL286">
        <v>19562</v>
      </c>
      <c r="BM286" t="s">
        <v>36</v>
      </c>
      <c r="BN286" t="s">
        <v>37</v>
      </c>
      <c r="BO286" s="4">
        <v>60000</v>
      </c>
      <c r="BP286" s="4">
        <v>60000</v>
      </c>
      <c r="BQ286">
        <v>2</v>
      </c>
      <c r="BR286" t="s">
        <v>21</v>
      </c>
      <c r="BS286" t="s">
        <v>15</v>
      </c>
      <c r="BT286">
        <v>37</v>
      </c>
    </row>
    <row r="287" spans="1:72" x14ac:dyDescent="0.25">
      <c r="A287">
        <v>14417</v>
      </c>
      <c r="B287" t="s">
        <v>36</v>
      </c>
      <c r="C287" t="s">
        <v>38</v>
      </c>
      <c r="D287" s="11">
        <v>60000</v>
      </c>
      <c r="E287">
        <v>3</v>
      </c>
      <c r="F287" t="s">
        <v>27</v>
      </c>
      <c r="G287" t="s">
        <v>21</v>
      </c>
      <c r="H287" t="s">
        <v>15</v>
      </c>
      <c r="I287">
        <v>2</v>
      </c>
      <c r="J287" t="s">
        <v>42</v>
      </c>
      <c r="K287" t="s">
        <v>31</v>
      </c>
      <c r="L287">
        <v>54</v>
      </c>
      <c r="M287" t="str">
        <f t="shared" si="4"/>
        <v>MIddleAge</v>
      </c>
      <c r="N287" t="s">
        <v>15</v>
      </c>
      <c r="R287">
        <v>11269</v>
      </c>
      <c r="S287" t="s">
        <v>35</v>
      </c>
      <c r="T287" t="s">
        <v>38</v>
      </c>
      <c r="U287" s="4">
        <v>130000</v>
      </c>
      <c r="V287">
        <v>2</v>
      </c>
      <c r="W287" t="s">
        <v>30</v>
      </c>
      <c r="X287" t="s">
        <v>28</v>
      </c>
      <c r="Y287" t="s">
        <v>15</v>
      </c>
      <c r="Z287">
        <v>2</v>
      </c>
      <c r="AA287" t="s">
        <v>16</v>
      </c>
      <c r="AB287" t="s">
        <v>31</v>
      </c>
      <c r="AC287">
        <v>41</v>
      </c>
      <c r="AD287" t="s">
        <v>44</v>
      </c>
      <c r="BL287">
        <v>19002</v>
      </c>
      <c r="BM287" t="s">
        <v>35</v>
      </c>
      <c r="BN287" t="s">
        <v>37</v>
      </c>
      <c r="BO287" s="4">
        <v>60000</v>
      </c>
      <c r="BP287" s="4">
        <v>60000</v>
      </c>
      <c r="BQ287">
        <v>2</v>
      </c>
      <c r="BR287" t="s">
        <v>21</v>
      </c>
      <c r="BS287" t="s">
        <v>15</v>
      </c>
      <c r="BT287">
        <v>57</v>
      </c>
    </row>
    <row r="288" spans="1:72" x14ac:dyDescent="0.25">
      <c r="A288">
        <v>12922</v>
      </c>
      <c r="B288" t="s">
        <v>36</v>
      </c>
      <c r="C288" t="s">
        <v>37</v>
      </c>
      <c r="D288" s="11">
        <v>60000</v>
      </c>
      <c r="E288">
        <v>3</v>
      </c>
      <c r="F288" t="s">
        <v>13</v>
      </c>
      <c r="G288" t="s">
        <v>14</v>
      </c>
      <c r="H288" t="s">
        <v>15</v>
      </c>
      <c r="I288">
        <v>0</v>
      </c>
      <c r="J288" t="s">
        <v>22</v>
      </c>
      <c r="K288" t="s">
        <v>31</v>
      </c>
      <c r="L288">
        <v>40</v>
      </c>
      <c r="M288" t="str">
        <f t="shared" si="4"/>
        <v>MIddleAge</v>
      </c>
      <c r="N288" t="s">
        <v>15</v>
      </c>
      <c r="R288">
        <v>15922</v>
      </c>
      <c r="S288" t="s">
        <v>35</v>
      </c>
      <c r="T288" t="s">
        <v>38</v>
      </c>
      <c r="U288" s="4">
        <v>150000</v>
      </c>
      <c r="V288">
        <v>2</v>
      </c>
      <c r="W288" t="s">
        <v>27</v>
      </c>
      <c r="X288" t="s">
        <v>21</v>
      </c>
      <c r="Y288" t="s">
        <v>15</v>
      </c>
      <c r="Z288">
        <v>4</v>
      </c>
      <c r="AA288" t="s">
        <v>16</v>
      </c>
      <c r="AB288" t="s">
        <v>17</v>
      </c>
      <c r="AC288">
        <v>48</v>
      </c>
      <c r="AD288" t="s">
        <v>44</v>
      </c>
      <c r="BL288">
        <v>18858</v>
      </c>
      <c r="BM288" t="s">
        <v>36</v>
      </c>
      <c r="BN288" t="s">
        <v>38</v>
      </c>
      <c r="BO288" s="4">
        <v>60000</v>
      </c>
      <c r="BP288" s="4">
        <v>60000</v>
      </c>
      <c r="BQ288">
        <v>2</v>
      </c>
      <c r="BR288" t="s">
        <v>14</v>
      </c>
      <c r="BS288" t="s">
        <v>15</v>
      </c>
      <c r="BT288">
        <v>52</v>
      </c>
    </row>
    <row r="289" spans="1:72" x14ac:dyDescent="0.25">
      <c r="A289">
        <v>12121</v>
      </c>
      <c r="B289" t="s">
        <v>36</v>
      </c>
      <c r="C289" t="s">
        <v>38</v>
      </c>
      <c r="D289" s="11">
        <v>60000</v>
      </c>
      <c r="E289">
        <v>3</v>
      </c>
      <c r="F289" t="s">
        <v>27</v>
      </c>
      <c r="G289" t="s">
        <v>21</v>
      </c>
      <c r="H289" t="s">
        <v>15</v>
      </c>
      <c r="I289">
        <v>2</v>
      </c>
      <c r="J289" t="s">
        <v>42</v>
      </c>
      <c r="K289" t="s">
        <v>31</v>
      </c>
      <c r="L289">
        <v>53</v>
      </c>
      <c r="M289" t="str">
        <f t="shared" si="4"/>
        <v>MIddleAge</v>
      </c>
      <c r="N289" t="s">
        <v>15</v>
      </c>
      <c r="R289">
        <v>27974</v>
      </c>
      <c r="S289" t="s">
        <v>36</v>
      </c>
      <c r="T289" t="s">
        <v>38</v>
      </c>
      <c r="U289" s="4">
        <v>160000</v>
      </c>
      <c r="V289">
        <v>2</v>
      </c>
      <c r="W289" t="s">
        <v>27</v>
      </c>
      <c r="X289" t="s">
        <v>28</v>
      </c>
      <c r="Y289" t="s">
        <v>15</v>
      </c>
      <c r="Z289">
        <v>4</v>
      </c>
      <c r="AA289" t="s">
        <v>16</v>
      </c>
      <c r="AB289" t="s">
        <v>24</v>
      </c>
      <c r="AC289">
        <v>33</v>
      </c>
      <c r="AD289" t="s">
        <v>44</v>
      </c>
      <c r="BL289">
        <v>18847</v>
      </c>
      <c r="BM289" t="s">
        <v>35</v>
      </c>
      <c r="BN289" t="s">
        <v>37</v>
      </c>
      <c r="BO289" s="4">
        <v>60000</v>
      </c>
      <c r="BP289" s="4">
        <v>60000</v>
      </c>
      <c r="BQ289">
        <v>2</v>
      </c>
      <c r="BR289" t="s">
        <v>28</v>
      </c>
      <c r="BS289" t="s">
        <v>15</v>
      </c>
      <c r="BT289">
        <v>70</v>
      </c>
    </row>
    <row r="290" spans="1:72" x14ac:dyDescent="0.25">
      <c r="A290">
        <v>11886</v>
      </c>
      <c r="B290" t="s">
        <v>35</v>
      </c>
      <c r="C290" t="s">
        <v>37</v>
      </c>
      <c r="D290" s="11">
        <v>60000</v>
      </c>
      <c r="E290">
        <v>3</v>
      </c>
      <c r="F290" t="s">
        <v>13</v>
      </c>
      <c r="G290" t="s">
        <v>21</v>
      </c>
      <c r="H290" t="s">
        <v>15</v>
      </c>
      <c r="I290">
        <v>1</v>
      </c>
      <c r="J290" t="s">
        <v>16</v>
      </c>
      <c r="K290" t="s">
        <v>31</v>
      </c>
      <c r="L290">
        <v>48</v>
      </c>
      <c r="M290" t="str">
        <f t="shared" si="4"/>
        <v>MIddleAge</v>
      </c>
      <c r="N290" t="s">
        <v>15</v>
      </c>
      <c r="R290">
        <v>28683</v>
      </c>
      <c r="S290" t="s">
        <v>36</v>
      </c>
      <c r="T290" t="s">
        <v>37</v>
      </c>
      <c r="U290" s="4">
        <v>10000</v>
      </c>
      <c r="V290">
        <v>1</v>
      </c>
      <c r="W290" t="s">
        <v>27</v>
      </c>
      <c r="X290" t="s">
        <v>25</v>
      </c>
      <c r="Y290" t="s">
        <v>18</v>
      </c>
      <c r="Z290">
        <v>1</v>
      </c>
      <c r="AA290" t="s">
        <v>23</v>
      </c>
      <c r="AB290" t="s">
        <v>17</v>
      </c>
      <c r="AC290">
        <v>35</v>
      </c>
      <c r="AD290" t="s">
        <v>44</v>
      </c>
      <c r="BL290">
        <v>18580</v>
      </c>
      <c r="BM290" t="s">
        <v>35</v>
      </c>
      <c r="BN290" t="s">
        <v>37</v>
      </c>
      <c r="BO290" s="4">
        <v>60000</v>
      </c>
      <c r="BP290" s="4">
        <v>60000</v>
      </c>
      <c r="BQ290">
        <v>2</v>
      </c>
      <c r="BR290" t="s">
        <v>21</v>
      </c>
      <c r="BS290" t="s">
        <v>15</v>
      </c>
      <c r="BT290">
        <v>40</v>
      </c>
    </row>
    <row r="291" spans="1:72" x14ac:dyDescent="0.25">
      <c r="A291">
        <v>27273</v>
      </c>
      <c r="B291" t="s">
        <v>36</v>
      </c>
      <c r="C291" t="s">
        <v>38</v>
      </c>
      <c r="D291" s="11">
        <v>70000</v>
      </c>
      <c r="E291">
        <v>3</v>
      </c>
      <c r="F291" t="s">
        <v>30</v>
      </c>
      <c r="G291" t="s">
        <v>21</v>
      </c>
      <c r="H291" t="s">
        <v>18</v>
      </c>
      <c r="I291">
        <v>0</v>
      </c>
      <c r="J291" t="s">
        <v>16</v>
      </c>
      <c r="K291" t="s">
        <v>31</v>
      </c>
      <c r="L291">
        <v>35</v>
      </c>
      <c r="M291" t="str">
        <f t="shared" si="4"/>
        <v>MIddleAge</v>
      </c>
      <c r="N291" t="s">
        <v>15</v>
      </c>
      <c r="R291">
        <v>25529</v>
      </c>
      <c r="S291" t="s">
        <v>36</v>
      </c>
      <c r="T291" t="s">
        <v>38</v>
      </c>
      <c r="U291" s="4">
        <v>10000</v>
      </c>
      <c r="V291">
        <v>1</v>
      </c>
      <c r="W291" t="s">
        <v>30</v>
      </c>
      <c r="X291" t="s">
        <v>25</v>
      </c>
      <c r="Y291" t="s">
        <v>15</v>
      </c>
      <c r="Z291">
        <v>0</v>
      </c>
      <c r="AA291" t="s">
        <v>16</v>
      </c>
      <c r="AB291" t="s">
        <v>17</v>
      </c>
      <c r="AC291">
        <v>44</v>
      </c>
      <c r="AD291" t="s">
        <v>44</v>
      </c>
      <c r="BL291">
        <v>18411</v>
      </c>
      <c r="BM291" t="s">
        <v>35</v>
      </c>
      <c r="BN291" t="s">
        <v>38</v>
      </c>
      <c r="BO291" s="4">
        <v>60000</v>
      </c>
      <c r="BP291" s="4">
        <v>60000</v>
      </c>
      <c r="BQ291">
        <v>2</v>
      </c>
      <c r="BR291" t="s">
        <v>21</v>
      </c>
      <c r="BS291" t="s">
        <v>18</v>
      </c>
      <c r="BT291">
        <v>51</v>
      </c>
    </row>
    <row r="292" spans="1:72" x14ac:dyDescent="0.25">
      <c r="A292">
        <v>26728</v>
      </c>
      <c r="B292" t="s">
        <v>36</v>
      </c>
      <c r="C292" t="s">
        <v>38</v>
      </c>
      <c r="D292" s="11">
        <v>70000</v>
      </c>
      <c r="E292">
        <v>3</v>
      </c>
      <c r="F292" t="s">
        <v>30</v>
      </c>
      <c r="G292" t="s">
        <v>28</v>
      </c>
      <c r="H292" t="s">
        <v>18</v>
      </c>
      <c r="I292">
        <v>2</v>
      </c>
      <c r="J292" t="s">
        <v>26</v>
      </c>
      <c r="K292" t="s">
        <v>31</v>
      </c>
      <c r="L292">
        <v>53</v>
      </c>
      <c r="M292" t="str">
        <f t="shared" si="4"/>
        <v>MIddleAge</v>
      </c>
      <c r="N292" t="s">
        <v>15</v>
      </c>
      <c r="R292">
        <v>24185</v>
      </c>
      <c r="S292" t="s">
        <v>36</v>
      </c>
      <c r="T292" t="s">
        <v>37</v>
      </c>
      <c r="U292" s="4">
        <v>10000</v>
      </c>
      <c r="V292">
        <v>1</v>
      </c>
      <c r="W292" t="s">
        <v>27</v>
      </c>
      <c r="X292" t="s">
        <v>25</v>
      </c>
      <c r="Y292" t="s">
        <v>18</v>
      </c>
      <c r="Z292">
        <v>1</v>
      </c>
      <c r="AA292" t="s">
        <v>26</v>
      </c>
      <c r="AB292" t="s">
        <v>17</v>
      </c>
      <c r="AC292">
        <v>45</v>
      </c>
      <c r="AD292" t="s">
        <v>44</v>
      </c>
      <c r="BL292">
        <v>18105</v>
      </c>
      <c r="BM292" t="s">
        <v>35</v>
      </c>
      <c r="BN292" t="s">
        <v>37</v>
      </c>
      <c r="BO292" s="4">
        <v>60000</v>
      </c>
      <c r="BP292" s="4">
        <v>60000</v>
      </c>
      <c r="BQ292">
        <v>2</v>
      </c>
      <c r="BR292" t="s">
        <v>21</v>
      </c>
      <c r="BS292" t="s">
        <v>15</v>
      </c>
      <c r="BT292">
        <v>55</v>
      </c>
    </row>
    <row r="293" spans="1:72" x14ac:dyDescent="0.25">
      <c r="A293">
        <v>26693</v>
      </c>
      <c r="B293" t="s">
        <v>35</v>
      </c>
      <c r="C293" t="s">
        <v>38</v>
      </c>
      <c r="D293" s="11">
        <v>70000</v>
      </c>
      <c r="E293">
        <v>3</v>
      </c>
      <c r="F293" t="s">
        <v>19</v>
      </c>
      <c r="G293" t="s">
        <v>21</v>
      </c>
      <c r="H293" t="s">
        <v>15</v>
      </c>
      <c r="I293">
        <v>1</v>
      </c>
      <c r="J293" t="s">
        <v>23</v>
      </c>
      <c r="K293" t="s">
        <v>31</v>
      </c>
      <c r="L293">
        <v>49</v>
      </c>
      <c r="M293" t="str">
        <f t="shared" si="4"/>
        <v>MIddleAge</v>
      </c>
      <c r="N293" t="s">
        <v>18</v>
      </c>
      <c r="R293">
        <v>22381</v>
      </c>
      <c r="S293" t="s">
        <v>35</v>
      </c>
      <c r="T293" t="s">
        <v>38</v>
      </c>
      <c r="U293" s="4">
        <v>10000</v>
      </c>
      <c r="V293">
        <v>1</v>
      </c>
      <c r="W293" t="s">
        <v>30</v>
      </c>
      <c r="X293" t="s">
        <v>25</v>
      </c>
      <c r="Y293" t="s">
        <v>15</v>
      </c>
      <c r="Z293">
        <v>0</v>
      </c>
      <c r="AA293" t="s">
        <v>16</v>
      </c>
      <c r="AB293" t="s">
        <v>17</v>
      </c>
      <c r="AC293">
        <v>44</v>
      </c>
      <c r="AD293" t="s">
        <v>44</v>
      </c>
      <c r="BL293">
        <v>17531</v>
      </c>
      <c r="BM293" t="s">
        <v>35</v>
      </c>
      <c r="BN293" t="s">
        <v>38</v>
      </c>
      <c r="BO293" s="4">
        <v>60000</v>
      </c>
      <c r="BP293" s="4">
        <v>60000</v>
      </c>
      <c r="BQ293">
        <v>2</v>
      </c>
      <c r="BR293" t="s">
        <v>21</v>
      </c>
      <c r="BS293" t="s">
        <v>18</v>
      </c>
      <c r="BT293">
        <v>50</v>
      </c>
    </row>
    <row r="294" spans="1:72" x14ac:dyDescent="0.25">
      <c r="A294">
        <v>24433</v>
      </c>
      <c r="B294" t="s">
        <v>35</v>
      </c>
      <c r="C294" t="s">
        <v>38</v>
      </c>
      <c r="D294" s="11">
        <v>70000</v>
      </c>
      <c r="E294">
        <v>3</v>
      </c>
      <c r="F294" t="s">
        <v>27</v>
      </c>
      <c r="G294" t="s">
        <v>21</v>
      </c>
      <c r="H294" t="s">
        <v>18</v>
      </c>
      <c r="I294">
        <v>1</v>
      </c>
      <c r="J294" t="s">
        <v>26</v>
      </c>
      <c r="K294" t="s">
        <v>31</v>
      </c>
      <c r="L294">
        <v>52</v>
      </c>
      <c r="M294" t="str">
        <f t="shared" si="4"/>
        <v>MIddleAge</v>
      </c>
      <c r="N294" t="s">
        <v>15</v>
      </c>
      <c r="R294">
        <v>17702</v>
      </c>
      <c r="S294" t="s">
        <v>35</v>
      </c>
      <c r="T294" t="s">
        <v>38</v>
      </c>
      <c r="U294" s="4">
        <v>10000</v>
      </c>
      <c r="V294">
        <v>1</v>
      </c>
      <c r="W294" t="s">
        <v>30</v>
      </c>
      <c r="X294" t="s">
        <v>25</v>
      </c>
      <c r="Y294" t="s">
        <v>15</v>
      </c>
      <c r="Z294">
        <v>0</v>
      </c>
      <c r="AA294" t="s">
        <v>16</v>
      </c>
      <c r="AB294" t="s">
        <v>17</v>
      </c>
      <c r="AC294">
        <v>37</v>
      </c>
      <c r="AD294" t="s">
        <v>44</v>
      </c>
      <c r="BL294">
        <v>17436</v>
      </c>
      <c r="BM294" t="s">
        <v>35</v>
      </c>
      <c r="BN294" t="s">
        <v>38</v>
      </c>
      <c r="BO294" s="4">
        <v>60000</v>
      </c>
      <c r="BP294" s="4">
        <v>60000</v>
      </c>
      <c r="BQ294">
        <v>2</v>
      </c>
      <c r="BR294" t="s">
        <v>21</v>
      </c>
      <c r="BS294" t="s">
        <v>18</v>
      </c>
      <c r="BT294">
        <v>51</v>
      </c>
    </row>
    <row r="295" spans="1:72" x14ac:dyDescent="0.25">
      <c r="A295">
        <v>22118</v>
      </c>
      <c r="B295" t="s">
        <v>36</v>
      </c>
      <c r="C295" t="s">
        <v>37</v>
      </c>
      <c r="D295" s="11">
        <v>70000</v>
      </c>
      <c r="E295">
        <v>3</v>
      </c>
      <c r="F295" t="s">
        <v>30</v>
      </c>
      <c r="G295" t="s">
        <v>28</v>
      </c>
      <c r="H295" t="s">
        <v>15</v>
      </c>
      <c r="I295">
        <v>2</v>
      </c>
      <c r="J295" t="s">
        <v>23</v>
      </c>
      <c r="K295" t="s">
        <v>31</v>
      </c>
      <c r="L295">
        <v>53</v>
      </c>
      <c r="M295" t="str">
        <f t="shared" si="4"/>
        <v>MIddleAge</v>
      </c>
      <c r="N295" t="s">
        <v>15</v>
      </c>
      <c r="R295">
        <v>16043</v>
      </c>
      <c r="S295" t="s">
        <v>36</v>
      </c>
      <c r="T295" t="s">
        <v>38</v>
      </c>
      <c r="U295" s="4">
        <v>10000</v>
      </c>
      <c r="V295">
        <v>1</v>
      </c>
      <c r="W295" t="s">
        <v>13</v>
      </c>
      <c r="X295" t="s">
        <v>25</v>
      </c>
      <c r="Y295" t="s">
        <v>15</v>
      </c>
      <c r="Z295">
        <v>0</v>
      </c>
      <c r="AA295" t="s">
        <v>16</v>
      </c>
      <c r="AB295" t="s">
        <v>17</v>
      </c>
      <c r="AC295">
        <v>48</v>
      </c>
      <c r="AD295" t="s">
        <v>44</v>
      </c>
      <c r="BL295">
        <v>16813</v>
      </c>
      <c r="BM295" t="s">
        <v>35</v>
      </c>
      <c r="BN295" t="s">
        <v>38</v>
      </c>
      <c r="BO295" s="4">
        <v>60000</v>
      </c>
      <c r="BP295" s="4">
        <v>60000</v>
      </c>
      <c r="BQ295">
        <v>2</v>
      </c>
      <c r="BR295" t="s">
        <v>21</v>
      </c>
      <c r="BS295" t="s">
        <v>15</v>
      </c>
      <c r="BT295">
        <v>55</v>
      </c>
    </row>
    <row r="296" spans="1:72" x14ac:dyDescent="0.25">
      <c r="A296">
        <v>21741</v>
      </c>
      <c r="B296" t="s">
        <v>35</v>
      </c>
      <c r="C296" t="s">
        <v>37</v>
      </c>
      <c r="D296" s="11">
        <v>70000</v>
      </c>
      <c r="E296">
        <v>3</v>
      </c>
      <c r="F296" t="s">
        <v>19</v>
      </c>
      <c r="G296" t="s">
        <v>21</v>
      </c>
      <c r="H296" t="s">
        <v>15</v>
      </c>
      <c r="I296">
        <v>2</v>
      </c>
      <c r="J296" t="s">
        <v>23</v>
      </c>
      <c r="K296" t="s">
        <v>31</v>
      </c>
      <c r="L296">
        <v>50</v>
      </c>
      <c r="M296" t="str">
        <f t="shared" si="4"/>
        <v>MIddleAge</v>
      </c>
      <c r="N296" t="s">
        <v>15</v>
      </c>
      <c r="R296">
        <v>15450</v>
      </c>
      <c r="S296" t="s">
        <v>35</v>
      </c>
      <c r="T296" t="s">
        <v>38</v>
      </c>
      <c r="U296" s="4">
        <v>10000</v>
      </c>
      <c r="V296">
        <v>1</v>
      </c>
      <c r="W296" t="s">
        <v>30</v>
      </c>
      <c r="X296" t="s">
        <v>20</v>
      </c>
      <c r="Y296" t="s">
        <v>15</v>
      </c>
      <c r="Z296">
        <v>0</v>
      </c>
      <c r="AA296" t="s">
        <v>16</v>
      </c>
      <c r="AB296" t="s">
        <v>17</v>
      </c>
      <c r="AC296">
        <v>70</v>
      </c>
      <c r="AD296" t="s">
        <v>45</v>
      </c>
      <c r="BL296">
        <v>16163</v>
      </c>
      <c r="BM296" t="s">
        <v>36</v>
      </c>
      <c r="BN296" t="s">
        <v>38</v>
      </c>
      <c r="BO296" s="4">
        <v>60000</v>
      </c>
      <c r="BP296" s="4">
        <v>60000</v>
      </c>
      <c r="BQ296">
        <v>2</v>
      </c>
      <c r="BR296" t="s">
        <v>21</v>
      </c>
      <c r="BS296" t="s">
        <v>15</v>
      </c>
      <c r="BT296">
        <v>38</v>
      </c>
    </row>
    <row r="297" spans="1:72" x14ac:dyDescent="0.25">
      <c r="A297">
        <v>20659</v>
      </c>
      <c r="B297" t="s">
        <v>35</v>
      </c>
      <c r="C297" t="s">
        <v>38</v>
      </c>
      <c r="D297" s="11">
        <v>70000</v>
      </c>
      <c r="E297">
        <v>3</v>
      </c>
      <c r="F297" t="s">
        <v>30</v>
      </c>
      <c r="G297" t="s">
        <v>21</v>
      </c>
      <c r="H297" t="s">
        <v>15</v>
      </c>
      <c r="I297">
        <v>0</v>
      </c>
      <c r="J297" t="s">
        <v>16</v>
      </c>
      <c r="K297" t="s">
        <v>31</v>
      </c>
      <c r="L297">
        <v>35</v>
      </c>
      <c r="M297" t="str">
        <f t="shared" si="4"/>
        <v>MIddleAge</v>
      </c>
      <c r="N297" t="s">
        <v>15</v>
      </c>
      <c r="R297">
        <v>14544</v>
      </c>
      <c r="S297" t="s">
        <v>36</v>
      </c>
      <c r="T297" t="s">
        <v>38</v>
      </c>
      <c r="U297" s="4">
        <v>10000</v>
      </c>
      <c r="V297">
        <v>1</v>
      </c>
      <c r="W297" t="s">
        <v>19</v>
      </c>
      <c r="X297" t="s">
        <v>25</v>
      </c>
      <c r="Y297" t="s">
        <v>15</v>
      </c>
      <c r="Z297">
        <v>0</v>
      </c>
      <c r="AA297" t="s">
        <v>16</v>
      </c>
      <c r="AB297" t="s">
        <v>17</v>
      </c>
      <c r="AC297">
        <v>49</v>
      </c>
      <c r="AD297" t="s">
        <v>44</v>
      </c>
      <c r="BL297">
        <v>15895</v>
      </c>
      <c r="BM297" t="s">
        <v>36</v>
      </c>
      <c r="BN297" t="s">
        <v>37</v>
      </c>
      <c r="BO297" s="4">
        <v>60000</v>
      </c>
      <c r="BP297" s="4">
        <v>60000</v>
      </c>
      <c r="BQ297">
        <v>2</v>
      </c>
      <c r="BR297" t="s">
        <v>28</v>
      </c>
      <c r="BS297" t="s">
        <v>15</v>
      </c>
      <c r="BT297">
        <v>58</v>
      </c>
    </row>
    <row r="298" spans="1:72" x14ac:dyDescent="0.25">
      <c r="A298">
        <v>20376</v>
      </c>
      <c r="B298" t="s">
        <v>36</v>
      </c>
      <c r="C298" t="s">
        <v>37</v>
      </c>
      <c r="D298" s="11">
        <v>70000</v>
      </c>
      <c r="E298">
        <v>3</v>
      </c>
      <c r="F298" t="s">
        <v>30</v>
      </c>
      <c r="G298" t="s">
        <v>28</v>
      </c>
      <c r="H298" t="s">
        <v>15</v>
      </c>
      <c r="I298">
        <v>2</v>
      </c>
      <c r="J298" t="s">
        <v>23</v>
      </c>
      <c r="K298" t="s">
        <v>31</v>
      </c>
      <c r="L298">
        <v>52</v>
      </c>
      <c r="M298" t="str">
        <f t="shared" si="4"/>
        <v>MIddleAge</v>
      </c>
      <c r="N298" t="s">
        <v>15</v>
      </c>
      <c r="R298">
        <v>12585</v>
      </c>
      <c r="S298" t="s">
        <v>35</v>
      </c>
      <c r="T298" t="s">
        <v>38</v>
      </c>
      <c r="U298" s="4">
        <v>10000</v>
      </c>
      <c r="V298">
        <v>1</v>
      </c>
      <c r="W298" t="s">
        <v>27</v>
      </c>
      <c r="X298" t="s">
        <v>25</v>
      </c>
      <c r="Y298" t="s">
        <v>15</v>
      </c>
      <c r="Z298">
        <v>0</v>
      </c>
      <c r="AA298" t="s">
        <v>22</v>
      </c>
      <c r="AB298" t="s">
        <v>24</v>
      </c>
      <c r="AC298">
        <v>27</v>
      </c>
      <c r="AD298" t="s">
        <v>43</v>
      </c>
      <c r="BL298">
        <v>15580</v>
      </c>
      <c r="BM298" t="s">
        <v>35</v>
      </c>
      <c r="BN298" t="s">
        <v>38</v>
      </c>
      <c r="BO298" s="4">
        <v>60000</v>
      </c>
      <c r="BP298" s="4">
        <v>60000</v>
      </c>
      <c r="BQ298">
        <v>2</v>
      </c>
      <c r="BR298" t="s">
        <v>21</v>
      </c>
      <c r="BS298" t="s">
        <v>15</v>
      </c>
      <c r="BT298">
        <v>38</v>
      </c>
    </row>
    <row r="299" spans="1:72" x14ac:dyDescent="0.25">
      <c r="A299">
        <v>20370</v>
      </c>
      <c r="B299" t="s">
        <v>35</v>
      </c>
      <c r="C299" t="s">
        <v>38</v>
      </c>
      <c r="D299" s="11">
        <v>70000</v>
      </c>
      <c r="E299">
        <v>3</v>
      </c>
      <c r="F299" t="s">
        <v>29</v>
      </c>
      <c r="G299" t="s">
        <v>14</v>
      </c>
      <c r="H299" t="s">
        <v>15</v>
      </c>
      <c r="I299">
        <v>2</v>
      </c>
      <c r="J299" t="s">
        <v>23</v>
      </c>
      <c r="K299" t="s">
        <v>31</v>
      </c>
      <c r="L299">
        <v>52</v>
      </c>
      <c r="M299" t="str">
        <f t="shared" si="4"/>
        <v>MIddleAge</v>
      </c>
      <c r="N299" t="s">
        <v>18</v>
      </c>
      <c r="R299">
        <v>11378</v>
      </c>
      <c r="S299" t="s">
        <v>36</v>
      </c>
      <c r="T299" t="s">
        <v>37</v>
      </c>
      <c r="U299" s="4">
        <v>10000</v>
      </c>
      <c r="V299">
        <v>1</v>
      </c>
      <c r="W299" t="s">
        <v>27</v>
      </c>
      <c r="X299" t="s">
        <v>25</v>
      </c>
      <c r="Y299" t="s">
        <v>18</v>
      </c>
      <c r="Z299">
        <v>1</v>
      </c>
      <c r="AA299" t="s">
        <v>22</v>
      </c>
      <c r="AB299" t="s">
        <v>17</v>
      </c>
      <c r="AC299">
        <v>46</v>
      </c>
      <c r="AD299" t="s">
        <v>44</v>
      </c>
      <c r="BL299">
        <v>14389</v>
      </c>
      <c r="BM299" t="s">
        <v>35</v>
      </c>
      <c r="BN299" t="s">
        <v>38</v>
      </c>
      <c r="BO299" s="4">
        <v>60000</v>
      </c>
      <c r="BP299" s="4">
        <v>60000</v>
      </c>
      <c r="BQ299">
        <v>2</v>
      </c>
      <c r="BR299" t="s">
        <v>28</v>
      </c>
      <c r="BS299" t="s">
        <v>15</v>
      </c>
      <c r="BT299">
        <v>59</v>
      </c>
    </row>
    <row r="300" spans="1:72" x14ac:dyDescent="0.25">
      <c r="A300">
        <v>17462</v>
      </c>
      <c r="B300" t="s">
        <v>35</v>
      </c>
      <c r="C300" t="s">
        <v>38</v>
      </c>
      <c r="D300" s="11">
        <v>70000</v>
      </c>
      <c r="E300">
        <v>3</v>
      </c>
      <c r="F300" t="s">
        <v>30</v>
      </c>
      <c r="G300" t="s">
        <v>28</v>
      </c>
      <c r="H300" t="s">
        <v>15</v>
      </c>
      <c r="I300">
        <v>2</v>
      </c>
      <c r="J300" t="s">
        <v>23</v>
      </c>
      <c r="K300" t="s">
        <v>31</v>
      </c>
      <c r="L300">
        <v>53</v>
      </c>
      <c r="M300" t="str">
        <f t="shared" si="4"/>
        <v>MIddleAge</v>
      </c>
      <c r="N300" t="s">
        <v>15</v>
      </c>
      <c r="R300">
        <v>21738</v>
      </c>
      <c r="S300" t="s">
        <v>35</v>
      </c>
      <c r="T300" t="s">
        <v>38</v>
      </c>
      <c r="U300" s="4">
        <v>20000</v>
      </c>
      <c r="V300">
        <v>1</v>
      </c>
      <c r="W300" t="s">
        <v>30</v>
      </c>
      <c r="X300" t="s">
        <v>20</v>
      </c>
      <c r="Y300" t="s">
        <v>15</v>
      </c>
      <c r="Z300">
        <v>0</v>
      </c>
      <c r="AA300" t="s">
        <v>16</v>
      </c>
      <c r="AB300" t="s">
        <v>17</v>
      </c>
      <c r="AC300">
        <v>43</v>
      </c>
      <c r="AD300" t="s">
        <v>44</v>
      </c>
      <c r="BL300">
        <v>13388</v>
      </c>
      <c r="BM300" t="s">
        <v>36</v>
      </c>
      <c r="BN300" t="s">
        <v>38</v>
      </c>
      <c r="BO300" s="4">
        <v>60000</v>
      </c>
      <c r="BP300" s="4">
        <v>60000</v>
      </c>
      <c r="BQ300">
        <v>2</v>
      </c>
      <c r="BR300" t="s">
        <v>21</v>
      </c>
      <c r="BS300" t="s">
        <v>15</v>
      </c>
      <c r="BT300">
        <v>56</v>
      </c>
    </row>
    <row r="301" spans="1:72" x14ac:dyDescent="0.25">
      <c r="A301">
        <v>17458</v>
      </c>
      <c r="B301" t="s">
        <v>36</v>
      </c>
      <c r="C301" t="s">
        <v>38</v>
      </c>
      <c r="D301" s="11">
        <v>70000</v>
      </c>
      <c r="E301">
        <v>3</v>
      </c>
      <c r="F301" t="s">
        <v>27</v>
      </c>
      <c r="G301" t="s">
        <v>21</v>
      </c>
      <c r="H301" t="s">
        <v>15</v>
      </c>
      <c r="I301">
        <v>0</v>
      </c>
      <c r="J301" t="s">
        <v>23</v>
      </c>
      <c r="K301" t="s">
        <v>31</v>
      </c>
      <c r="L301">
        <v>52</v>
      </c>
      <c r="M301" t="str">
        <f t="shared" si="4"/>
        <v>MIddleAge</v>
      </c>
      <c r="N301" t="s">
        <v>15</v>
      </c>
      <c r="R301">
        <v>20977</v>
      </c>
      <c r="S301" t="s">
        <v>35</v>
      </c>
      <c r="T301" t="s">
        <v>38</v>
      </c>
      <c r="U301" s="4">
        <v>20000</v>
      </c>
      <c r="V301">
        <v>1</v>
      </c>
      <c r="W301" t="s">
        <v>13</v>
      </c>
      <c r="X301" t="s">
        <v>20</v>
      </c>
      <c r="Y301" t="s">
        <v>15</v>
      </c>
      <c r="Z301">
        <v>0</v>
      </c>
      <c r="AA301" t="s">
        <v>16</v>
      </c>
      <c r="AB301" t="s">
        <v>17</v>
      </c>
      <c r="AC301">
        <v>64</v>
      </c>
      <c r="AD301" t="s">
        <v>45</v>
      </c>
      <c r="BL301">
        <v>13233</v>
      </c>
      <c r="BM301" t="s">
        <v>35</v>
      </c>
      <c r="BN301" t="s">
        <v>38</v>
      </c>
      <c r="BO301" s="4">
        <v>60000</v>
      </c>
      <c r="BP301" s="4">
        <v>60000</v>
      </c>
      <c r="BQ301">
        <v>2</v>
      </c>
      <c r="BR301" t="s">
        <v>21</v>
      </c>
      <c r="BS301" t="s">
        <v>15</v>
      </c>
      <c r="BT301">
        <v>57</v>
      </c>
    </row>
    <row r="302" spans="1:72" x14ac:dyDescent="0.25">
      <c r="A302">
        <v>14572</v>
      </c>
      <c r="B302" t="s">
        <v>35</v>
      </c>
      <c r="C302" t="s">
        <v>37</v>
      </c>
      <c r="D302" s="11">
        <v>70000</v>
      </c>
      <c r="E302">
        <v>3</v>
      </c>
      <c r="F302" t="s">
        <v>30</v>
      </c>
      <c r="G302" t="s">
        <v>21</v>
      </c>
      <c r="H302" t="s">
        <v>15</v>
      </c>
      <c r="I302">
        <v>0</v>
      </c>
      <c r="J302" t="s">
        <v>22</v>
      </c>
      <c r="K302" t="s">
        <v>31</v>
      </c>
      <c r="L302">
        <v>35</v>
      </c>
      <c r="M302" t="str">
        <f t="shared" si="4"/>
        <v>MIddleAge</v>
      </c>
      <c r="N302" t="s">
        <v>15</v>
      </c>
      <c r="R302">
        <v>17882</v>
      </c>
      <c r="S302" t="s">
        <v>35</v>
      </c>
      <c r="T302" t="s">
        <v>38</v>
      </c>
      <c r="U302" s="4">
        <v>20000</v>
      </c>
      <c r="V302">
        <v>1</v>
      </c>
      <c r="W302" t="s">
        <v>30</v>
      </c>
      <c r="X302" t="s">
        <v>20</v>
      </c>
      <c r="Y302" t="s">
        <v>15</v>
      </c>
      <c r="Z302">
        <v>0</v>
      </c>
      <c r="AA302" t="s">
        <v>16</v>
      </c>
      <c r="AB302" t="s">
        <v>17</v>
      </c>
      <c r="AC302">
        <v>44</v>
      </c>
      <c r="AD302" t="s">
        <v>44</v>
      </c>
      <c r="BL302">
        <v>12993</v>
      </c>
      <c r="BM302" t="s">
        <v>35</v>
      </c>
      <c r="BN302" t="s">
        <v>38</v>
      </c>
      <c r="BO302" s="4">
        <v>60000</v>
      </c>
      <c r="BP302" s="4">
        <v>60000</v>
      </c>
      <c r="BQ302">
        <v>2</v>
      </c>
      <c r="BR302" t="s">
        <v>21</v>
      </c>
      <c r="BS302" t="s">
        <v>15</v>
      </c>
      <c r="BT302">
        <v>37</v>
      </c>
    </row>
    <row r="303" spans="1:72" x14ac:dyDescent="0.25">
      <c r="A303">
        <v>14493</v>
      </c>
      <c r="B303" t="s">
        <v>36</v>
      </c>
      <c r="C303" t="s">
        <v>37</v>
      </c>
      <c r="D303" s="11">
        <v>70000</v>
      </c>
      <c r="E303">
        <v>3</v>
      </c>
      <c r="F303" t="s">
        <v>30</v>
      </c>
      <c r="G303" t="s">
        <v>28</v>
      </c>
      <c r="H303" t="s">
        <v>18</v>
      </c>
      <c r="I303">
        <v>2</v>
      </c>
      <c r="J303" t="s">
        <v>26</v>
      </c>
      <c r="K303" t="s">
        <v>31</v>
      </c>
      <c r="L303">
        <v>53</v>
      </c>
      <c r="M303" t="str">
        <f t="shared" si="4"/>
        <v>MIddleAge</v>
      </c>
      <c r="N303" t="s">
        <v>18</v>
      </c>
      <c r="R303">
        <v>14554</v>
      </c>
      <c r="S303" t="s">
        <v>35</v>
      </c>
      <c r="T303" t="s">
        <v>38</v>
      </c>
      <c r="U303" s="4">
        <v>20000</v>
      </c>
      <c r="V303">
        <v>1</v>
      </c>
      <c r="W303" t="s">
        <v>13</v>
      </c>
      <c r="X303" t="s">
        <v>20</v>
      </c>
      <c r="Y303" t="s">
        <v>15</v>
      </c>
      <c r="Z303">
        <v>0</v>
      </c>
      <c r="AA303" t="s">
        <v>16</v>
      </c>
      <c r="AB303" t="s">
        <v>17</v>
      </c>
      <c r="AC303">
        <v>66</v>
      </c>
      <c r="AD303" t="s">
        <v>45</v>
      </c>
      <c r="BL303">
        <v>12192</v>
      </c>
      <c r="BM303" t="s">
        <v>36</v>
      </c>
      <c r="BN303" t="s">
        <v>37</v>
      </c>
      <c r="BO303" s="4">
        <v>60000</v>
      </c>
      <c r="BP303" s="4">
        <v>60000</v>
      </c>
      <c r="BQ303">
        <v>2</v>
      </c>
      <c r="BR303" t="s">
        <v>14</v>
      </c>
      <c r="BS303" t="s">
        <v>18</v>
      </c>
      <c r="BT303">
        <v>51</v>
      </c>
    </row>
    <row r="304" spans="1:72" x14ac:dyDescent="0.25">
      <c r="A304">
        <v>13873</v>
      </c>
      <c r="B304" t="s">
        <v>35</v>
      </c>
      <c r="C304" t="s">
        <v>38</v>
      </c>
      <c r="D304" s="11">
        <v>70000</v>
      </c>
      <c r="E304">
        <v>3</v>
      </c>
      <c r="F304" t="s">
        <v>30</v>
      </c>
      <c r="G304" t="s">
        <v>21</v>
      </c>
      <c r="H304" t="s">
        <v>15</v>
      </c>
      <c r="I304">
        <v>0</v>
      </c>
      <c r="J304" t="s">
        <v>16</v>
      </c>
      <c r="K304" t="s">
        <v>31</v>
      </c>
      <c r="L304">
        <v>35</v>
      </c>
      <c r="M304" t="str">
        <f t="shared" si="4"/>
        <v>MIddleAge</v>
      </c>
      <c r="N304" t="s">
        <v>15</v>
      </c>
      <c r="R304">
        <v>14135</v>
      </c>
      <c r="S304" t="s">
        <v>35</v>
      </c>
      <c r="T304" t="s">
        <v>38</v>
      </c>
      <c r="U304" s="4">
        <v>20000</v>
      </c>
      <c r="V304">
        <v>1</v>
      </c>
      <c r="W304" t="s">
        <v>19</v>
      </c>
      <c r="X304" t="s">
        <v>25</v>
      </c>
      <c r="Y304" t="s">
        <v>15</v>
      </c>
      <c r="Z304">
        <v>0</v>
      </c>
      <c r="AA304" t="s">
        <v>26</v>
      </c>
      <c r="AB304" t="s">
        <v>17</v>
      </c>
      <c r="AC304">
        <v>35</v>
      </c>
      <c r="AD304" t="s">
        <v>44</v>
      </c>
      <c r="BL304">
        <v>12100</v>
      </c>
      <c r="BM304" t="s">
        <v>36</v>
      </c>
      <c r="BN304" t="s">
        <v>38</v>
      </c>
      <c r="BO304" s="4">
        <v>60000</v>
      </c>
      <c r="BP304" s="4">
        <v>60000</v>
      </c>
      <c r="BQ304">
        <v>2</v>
      </c>
      <c r="BR304" t="s">
        <v>28</v>
      </c>
      <c r="BS304" t="s">
        <v>15</v>
      </c>
      <c r="BT304">
        <v>57</v>
      </c>
    </row>
    <row r="305" spans="1:72" x14ac:dyDescent="0.25">
      <c r="A305">
        <v>12195</v>
      </c>
      <c r="B305" t="s">
        <v>36</v>
      </c>
      <c r="C305" t="s">
        <v>37</v>
      </c>
      <c r="D305" s="11">
        <v>70000</v>
      </c>
      <c r="E305">
        <v>3</v>
      </c>
      <c r="F305" t="s">
        <v>30</v>
      </c>
      <c r="G305" t="s">
        <v>28</v>
      </c>
      <c r="H305" t="s">
        <v>15</v>
      </c>
      <c r="I305">
        <v>2</v>
      </c>
      <c r="J305" t="s">
        <v>26</v>
      </c>
      <c r="K305" t="s">
        <v>31</v>
      </c>
      <c r="L305">
        <v>52</v>
      </c>
      <c r="M305" t="str">
        <f t="shared" si="4"/>
        <v>MIddleAge</v>
      </c>
      <c r="N305" t="s">
        <v>18</v>
      </c>
      <c r="R305">
        <v>28379</v>
      </c>
      <c r="S305" t="s">
        <v>35</v>
      </c>
      <c r="T305" t="s">
        <v>38</v>
      </c>
      <c r="U305" s="4">
        <v>30000</v>
      </c>
      <c r="V305">
        <v>1</v>
      </c>
      <c r="W305" t="s">
        <v>13</v>
      </c>
      <c r="X305" t="s">
        <v>14</v>
      </c>
      <c r="Y305" t="s">
        <v>15</v>
      </c>
      <c r="Z305">
        <v>2</v>
      </c>
      <c r="AA305" t="s">
        <v>16</v>
      </c>
      <c r="AB305" t="s">
        <v>17</v>
      </c>
      <c r="AC305">
        <v>40</v>
      </c>
      <c r="AD305" t="s">
        <v>44</v>
      </c>
      <c r="BL305">
        <v>11897</v>
      </c>
      <c r="BM305" t="s">
        <v>36</v>
      </c>
      <c r="BN305" t="s">
        <v>38</v>
      </c>
      <c r="BO305" s="4">
        <v>60000</v>
      </c>
      <c r="BP305" s="4">
        <v>60000</v>
      </c>
      <c r="BQ305">
        <v>2</v>
      </c>
      <c r="BR305" t="s">
        <v>21</v>
      </c>
      <c r="BS305" t="s">
        <v>18</v>
      </c>
      <c r="BT305">
        <v>37</v>
      </c>
    </row>
    <row r="306" spans="1:72" x14ac:dyDescent="0.25">
      <c r="A306">
        <v>12153</v>
      </c>
      <c r="B306" t="s">
        <v>36</v>
      </c>
      <c r="C306" t="s">
        <v>37</v>
      </c>
      <c r="D306" s="11">
        <v>70000</v>
      </c>
      <c r="E306">
        <v>3</v>
      </c>
      <c r="F306" t="s">
        <v>19</v>
      </c>
      <c r="G306" t="s">
        <v>21</v>
      </c>
      <c r="H306" t="s">
        <v>15</v>
      </c>
      <c r="I306">
        <v>1</v>
      </c>
      <c r="J306" t="s">
        <v>23</v>
      </c>
      <c r="K306" t="s">
        <v>31</v>
      </c>
      <c r="L306">
        <v>49</v>
      </c>
      <c r="M306" t="str">
        <f t="shared" si="4"/>
        <v>MIddleAge</v>
      </c>
      <c r="N306" t="s">
        <v>15</v>
      </c>
      <c r="R306">
        <v>27771</v>
      </c>
      <c r="S306" t="s">
        <v>36</v>
      </c>
      <c r="T306" t="s">
        <v>38</v>
      </c>
      <c r="U306" s="4">
        <v>30000</v>
      </c>
      <c r="V306">
        <v>1</v>
      </c>
      <c r="W306" t="s">
        <v>13</v>
      </c>
      <c r="X306" t="s">
        <v>20</v>
      </c>
      <c r="Y306" t="s">
        <v>15</v>
      </c>
      <c r="Z306">
        <v>1</v>
      </c>
      <c r="AA306" t="s">
        <v>26</v>
      </c>
      <c r="AB306" t="s">
        <v>17</v>
      </c>
      <c r="AC306">
        <v>39</v>
      </c>
      <c r="AD306" t="s">
        <v>44</v>
      </c>
      <c r="BL306">
        <v>11809</v>
      </c>
      <c r="BM306" t="s">
        <v>35</v>
      </c>
      <c r="BN306" t="s">
        <v>38</v>
      </c>
      <c r="BO306" s="4">
        <v>60000</v>
      </c>
      <c r="BP306" s="4">
        <v>60000</v>
      </c>
      <c r="BQ306">
        <v>2</v>
      </c>
      <c r="BR306" t="s">
        <v>14</v>
      </c>
      <c r="BS306" t="s">
        <v>15</v>
      </c>
      <c r="BT306">
        <v>38</v>
      </c>
    </row>
    <row r="307" spans="1:72" x14ac:dyDescent="0.25">
      <c r="A307">
        <v>11807</v>
      </c>
      <c r="B307" t="s">
        <v>35</v>
      </c>
      <c r="C307" t="s">
        <v>38</v>
      </c>
      <c r="D307" s="11">
        <v>70000</v>
      </c>
      <c r="E307">
        <v>3</v>
      </c>
      <c r="F307" t="s">
        <v>30</v>
      </c>
      <c r="G307" t="s">
        <v>21</v>
      </c>
      <c r="H307" t="s">
        <v>15</v>
      </c>
      <c r="I307">
        <v>0</v>
      </c>
      <c r="J307" t="s">
        <v>22</v>
      </c>
      <c r="K307" t="s">
        <v>31</v>
      </c>
      <c r="L307">
        <v>34</v>
      </c>
      <c r="M307" t="str">
        <f t="shared" si="4"/>
        <v>MIddleAge</v>
      </c>
      <c r="N307" t="s">
        <v>18</v>
      </c>
      <c r="R307">
        <v>26928</v>
      </c>
      <c r="S307" t="s">
        <v>36</v>
      </c>
      <c r="T307" t="s">
        <v>38</v>
      </c>
      <c r="U307" s="4">
        <v>30000</v>
      </c>
      <c r="V307">
        <v>1</v>
      </c>
      <c r="W307" t="s">
        <v>13</v>
      </c>
      <c r="X307" t="s">
        <v>20</v>
      </c>
      <c r="Y307" t="s">
        <v>15</v>
      </c>
      <c r="Z307">
        <v>0</v>
      </c>
      <c r="AA307" t="s">
        <v>16</v>
      </c>
      <c r="AB307" t="s">
        <v>17</v>
      </c>
      <c r="AC307">
        <v>62</v>
      </c>
      <c r="AD307" t="s">
        <v>45</v>
      </c>
      <c r="BL307">
        <v>11225</v>
      </c>
      <c r="BM307" t="s">
        <v>35</v>
      </c>
      <c r="BN307" t="s">
        <v>37</v>
      </c>
      <c r="BO307" s="4">
        <v>60000</v>
      </c>
      <c r="BP307" s="4">
        <v>60000</v>
      </c>
      <c r="BQ307">
        <v>2</v>
      </c>
      <c r="BR307" t="s">
        <v>21</v>
      </c>
      <c r="BS307" t="s">
        <v>15</v>
      </c>
      <c r="BT307">
        <v>55</v>
      </c>
    </row>
    <row r="308" spans="1:72" x14ac:dyDescent="0.25">
      <c r="A308">
        <v>29255</v>
      </c>
      <c r="B308" t="s">
        <v>36</v>
      </c>
      <c r="C308" t="s">
        <v>38</v>
      </c>
      <c r="D308" s="11">
        <v>80000</v>
      </c>
      <c r="E308">
        <v>3</v>
      </c>
      <c r="F308" t="s">
        <v>19</v>
      </c>
      <c r="G308" t="s">
        <v>21</v>
      </c>
      <c r="H308" t="s">
        <v>18</v>
      </c>
      <c r="I308">
        <v>1</v>
      </c>
      <c r="J308" t="s">
        <v>26</v>
      </c>
      <c r="K308" t="s">
        <v>31</v>
      </c>
      <c r="L308">
        <v>51</v>
      </c>
      <c r="M308" t="str">
        <f t="shared" si="4"/>
        <v>MIddleAge</v>
      </c>
      <c r="N308" t="s">
        <v>15</v>
      </c>
      <c r="R308">
        <v>25553</v>
      </c>
      <c r="S308" t="s">
        <v>35</v>
      </c>
      <c r="T308" t="s">
        <v>38</v>
      </c>
      <c r="U308" s="4">
        <v>30000</v>
      </c>
      <c r="V308">
        <v>1</v>
      </c>
      <c r="W308" t="s">
        <v>13</v>
      </c>
      <c r="X308" t="s">
        <v>20</v>
      </c>
      <c r="Y308" t="s">
        <v>15</v>
      </c>
      <c r="Z308">
        <v>0</v>
      </c>
      <c r="AA308" t="s">
        <v>16</v>
      </c>
      <c r="AB308" t="s">
        <v>17</v>
      </c>
      <c r="AC308">
        <v>65</v>
      </c>
      <c r="AD308" t="s">
        <v>45</v>
      </c>
      <c r="BL308">
        <v>11219</v>
      </c>
      <c r="BM308" t="s">
        <v>35</v>
      </c>
      <c r="BN308" t="s">
        <v>38</v>
      </c>
      <c r="BO308" s="4">
        <v>60000</v>
      </c>
      <c r="BP308" s="4">
        <v>60000</v>
      </c>
      <c r="BQ308">
        <v>2</v>
      </c>
      <c r="BR308" t="s">
        <v>21</v>
      </c>
      <c r="BS308" t="s">
        <v>15</v>
      </c>
      <c r="BT308">
        <v>55</v>
      </c>
    </row>
    <row r="309" spans="1:72" x14ac:dyDescent="0.25">
      <c r="A309">
        <v>28858</v>
      </c>
      <c r="B309" t="s">
        <v>36</v>
      </c>
      <c r="C309" t="s">
        <v>38</v>
      </c>
      <c r="D309" s="11">
        <v>80000</v>
      </c>
      <c r="E309">
        <v>3</v>
      </c>
      <c r="F309" t="s">
        <v>13</v>
      </c>
      <c r="G309" t="s">
        <v>14</v>
      </c>
      <c r="H309" t="s">
        <v>15</v>
      </c>
      <c r="I309">
        <v>0</v>
      </c>
      <c r="J309" t="s">
        <v>22</v>
      </c>
      <c r="K309" t="s">
        <v>31</v>
      </c>
      <c r="L309">
        <v>40</v>
      </c>
      <c r="M309" t="str">
        <f t="shared" si="4"/>
        <v>MIddleAge</v>
      </c>
      <c r="N309" t="s">
        <v>18</v>
      </c>
      <c r="R309">
        <v>21006</v>
      </c>
      <c r="S309" t="s">
        <v>36</v>
      </c>
      <c r="T309" t="s">
        <v>37</v>
      </c>
      <c r="U309" s="4">
        <v>30000</v>
      </c>
      <c r="V309">
        <v>1</v>
      </c>
      <c r="W309" t="s">
        <v>19</v>
      </c>
      <c r="X309" t="s">
        <v>25</v>
      </c>
      <c r="Y309" t="s">
        <v>18</v>
      </c>
      <c r="Z309">
        <v>0</v>
      </c>
      <c r="AA309" t="s">
        <v>16</v>
      </c>
      <c r="AB309" t="s">
        <v>17</v>
      </c>
      <c r="AC309">
        <v>46</v>
      </c>
      <c r="AD309" t="s">
        <v>44</v>
      </c>
      <c r="BL309">
        <v>11147</v>
      </c>
      <c r="BM309" t="s">
        <v>35</v>
      </c>
      <c r="BN309" t="s">
        <v>38</v>
      </c>
      <c r="BO309" s="4">
        <v>60000</v>
      </c>
      <c r="BP309" s="4">
        <v>60000</v>
      </c>
      <c r="BQ309">
        <v>2</v>
      </c>
      <c r="BR309" t="s">
        <v>28</v>
      </c>
      <c r="BS309" t="s">
        <v>15</v>
      </c>
      <c r="BT309">
        <v>67</v>
      </c>
    </row>
    <row r="310" spans="1:72" x14ac:dyDescent="0.25">
      <c r="A310">
        <v>28068</v>
      </c>
      <c r="B310" t="s">
        <v>36</v>
      </c>
      <c r="C310" t="s">
        <v>37</v>
      </c>
      <c r="D310" s="11">
        <v>80000</v>
      </c>
      <c r="E310">
        <v>3</v>
      </c>
      <c r="F310" t="s">
        <v>30</v>
      </c>
      <c r="G310" t="s">
        <v>21</v>
      </c>
      <c r="H310" t="s">
        <v>18</v>
      </c>
      <c r="I310">
        <v>0</v>
      </c>
      <c r="J310" t="s">
        <v>16</v>
      </c>
      <c r="K310" t="s">
        <v>31</v>
      </c>
      <c r="L310">
        <v>36</v>
      </c>
      <c r="M310" t="str">
        <f t="shared" si="4"/>
        <v>MIddleAge</v>
      </c>
      <c r="N310" t="s">
        <v>15</v>
      </c>
      <c r="R310">
        <v>20877</v>
      </c>
      <c r="S310" t="s">
        <v>36</v>
      </c>
      <c r="T310" t="s">
        <v>38</v>
      </c>
      <c r="U310" s="4">
        <v>30000</v>
      </c>
      <c r="V310">
        <v>1</v>
      </c>
      <c r="W310" t="s">
        <v>13</v>
      </c>
      <c r="X310" t="s">
        <v>20</v>
      </c>
      <c r="Y310" t="s">
        <v>15</v>
      </c>
      <c r="Z310">
        <v>0</v>
      </c>
      <c r="AA310" t="s">
        <v>26</v>
      </c>
      <c r="AB310" t="s">
        <v>17</v>
      </c>
      <c r="AC310">
        <v>37</v>
      </c>
      <c r="AD310" t="s">
        <v>44</v>
      </c>
      <c r="BL310">
        <v>29030</v>
      </c>
      <c r="BM310" t="s">
        <v>35</v>
      </c>
      <c r="BN310" t="s">
        <v>38</v>
      </c>
      <c r="BO310" s="4">
        <v>70000</v>
      </c>
      <c r="BP310" s="4">
        <v>70000</v>
      </c>
      <c r="BQ310">
        <v>2</v>
      </c>
      <c r="BR310" t="s">
        <v>14</v>
      </c>
      <c r="BS310" t="s">
        <v>15</v>
      </c>
      <c r="BT310">
        <v>54</v>
      </c>
    </row>
    <row r="311" spans="1:72" x14ac:dyDescent="0.25">
      <c r="A311">
        <v>24357</v>
      </c>
      <c r="B311" t="s">
        <v>35</v>
      </c>
      <c r="C311" t="s">
        <v>38</v>
      </c>
      <c r="D311" s="11">
        <v>80000</v>
      </c>
      <c r="E311">
        <v>3</v>
      </c>
      <c r="F311" t="s">
        <v>13</v>
      </c>
      <c r="G311" t="s">
        <v>21</v>
      </c>
      <c r="H311" t="s">
        <v>15</v>
      </c>
      <c r="I311">
        <v>1</v>
      </c>
      <c r="J311" t="s">
        <v>22</v>
      </c>
      <c r="K311" t="s">
        <v>31</v>
      </c>
      <c r="L311">
        <v>48</v>
      </c>
      <c r="M311" t="str">
        <f t="shared" si="4"/>
        <v>MIddleAge</v>
      </c>
      <c r="N311" t="s">
        <v>15</v>
      </c>
      <c r="R311">
        <v>19482</v>
      </c>
      <c r="S311" t="s">
        <v>35</v>
      </c>
      <c r="T311" t="s">
        <v>38</v>
      </c>
      <c r="U311" s="4">
        <v>30000</v>
      </c>
      <c r="V311">
        <v>1</v>
      </c>
      <c r="W311" t="s">
        <v>19</v>
      </c>
      <c r="X311" t="s">
        <v>20</v>
      </c>
      <c r="Y311" t="s">
        <v>15</v>
      </c>
      <c r="Z311">
        <v>1</v>
      </c>
      <c r="AA311" t="s">
        <v>16</v>
      </c>
      <c r="AB311" t="s">
        <v>17</v>
      </c>
      <c r="AC311">
        <v>44</v>
      </c>
      <c r="AD311" t="s">
        <v>44</v>
      </c>
      <c r="BL311">
        <v>28667</v>
      </c>
      <c r="BM311" t="s">
        <v>36</v>
      </c>
      <c r="BN311" t="s">
        <v>38</v>
      </c>
      <c r="BO311" s="4">
        <v>70000</v>
      </c>
      <c r="BP311" s="4">
        <v>70000</v>
      </c>
      <c r="BQ311">
        <v>2</v>
      </c>
      <c r="BR311" t="s">
        <v>14</v>
      </c>
      <c r="BS311" t="s">
        <v>18</v>
      </c>
      <c r="BT311">
        <v>37</v>
      </c>
    </row>
    <row r="312" spans="1:72" x14ac:dyDescent="0.25">
      <c r="A312">
        <v>23882</v>
      </c>
      <c r="B312" t="s">
        <v>36</v>
      </c>
      <c r="C312" t="s">
        <v>37</v>
      </c>
      <c r="D312" s="11">
        <v>80000</v>
      </c>
      <c r="E312">
        <v>3</v>
      </c>
      <c r="F312" t="s">
        <v>30</v>
      </c>
      <c r="G312" t="s">
        <v>21</v>
      </c>
      <c r="H312" t="s">
        <v>15</v>
      </c>
      <c r="I312">
        <v>0</v>
      </c>
      <c r="J312" t="s">
        <v>16</v>
      </c>
      <c r="K312" t="s">
        <v>31</v>
      </c>
      <c r="L312">
        <v>37</v>
      </c>
      <c r="M312" t="str">
        <f t="shared" si="4"/>
        <v>MIddleAge</v>
      </c>
      <c r="N312" t="s">
        <v>15</v>
      </c>
      <c r="R312">
        <v>18649</v>
      </c>
      <c r="S312" t="s">
        <v>36</v>
      </c>
      <c r="T312" t="s">
        <v>38</v>
      </c>
      <c r="U312" s="4">
        <v>30000</v>
      </c>
      <c r="V312">
        <v>1</v>
      </c>
      <c r="W312" t="s">
        <v>27</v>
      </c>
      <c r="X312" t="s">
        <v>20</v>
      </c>
      <c r="Y312" t="s">
        <v>15</v>
      </c>
      <c r="Z312">
        <v>2</v>
      </c>
      <c r="AA312" t="s">
        <v>26</v>
      </c>
      <c r="AB312" t="s">
        <v>31</v>
      </c>
      <c r="AC312">
        <v>51</v>
      </c>
      <c r="AD312" t="s">
        <v>44</v>
      </c>
      <c r="BL312">
        <v>28056</v>
      </c>
      <c r="BM312" t="s">
        <v>35</v>
      </c>
      <c r="BN312" t="s">
        <v>38</v>
      </c>
      <c r="BO312" s="4">
        <v>70000</v>
      </c>
      <c r="BP312" s="4">
        <v>70000</v>
      </c>
      <c r="BQ312">
        <v>2</v>
      </c>
      <c r="BR312" t="s">
        <v>14</v>
      </c>
      <c r="BS312" t="s">
        <v>15</v>
      </c>
      <c r="BT312">
        <v>53</v>
      </c>
    </row>
    <row r="313" spans="1:72" x14ac:dyDescent="0.25">
      <c r="A313">
        <v>19143</v>
      </c>
      <c r="B313" t="s">
        <v>36</v>
      </c>
      <c r="C313" t="s">
        <v>37</v>
      </c>
      <c r="D313" s="11">
        <v>80000</v>
      </c>
      <c r="E313">
        <v>3</v>
      </c>
      <c r="F313" t="s">
        <v>13</v>
      </c>
      <c r="G313" t="s">
        <v>14</v>
      </c>
      <c r="H313" t="s">
        <v>15</v>
      </c>
      <c r="I313">
        <v>2</v>
      </c>
      <c r="J313" t="s">
        <v>22</v>
      </c>
      <c r="K313" t="s">
        <v>31</v>
      </c>
      <c r="L313">
        <v>41</v>
      </c>
      <c r="M313" t="str">
        <f t="shared" si="4"/>
        <v>MIddleAge</v>
      </c>
      <c r="N313" t="s">
        <v>15</v>
      </c>
      <c r="R313">
        <v>14926</v>
      </c>
      <c r="S313" t="s">
        <v>35</v>
      </c>
      <c r="T313" t="s">
        <v>38</v>
      </c>
      <c r="U313" s="4">
        <v>30000</v>
      </c>
      <c r="V313">
        <v>1</v>
      </c>
      <c r="W313" t="s">
        <v>13</v>
      </c>
      <c r="X313" t="s">
        <v>20</v>
      </c>
      <c r="Y313" t="s">
        <v>15</v>
      </c>
      <c r="Z313">
        <v>0</v>
      </c>
      <c r="AA313" t="s">
        <v>16</v>
      </c>
      <c r="AB313" t="s">
        <v>17</v>
      </c>
      <c r="AC313">
        <v>38</v>
      </c>
      <c r="AD313" t="s">
        <v>44</v>
      </c>
      <c r="BL313">
        <v>28031</v>
      </c>
      <c r="BM313" t="s">
        <v>36</v>
      </c>
      <c r="BN313" t="s">
        <v>37</v>
      </c>
      <c r="BO313" s="4">
        <v>70000</v>
      </c>
      <c r="BP313" s="4">
        <v>70000</v>
      </c>
      <c r="BQ313">
        <v>2</v>
      </c>
      <c r="BR313" t="s">
        <v>28</v>
      </c>
      <c r="BS313" t="s">
        <v>18</v>
      </c>
      <c r="BT313">
        <v>59</v>
      </c>
    </row>
    <row r="314" spans="1:72" x14ac:dyDescent="0.25">
      <c r="A314">
        <v>19012</v>
      </c>
      <c r="B314" t="s">
        <v>35</v>
      </c>
      <c r="C314" t="s">
        <v>38</v>
      </c>
      <c r="D314" s="11">
        <v>80000</v>
      </c>
      <c r="E314">
        <v>3</v>
      </c>
      <c r="F314" t="s">
        <v>13</v>
      </c>
      <c r="G314" t="s">
        <v>28</v>
      </c>
      <c r="H314" t="s">
        <v>15</v>
      </c>
      <c r="I314">
        <v>1</v>
      </c>
      <c r="J314" t="s">
        <v>26</v>
      </c>
      <c r="K314" t="s">
        <v>31</v>
      </c>
      <c r="L314">
        <v>56</v>
      </c>
      <c r="M314" t="str">
        <f t="shared" si="4"/>
        <v>Old</v>
      </c>
      <c r="N314" t="s">
        <v>18</v>
      </c>
      <c r="R314">
        <v>12768</v>
      </c>
      <c r="S314" t="s">
        <v>35</v>
      </c>
      <c r="T314" t="s">
        <v>38</v>
      </c>
      <c r="U314" s="4">
        <v>30000</v>
      </c>
      <c r="V314">
        <v>1</v>
      </c>
      <c r="W314" t="s">
        <v>27</v>
      </c>
      <c r="X314" t="s">
        <v>20</v>
      </c>
      <c r="Y314" t="s">
        <v>15</v>
      </c>
      <c r="Z314">
        <v>1</v>
      </c>
      <c r="AA314" t="s">
        <v>22</v>
      </c>
      <c r="AB314" t="s">
        <v>31</v>
      </c>
      <c r="AC314">
        <v>52</v>
      </c>
      <c r="AD314" t="s">
        <v>44</v>
      </c>
      <c r="BL314">
        <v>27279</v>
      </c>
      <c r="BM314" t="s">
        <v>36</v>
      </c>
      <c r="BN314" t="s">
        <v>37</v>
      </c>
      <c r="BO314" s="4">
        <v>70000</v>
      </c>
      <c r="BP314" s="4">
        <v>70000</v>
      </c>
      <c r="BQ314">
        <v>2</v>
      </c>
      <c r="BR314" t="s">
        <v>14</v>
      </c>
      <c r="BS314" t="s">
        <v>15</v>
      </c>
      <c r="BT314">
        <v>38</v>
      </c>
    </row>
    <row r="315" spans="1:72" x14ac:dyDescent="0.25">
      <c r="A315">
        <v>18594</v>
      </c>
      <c r="B315" t="s">
        <v>36</v>
      </c>
      <c r="C315" t="s">
        <v>37</v>
      </c>
      <c r="D315" s="11">
        <v>80000</v>
      </c>
      <c r="E315">
        <v>3</v>
      </c>
      <c r="F315" t="s">
        <v>13</v>
      </c>
      <c r="G315" t="s">
        <v>14</v>
      </c>
      <c r="H315" t="s">
        <v>15</v>
      </c>
      <c r="I315">
        <v>3</v>
      </c>
      <c r="J315" t="s">
        <v>42</v>
      </c>
      <c r="K315" t="s">
        <v>31</v>
      </c>
      <c r="L315">
        <v>40</v>
      </c>
      <c r="M315" t="str">
        <f t="shared" si="4"/>
        <v>MIddleAge</v>
      </c>
      <c r="N315" t="s">
        <v>15</v>
      </c>
      <c r="R315">
        <v>12590</v>
      </c>
      <c r="S315" t="s">
        <v>36</v>
      </c>
      <c r="T315" t="s">
        <v>38</v>
      </c>
      <c r="U315" s="4">
        <v>30000</v>
      </c>
      <c r="V315">
        <v>1</v>
      </c>
      <c r="W315" t="s">
        <v>13</v>
      </c>
      <c r="X315" t="s">
        <v>20</v>
      </c>
      <c r="Y315" t="s">
        <v>15</v>
      </c>
      <c r="Z315">
        <v>0</v>
      </c>
      <c r="AA315" t="s">
        <v>16</v>
      </c>
      <c r="AB315" t="s">
        <v>17</v>
      </c>
      <c r="AC315">
        <v>63</v>
      </c>
      <c r="AD315" t="s">
        <v>45</v>
      </c>
      <c r="BL315">
        <v>26490</v>
      </c>
      <c r="BM315" t="s">
        <v>36</v>
      </c>
      <c r="BN315" t="s">
        <v>38</v>
      </c>
      <c r="BO315" s="4">
        <v>70000</v>
      </c>
      <c r="BP315" s="4">
        <v>70000</v>
      </c>
      <c r="BQ315">
        <v>2</v>
      </c>
      <c r="BR315" t="s">
        <v>28</v>
      </c>
      <c r="BS315" t="s">
        <v>18</v>
      </c>
      <c r="BT315">
        <v>59</v>
      </c>
    </row>
    <row r="316" spans="1:72" x14ac:dyDescent="0.25">
      <c r="A316">
        <v>15372</v>
      </c>
      <c r="B316" t="s">
        <v>35</v>
      </c>
      <c r="C316" t="s">
        <v>38</v>
      </c>
      <c r="D316" s="11">
        <v>80000</v>
      </c>
      <c r="E316">
        <v>3</v>
      </c>
      <c r="F316" t="s">
        <v>19</v>
      </c>
      <c r="G316" t="s">
        <v>21</v>
      </c>
      <c r="H316" t="s">
        <v>18</v>
      </c>
      <c r="I316">
        <v>2</v>
      </c>
      <c r="J316" t="s">
        <v>22</v>
      </c>
      <c r="K316" t="s">
        <v>31</v>
      </c>
      <c r="L316">
        <v>50</v>
      </c>
      <c r="M316" t="str">
        <f t="shared" si="4"/>
        <v>MIddleAge</v>
      </c>
      <c r="N316" t="s">
        <v>15</v>
      </c>
      <c r="R316">
        <v>12507</v>
      </c>
      <c r="S316" t="s">
        <v>35</v>
      </c>
      <c r="T316" t="s">
        <v>38</v>
      </c>
      <c r="U316" s="4">
        <v>30000</v>
      </c>
      <c r="V316">
        <v>1</v>
      </c>
      <c r="W316" t="s">
        <v>19</v>
      </c>
      <c r="X316" t="s">
        <v>20</v>
      </c>
      <c r="Y316" t="s">
        <v>15</v>
      </c>
      <c r="Z316">
        <v>1</v>
      </c>
      <c r="AA316" t="s">
        <v>16</v>
      </c>
      <c r="AB316" t="s">
        <v>17</v>
      </c>
      <c r="AC316">
        <v>43</v>
      </c>
      <c r="AD316" t="s">
        <v>44</v>
      </c>
      <c r="BL316">
        <v>25899</v>
      </c>
      <c r="BM316" t="s">
        <v>35</v>
      </c>
      <c r="BN316" t="s">
        <v>37</v>
      </c>
      <c r="BO316" s="4">
        <v>70000</v>
      </c>
      <c r="BP316" s="4">
        <v>70000</v>
      </c>
      <c r="BQ316">
        <v>2</v>
      </c>
      <c r="BR316" t="s">
        <v>21</v>
      </c>
      <c r="BS316" t="s">
        <v>15</v>
      </c>
      <c r="BT316">
        <v>53</v>
      </c>
    </row>
    <row r="317" spans="1:72" x14ac:dyDescent="0.25">
      <c r="A317">
        <v>14602</v>
      </c>
      <c r="B317" t="s">
        <v>35</v>
      </c>
      <c r="C317" t="s">
        <v>37</v>
      </c>
      <c r="D317" s="11">
        <v>80000</v>
      </c>
      <c r="E317">
        <v>3</v>
      </c>
      <c r="F317" t="s">
        <v>30</v>
      </c>
      <c r="G317" t="s">
        <v>21</v>
      </c>
      <c r="H317" t="s">
        <v>15</v>
      </c>
      <c r="I317">
        <v>0</v>
      </c>
      <c r="J317" t="s">
        <v>16</v>
      </c>
      <c r="K317" t="s">
        <v>31</v>
      </c>
      <c r="L317">
        <v>36</v>
      </c>
      <c r="M317" t="str">
        <f t="shared" si="4"/>
        <v>MIddleAge</v>
      </c>
      <c r="N317" t="s">
        <v>15</v>
      </c>
      <c r="R317">
        <v>12472</v>
      </c>
      <c r="S317" t="s">
        <v>35</v>
      </c>
      <c r="T317" t="s">
        <v>38</v>
      </c>
      <c r="U317" s="4">
        <v>30000</v>
      </c>
      <c r="V317">
        <v>1</v>
      </c>
      <c r="W317" t="s">
        <v>13</v>
      </c>
      <c r="X317" t="s">
        <v>20</v>
      </c>
      <c r="Y317" t="s">
        <v>15</v>
      </c>
      <c r="Z317">
        <v>1</v>
      </c>
      <c r="AA317" t="s">
        <v>22</v>
      </c>
      <c r="AB317" t="s">
        <v>17</v>
      </c>
      <c r="AC317">
        <v>39</v>
      </c>
      <c r="AD317" t="s">
        <v>44</v>
      </c>
      <c r="BL317">
        <v>25898</v>
      </c>
      <c r="BM317" t="s">
        <v>35</v>
      </c>
      <c r="BN317" t="s">
        <v>37</v>
      </c>
      <c r="BO317" s="4">
        <v>70000</v>
      </c>
      <c r="BP317" s="4">
        <v>70000</v>
      </c>
      <c r="BQ317">
        <v>2</v>
      </c>
      <c r="BR317" t="s">
        <v>21</v>
      </c>
      <c r="BS317" t="s">
        <v>15</v>
      </c>
      <c r="BT317">
        <v>53</v>
      </c>
    </row>
    <row r="318" spans="1:72" x14ac:dyDescent="0.25">
      <c r="A318">
        <v>13911</v>
      </c>
      <c r="B318" t="s">
        <v>36</v>
      </c>
      <c r="C318" t="s">
        <v>37</v>
      </c>
      <c r="D318" s="11">
        <v>80000</v>
      </c>
      <c r="E318">
        <v>3</v>
      </c>
      <c r="F318" t="s">
        <v>13</v>
      </c>
      <c r="G318" t="s">
        <v>14</v>
      </c>
      <c r="H318" t="s">
        <v>15</v>
      </c>
      <c r="I318">
        <v>2</v>
      </c>
      <c r="J318" t="s">
        <v>22</v>
      </c>
      <c r="K318" t="s">
        <v>31</v>
      </c>
      <c r="L318">
        <v>41</v>
      </c>
      <c r="M318" t="str">
        <f t="shared" si="4"/>
        <v>MIddleAge</v>
      </c>
      <c r="N318" t="s">
        <v>15</v>
      </c>
      <c r="R318">
        <v>12273</v>
      </c>
      <c r="S318" t="s">
        <v>35</v>
      </c>
      <c r="T318" t="s">
        <v>38</v>
      </c>
      <c r="U318" s="4">
        <v>30000</v>
      </c>
      <c r="V318">
        <v>1</v>
      </c>
      <c r="W318" t="s">
        <v>13</v>
      </c>
      <c r="X318" t="s">
        <v>20</v>
      </c>
      <c r="Y318" t="s">
        <v>15</v>
      </c>
      <c r="Z318">
        <v>0</v>
      </c>
      <c r="AA318" t="s">
        <v>16</v>
      </c>
      <c r="AB318" t="s">
        <v>17</v>
      </c>
      <c r="AC318">
        <v>47</v>
      </c>
      <c r="AD318" t="s">
        <v>44</v>
      </c>
      <c r="BL318">
        <v>25872</v>
      </c>
      <c r="BM318" t="s">
        <v>36</v>
      </c>
      <c r="BN318" t="s">
        <v>37</v>
      </c>
      <c r="BO318" s="4">
        <v>70000</v>
      </c>
      <c r="BP318" s="4">
        <v>70000</v>
      </c>
      <c r="BQ318">
        <v>2</v>
      </c>
      <c r="BR318" t="s">
        <v>28</v>
      </c>
      <c r="BS318" t="s">
        <v>18</v>
      </c>
      <c r="BT318">
        <v>58</v>
      </c>
    </row>
    <row r="319" spans="1:72" x14ac:dyDescent="0.25">
      <c r="A319">
        <v>13907</v>
      </c>
      <c r="B319" t="s">
        <v>36</v>
      </c>
      <c r="C319" t="s">
        <v>37</v>
      </c>
      <c r="D319" s="11">
        <v>80000</v>
      </c>
      <c r="E319">
        <v>3</v>
      </c>
      <c r="F319" t="s">
        <v>13</v>
      </c>
      <c r="G319" t="s">
        <v>14</v>
      </c>
      <c r="H319" t="s">
        <v>15</v>
      </c>
      <c r="I319">
        <v>1</v>
      </c>
      <c r="J319" t="s">
        <v>16</v>
      </c>
      <c r="K319" t="s">
        <v>31</v>
      </c>
      <c r="L319">
        <v>41</v>
      </c>
      <c r="M319" t="str">
        <f t="shared" si="4"/>
        <v>MIddleAge</v>
      </c>
      <c r="N319" t="s">
        <v>15</v>
      </c>
      <c r="R319">
        <v>11576</v>
      </c>
      <c r="S319" t="s">
        <v>35</v>
      </c>
      <c r="T319" t="s">
        <v>38</v>
      </c>
      <c r="U319" s="4">
        <v>30000</v>
      </c>
      <c r="V319">
        <v>1</v>
      </c>
      <c r="W319" t="s">
        <v>13</v>
      </c>
      <c r="X319" t="s">
        <v>14</v>
      </c>
      <c r="Y319" t="s">
        <v>15</v>
      </c>
      <c r="Z319">
        <v>2</v>
      </c>
      <c r="AA319" t="s">
        <v>16</v>
      </c>
      <c r="AB319" t="s">
        <v>17</v>
      </c>
      <c r="AC319">
        <v>41</v>
      </c>
      <c r="AD319" t="s">
        <v>44</v>
      </c>
      <c r="BL319">
        <v>25405</v>
      </c>
      <c r="BM319" t="s">
        <v>35</v>
      </c>
      <c r="BN319" t="s">
        <v>38</v>
      </c>
      <c r="BO319" s="4">
        <v>70000</v>
      </c>
      <c r="BP319" s="4">
        <v>70000</v>
      </c>
      <c r="BQ319">
        <v>2</v>
      </c>
      <c r="BR319" t="s">
        <v>14</v>
      </c>
      <c r="BS319" t="s">
        <v>15</v>
      </c>
      <c r="BT319">
        <v>38</v>
      </c>
    </row>
    <row r="320" spans="1:72" x14ac:dyDescent="0.25">
      <c r="A320">
        <v>13283</v>
      </c>
      <c r="B320" t="s">
        <v>35</v>
      </c>
      <c r="C320" t="s">
        <v>38</v>
      </c>
      <c r="D320" s="11">
        <v>80000</v>
      </c>
      <c r="E320">
        <v>3</v>
      </c>
      <c r="F320" t="s">
        <v>19</v>
      </c>
      <c r="G320" t="s">
        <v>21</v>
      </c>
      <c r="H320" t="s">
        <v>18</v>
      </c>
      <c r="I320">
        <v>2</v>
      </c>
      <c r="J320" t="s">
        <v>16</v>
      </c>
      <c r="K320" t="s">
        <v>31</v>
      </c>
      <c r="L320">
        <v>49</v>
      </c>
      <c r="M320" t="str">
        <f t="shared" si="4"/>
        <v>MIddleAge</v>
      </c>
      <c r="N320" t="s">
        <v>15</v>
      </c>
      <c r="R320">
        <v>26984</v>
      </c>
      <c r="S320" t="s">
        <v>35</v>
      </c>
      <c r="T320" t="s">
        <v>38</v>
      </c>
      <c r="U320" s="4">
        <v>40000</v>
      </c>
      <c r="V320">
        <v>1</v>
      </c>
      <c r="W320" t="s">
        <v>13</v>
      </c>
      <c r="X320" t="s">
        <v>14</v>
      </c>
      <c r="Y320" t="s">
        <v>15</v>
      </c>
      <c r="Z320">
        <v>1</v>
      </c>
      <c r="AA320" t="s">
        <v>16</v>
      </c>
      <c r="AB320" t="s">
        <v>17</v>
      </c>
      <c r="AC320">
        <v>32</v>
      </c>
      <c r="AD320" t="s">
        <v>44</v>
      </c>
      <c r="BL320">
        <v>25065</v>
      </c>
      <c r="BM320" t="s">
        <v>35</v>
      </c>
      <c r="BN320" t="s">
        <v>38</v>
      </c>
      <c r="BO320" s="4">
        <v>70000</v>
      </c>
      <c r="BP320" s="4">
        <v>70000</v>
      </c>
      <c r="BQ320">
        <v>2</v>
      </c>
      <c r="BR320" t="s">
        <v>14</v>
      </c>
      <c r="BS320" t="s">
        <v>15</v>
      </c>
      <c r="BT320">
        <v>48</v>
      </c>
    </row>
    <row r="321" spans="1:72" x14ac:dyDescent="0.25">
      <c r="A321">
        <v>24842</v>
      </c>
      <c r="B321" t="s">
        <v>36</v>
      </c>
      <c r="C321" t="s">
        <v>37</v>
      </c>
      <c r="D321" s="11">
        <v>90000</v>
      </c>
      <c r="E321">
        <v>3</v>
      </c>
      <c r="F321" t="s">
        <v>27</v>
      </c>
      <c r="G321" t="s">
        <v>21</v>
      </c>
      <c r="H321" t="s">
        <v>18</v>
      </c>
      <c r="I321">
        <v>1</v>
      </c>
      <c r="J321" t="s">
        <v>22</v>
      </c>
      <c r="K321" t="s">
        <v>17</v>
      </c>
      <c r="L321">
        <v>51</v>
      </c>
      <c r="M321" t="str">
        <f t="shared" si="4"/>
        <v>MIddleAge</v>
      </c>
      <c r="N321" t="s">
        <v>18</v>
      </c>
      <c r="R321">
        <v>23940</v>
      </c>
      <c r="S321" t="s">
        <v>35</v>
      </c>
      <c r="T321" t="s">
        <v>38</v>
      </c>
      <c r="U321" s="4">
        <v>40000</v>
      </c>
      <c r="V321">
        <v>1</v>
      </c>
      <c r="W321" t="s">
        <v>13</v>
      </c>
      <c r="X321" t="s">
        <v>14</v>
      </c>
      <c r="Y321" t="s">
        <v>15</v>
      </c>
      <c r="Z321">
        <v>1</v>
      </c>
      <c r="AA321" t="s">
        <v>16</v>
      </c>
      <c r="AB321" t="s">
        <v>17</v>
      </c>
      <c r="AC321">
        <v>44</v>
      </c>
      <c r="AD321" t="s">
        <v>44</v>
      </c>
      <c r="BL321">
        <v>23712</v>
      </c>
      <c r="BM321" t="s">
        <v>36</v>
      </c>
      <c r="BN321" t="s">
        <v>37</v>
      </c>
      <c r="BO321" s="4">
        <v>70000</v>
      </c>
      <c r="BP321" s="4">
        <v>70000</v>
      </c>
      <c r="BQ321">
        <v>2</v>
      </c>
      <c r="BR321" t="s">
        <v>28</v>
      </c>
      <c r="BS321" t="s">
        <v>15</v>
      </c>
      <c r="BT321">
        <v>59</v>
      </c>
    </row>
    <row r="322" spans="1:72" x14ac:dyDescent="0.25">
      <c r="A322">
        <v>23627</v>
      </c>
      <c r="B322" t="s">
        <v>36</v>
      </c>
      <c r="C322" t="s">
        <v>37</v>
      </c>
      <c r="D322" s="11">
        <v>100000</v>
      </c>
      <c r="E322">
        <v>3</v>
      </c>
      <c r="F322" t="s">
        <v>19</v>
      </c>
      <c r="G322" t="s">
        <v>28</v>
      </c>
      <c r="H322" t="s">
        <v>18</v>
      </c>
      <c r="I322">
        <v>4</v>
      </c>
      <c r="J322" t="s">
        <v>23</v>
      </c>
      <c r="K322" t="s">
        <v>17</v>
      </c>
      <c r="L322">
        <v>56</v>
      </c>
      <c r="M322" t="str">
        <f t="shared" ref="M322:M385" si="5">IF(L322&gt; 54, "Old",IF(L322&gt;= 31, "MIddleAge",IF(L322&lt;31, "Adolescent", "Adult")))</f>
        <v>Old</v>
      </c>
      <c r="N322" t="s">
        <v>18</v>
      </c>
      <c r="R322">
        <v>19364</v>
      </c>
      <c r="S322" t="s">
        <v>35</v>
      </c>
      <c r="T322" t="s">
        <v>38</v>
      </c>
      <c r="U322" s="4">
        <v>40000</v>
      </c>
      <c r="V322">
        <v>1</v>
      </c>
      <c r="W322" t="s">
        <v>13</v>
      </c>
      <c r="X322" t="s">
        <v>14</v>
      </c>
      <c r="Y322" t="s">
        <v>15</v>
      </c>
      <c r="Z322">
        <v>0</v>
      </c>
      <c r="AA322" t="s">
        <v>16</v>
      </c>
      <c r="AB322" t="s">
        <v>17</v>
      </c>
      <c r="AC322">
        <v>43</v>
      </c>
      <c r="AD322" t="s">
        <v>44</v>
      </c>
      <c r="BL322">
        <v>21471</v>
      </c>
      <c r="BM322" t="s">
        <v>35</v>
      </c>
      <c r="BN322" t="s">
        <v>38</v>
      </c>
      <c r="BO322" s="4">
        <v>70000</v>
      </c>
      <c r="BP322" s="4">
        <v>70000</v>
      </c>
      <c r="BQ322">
        <v>2</v>
      </c>
      <c r="BR322" t="s">
        <v>21</v>
      </c>
      <c r="BS322" t="s">
        <v>15</v>
      </c>
      <c r="BT322">
        <v>59</v>
      </c>
    </row>
    <row r="323" spans="1:72" x14ac:dyDescent="0.25">
      <c r="A323">
        <v>20598</v>
      </c>
      <c r="B323" t="s">
        <v>35</v>
      </c>
      <c r="C323" t="s">
        <v>38</v>
      </c>
      <c r="D323" s="11">
        <v>100000</v>
      </c>
      <c r="E323">
        <v>3</v>
      </c>
      <c r="F323" t="s">
        <v>29</v>
      </c>
      <c r="G323" t="s">
        <v>21</v>
      </c>
      <c r="H323" t="s">
        <v>15</v>
      </c>
      <c r="I323">
        <v>0</v>
      </c>
      <c r="J323" t="s">
        <v>42</v>
      </c>
      <c r="K323" t="s">
        <v>17</v>
      </c>
      <c r="L323">
        <v>59</v>
      </c>
      <c r="M323" t="str">
        <f t="shared" si="5"/>
        <v>Old</v>
      </c>
      <c r="N323" t="s">
        <v>15</v>
      </c>
      <c r="R323">
        <v>14832</v>
      </c>
      <c r="S323" t="s">
        <v>35</v>
      </c>
      <c r="T323" t="s">
        <v>38</v>
      </c>
      <c r="U323" s="4">
        <v>40000</v>
      </c>
      <c r="V323">
        <v>1</v>
      </c>
      <c r="W323" t="s">
        <v>13</v>
      </c>
      <c r="X323" t="s">
        <v>14</v>
      </c>
      <c r="Y323" t="s">
        <v>15</v>
      </c>
      <c r="Z323">
        <v>0</v>
      </c>
      <c r="AA323" t="s">
        <v>16</v>
      </c>
      <c r="AB323" t="s">
        <v>17</v>
      </c>
      <c r="AC323">
        <v>42</v>
      </c>
      <c r="AD323" t="s">
        <v>44</v>
      </c>
      <c r="BL323">
        <v>20518</v>
      </c>
      <c r="BM323" t="s">
        <v>35</v>
      </c>
      <c r="BN323" t="s">
        <v>37</v>
      </c>
      <c r="BO323" s="4">
        <v>70000</v>
      </c>
      <c r="BP323" s="4">
        <v>70000</v>
      </c>
      <c r="BQ323">
        <v>2</v>
      </c>
      <c r="BR323" t="s">
        <v>21</v>
      </c>
      <c r="BS323" t="s">
        <v>15</v>
      </c>
      <c r="BT323">
        <v>58</v>
      </c>
    </row>
    <row r="324" spans="1:72" x14ac:dyDescent="0.25">
      <c r="A324">
        <v>19664</v>
      </c>
      <c r="B324" t="s">
        <v>36</v>
      </c>
      <c r="C324" t="s">
        <v>38</v>
      </c>
      <c r="D324" s="11">
        <v>100000</v>
      </c>
      <c r="E324">
        <v>3</v>
      </c>
      <c r="F324" t="s">
        <v>13</v>
      </c>
      <c r="G324" t="s">
        <v>28</v>
      </c>
      <c r="H324" t="s">
        <v>18</v>
      </c>
      <c r="I324">
        <v>3</v>
      </c>
      <c r="J324" t="s">
        <v>26</v>
      </c>
      <c r="K324" t="s">
        <v>31</v>
      </c>
      <c r="L324">
        <v>38</v>
      </c>
      <c r="M324" t="str">
        <f t="shared" si="5"/>
        <v>MIddleAge</v>
      </c>
      <c r="N324" t="s">
        <v>18</v>
      </c>
      <c r="R324">
        <v>14754</v>
      </c>
      <c r="S324" t="s">
        <v>35</v>
      </c>
      <c r="T324" t="s">
        <v>38</v>
      </c>
      <c r="U324" s="4">
        <v>40000</v>
      </c>
      <c r="V324">
        <v>1</v>
      </c>
      <c r="W324" t="s">
        <v>19</v>
      </c>
      <c r="X324" t="s">
        <v>20</v>
      </c>
      <c r="Y324" t="s">
        <v>15</v>
      </c>
      <c r="Z324">
        <v>1</v>
      </c>
      <c r="AA324" t="s">
        <v>26</v>
      </c>
      <c r="AB324" t="s">
        <v>31</v>
      </c>
      <c r="AC324">
        <v>48</v>
      </c>
      <c r="AD324" t="s">
        <v>44</v>
      </c>
      <c r="BL324">
        <v>20514</v>
      </c>
      <c r="BM324" t="s">
        <v>35</v>
      </c>
      <c r="BN324" t="s">
        <v>37</v>
      </c>
      <c r="BO324" s="4">
        <v>70000</v>
      </c>
      <c r="BP324" s="4">
        <v>70000</v>
      </c>
      <c r="BQ324">
        <v>2</v>
      </c>
      <c r="BR324" t="s">
        <v>21</v>
      </c>
      <c r="BS324" t="s">
        <v>15</v>
      </c>
      <c r="BT324">
        <v>59</v>
      </c>
    </row>
    <row r="325" spans="1:72" x14ac:dyDescent="0.25">
      <c r="A325">
        <v>18517</v>
      </c>
      <c r="B325" t="s">
        <v>35</v>
      </c>
      <c r="C325" t="s">
        <v>38</v>
      </c>
      <c r="D325" s="11">
        <v>100000</v>
      </c>
      <c r="E325">
        <v>3</v>
      </c>
      <c r="F325" t="s">
        <v>13</v>
      </c>
      <c r="G325" t="s">
        <v>28</v>
      </c>
      <c r="H325" t="s">
        <v>15</v>
      </c>
      <c r="I325">
        <v>4</v>
      </c>
      <c r="J325" t="s">
        <v>16</v>
      </c>
      <c r="K325" t="s">
        <v>31</v>
      </c>
      <c r="L325">
        <v>41</v>
      </c>
      <c r="M325" t="str">
        <f t="shared" si="5"/>
        <v>MIddleAge</v>
      </c>
      <c r="N325" t="s">
        <v>18</v>
      </c>
      <c r="R325">
        <v>13687</v>
      </c>
      <c r="S325" t="s">
        <v>35</v>
      </c>
      <c r="T325" t="s">
        <v>38</v>
      </c>
      <c r="U325" s="4">
        <v>40000</v>
      </c>
      <c r="V325">
        <v>1</v>
      </c>
      <c r="W325" t="s">
        <v>13</v>
      </c>
      <c r="X325" t="s">
        <v>14</v>
      </c>
      <c r="Y325" t="s">
        <v>15</v>
      </c>
      <c r="Z325">
        <v>1</v>
      </c>
      <c r="AA325" t="s">
        <v>16</v>
      </c>
      <c r="AB325" t="s">
        <v>17</v>
      </c>
      <c r="AC325">
        <v>33</v>
      </c>
      <c r="AD325" t="s">
        <v>44</v>
      </c>
      <c r="BL325">
        <v>20430</v>
      </c>
      <c r="BM325" t="s">
        <v>35</v>
      </c>
      <c r="BN325" t="s">
        <v>38</v>
      </c>
      <c r="BO325" s="4">
        <v>70000</v>
      </c>
      <c r="BP325" s="4">
        <v>70000</v>
      </c>
      <c r="BQ325">
        <v>2</v>
      </c>
      <c r="BR325" t="s">
        <v>14</v>
      </c>
      <c r="BS325" t="s">
        <v>15</v>
      </c>
      <c r="BT325">
        <v>52</v>
      </c>
    </row>
    <row r="326" spans="1:72" x14ac:dyDescent="0.25">
      <c r="A326">
        <v>14469</v>
      </c>
      <c r="B326" t="s">
        <v>35</v>
      </c>
      <c r="C326" t="s">
        <v>37</v>
      </c>
      <c r="D326" s="11">
        <v>100000</v>
      </c>
      <c r="E326">
        <v>3</v>
      </c>
      <c r="F326" t="s">
        <v>19</v>
      </c>
      <c r="G326" t="s">
        <v>21</v>
      </c>
      <c r="H326" t="s">
        <v>15</v>
      </c>
      <c r="I326">
        <v>4</v>
      </c>
      <c r="J326" t="s">
        <v>26</v>
      </c>
      <c r="K326" t="s">
        <v>31</v>
      </c>
      <c r="L326">
        <v>45</v>
      </c>
      <c r="M326" t="str">
        <f t="shared" si="5"/>
        <v>MIddleAge</v>
      </c>
      <c r="N326" t="s">
        <v>18</v>
      </c>
      <c r="R326">
        <v>12510</v>
      </c>
      <c r="S326" t="s">
        <v>35</v>
      </c>
      <c r="T326" t="s">
        <v>38</v>
      </c>
      <c r="U326" s="4">
        <v>40000</v>
      </c>
      <c r="V326">
        <v>1</v>
      </c>
      <c r="W326" t="s">
        <v>13</v>
      </c>
      <c r="X326" t="s">
        <v>14</v>
      </c>
      <c r="Y326" t="s">
        <v>15</v>
      </c>
      <c r="Z326">
        <v>1</v>
      </c>
      <c r="AA326" t="s">
        <v>16</v>
      </c>
      <c r="AB326" t="s">
        <v>17</v>
      </c>
      <c r="AC326">
        <v>43</v>
      </c>
      <c r="AD326" t="s">
        <v>44</v>
      </c>
      <c r="BL326">
        <v>19889</v>
      </c>
      <c r="BM326" t="s">
        <v>36</v>
      </c>
      <c r="BN326" t="s">
        <v>37</v>
      </c>
      <c r="BO326" s="4">
        <v>70000</v>
      </c>
      <c r="BP326" s="4">
        <v>70000</v>
      </c>
      <c r="BQ326">
        <v>2</v>
      </c>
      <c r="BR326" t="s">
        <v>14</v>
      </c>
      <c r="BS326" t="s">
        <v>18</v>
      </c>
      <c r="BT326">
        <v>54</v>
      </c>
    </row>
    <row r="327" spans="1:72" x14ac:dyDescent="0.25">
      <c r="A327">
        <v>14193</v>
      </c>
      <c r="B327" t="s">
        <v>36</v>
      </c>
      <c r="C327" t="s">
        <v>37</v>
      </c>
      <c r="D327" s="11">
        <v>100000</v>
      </c>
      <c r="E327">
        <v>3</v>
      </c>
      <c r="F327" t="s">
        <v>19</v>
      </c>
      <c r="G327" t="s">
        <v>28</v>
      </c>
      <c r="H327" t="s">
        <v>15</v>
      </c>
      <c r="I327">
        <v>4</v>
      </c>
      <c r="J327" t="s">
        <v>42</v>
      </c>
      <c r="K327" t="s">
        <v>17</v>
      </c>
      <c r="L327">
        <v>56</v>
      </c>
      <c r="M327" t="str">
        <f t="shared" si="5"/>
        <v>Old</v>
      </c>
      <c r="N327" t="s">
        <v>18</v>
      </c>
      <c r="R327">
        <v>25375</v>
      </c>
      <c r="S327" t="s">
        <v>35</v>
      </c>
      <c r="T327" t="s">
        <v>38</v>
      </c>
      <c r="U327" s="4">
        <v>50000</v>
      </c>
      <c r="V327">
        <v>1</v>
      </c>
      <c r="W327" t="s">
        <v>30</v>
      </c>
      <c r="X327" t="s">
        <v>14</v>
      </c>
      <c r="Y327" t="s">
        <v>15</v>
      </c>
      <c r="Z327">
        <v>0</v>
      </c>
      <c r="AA327" t="s">
        <v>26</v>
      </c>
      <c r="AB327" t="s">
        <v>31</v>
      </c>
      <c r="AC327">
        <v>34</v>
      </c>
      <c r="AD327" t="s">
        <v>44</v>
      </c>
      <c r="BL327">
        <v>19812</v>
      </c>
      <c r="BM327" t="s">
        <v>36</v>
      </c>
      <c r="BN327" t="s">
        <v>37</v>
      </c>
      <c r="BO327" s="4">
        <v>70000</v>
      </c>
      <c r="BP327" s="4">
        <v>70000</v>
      </c>
      <c r="BQ327">
        <v>2</v>
      </c>
      <c r="BR327" t="s">
        <v>21</v>
      </c>
      <c r="BS327" t="s">
        <v>15</v>
      </c>
      <c r="BT327">
        <v>49</v>
      </c>
    </row>
    <row r="328" spans="1:72" x14ac:dyDescent="0.25">
      <c r="A328">
        <v>26065</v>
      </c>
      <c r="B328" t="s">
        <v>36</v>
      </c>
      <c r="C328" t="s">
        <v>37</v>
      </c>
      <c r="D328" s="11">
        <v>110000</v>
      </c>
      <c r="E328">
        <v>3</v>
      </c>
      <c r="F328" t="s">
        <v>13</v>
      </c>
      <c r="G328" t="s">
        <v>28</v>
      </c>
      <c r="H328" t="s">
        <v>18</v>
      </c>
      <c r="I328">
        <v>4</v>
      </c>
      <c r="J328" t="s">
        <v>26</v>
      </c>
      <c r="K328" t="s">
        <v>31</v>
      </c>
      <c r="L328">
        <v>42</v>
      </c>
      <c r="M328" t="str">
        <f t="shared" si="5"/>
        <v>MIddleAge</v>
      </c>
      <c r="N328" t="s">
        <v>18</v>
      </c>
      <c r="R328">
        <v>23144</v>
      </c>
      <c r="S328" t="s">
        <v>35</v>
      </c>
      <c r="T328" t="s">
        <v>38</v>
      </c>
      <c r="U328" s="4">
        <v>50000</v>
      </c>
      <c r="V328">
        <v>1</v>
      </c>
      <c r="W328" t="s">
        <v>13</v>
      </c>
      <c r="X328" t="s">
        <v>14</v>
      </c>
      <c r="Y328" t="s">
        <v>15</v>
      </c>
      <c r="Z328">
        <v>0</v>
      </c>
      <c r="AA328" t="s">
        <v>16</v>
      </c>
      <c r="AB328" t="s">
        <v>31</v>
      </c>
      <c r="AC328">
        <v>34</v>
      </c>
      <c r="AD328" t="s">
        <v>44</v>
      </c>
      <c r="BL328">
        <v>18560</v>
      </c>
      <c r="BM328" t="s">
        <v>35</v>
      </c>
      <c r="BN328" t="s">
        <v>37</v>
      </c>
      <c r="BO328" s="4">
        <v>70000</v>
      </c>
      <c r="BP328" s="4">
        <v>70000</v>
      </c>
      <c r="BQ328">
        <v>2</v>
      </c>
      <c r="BR328" t="s">
        <v>21</v>
      </c>
      <c r="BS328" t="s">
        <v>15</v>
      </c>
      <c r="BT328">
        <v>34</v>
      </c>
    </row>
    <row r="329" spans="1:72" x14ac:dyDescent="0.25">
      <c r="A329">
        <v>25792</v>
      </c>
      <c r="B329" t="s">
        <v>36</v>
      </c>
      <c r="C329" t="s">
        <v>37</v>
      </c>
      <c r="D329" s="11">
        <v>110000</v>
      </c>
      <c r="E329">
        <v>3</v>
      </c>
      <c r="F329" t="s">
        <v>13</v>
      </c>
      <c r="G329" t="s">
        <v>28</v>
      </c>
      <c r="H329" t="s">
        <v>15</v>
      </c>
      <c r="I329">
        <v>4</v>
      </c>
      <c r="J329" t="s">
        <v>42</v>
      </c>
      <c r="K329" t="s">
        <v>17</v>
      </c>
      <c r="L329">
        <v>53</v>
      </c>
      <c r="M329" t="str">
        <f t="shared" si="5"/>
        <v>MIddleAge</v>
      </c>
      <c r="N329" t="s">
        <v>18</v>
      </c>
      <c r="R329">
        <v>12882</v>
      </c>
      <c r="S329" t="s">
        <v>35</v>
      </c>
      <c r="T329" t="s">
        <v>38</v>
      </c>
      <c r="U329" s="4">
        <v>50000</v>
      </c>
      <c r="V329">
        <v>1</v>
      </c>
      <c r="W329" t="s">
        <v>30</v>
      </c>
      <c r="X329" t="s">
        <v>14</v>
      </c>
      <c r="Y329" t="s">
        <v>15</v>
      </c>
      <c r="Z329">
        <v>0</v>
      </c>
      <c r="AA329" t="s">
        <v>16</v>
      </c>
      <c r="AB329" t="s">
        <v>31</v>
      </c>
      <c r="AC329">
        <v>33</v>
      </c>
      <c r="AD329" t="s">
        <v>44</v>
      </c>
      <c r="BL329">
        <v>18504</v>
      </c>
      <c r="BM329" t="s">
        <v>35</v>
      </c>
      <c r="BN329" t="s">
        <v>38</v>
      </c>
      <c r="BO329" s="4">
        <v>70000</v>
      </c>
      <c r="BP329" s="4">
        <v>70000</v>
      </c>
      <c r="BQ329">
        <v>2</v>
      </c>
      <c r="BR329" t="s">
        <v>14</v>
      </c>
      <c r="BS329" t="s">
        <v>18</v>
      </c>
      <c r="BT329">
        <v>49</v>
      </c>
    </row>
    <row r="330" spans="1:72" x14ac:dyDescent="0.25">
      <c r="A330">
        <v>22719</v>
      </c>
      <c r="B330" t="s">
        <v>36</v>
      </c>
      <c r="C330" t="s">
        <v>38</v>
      </c>
      <c r="D330" s="11">
        <v>110000</v>
      </c>
      <c r="E330">
        <v>3</v>
      </c>
      <c r="F330" t="s">
        <v>13</v>
      </c>
      <c r="G330" t="s">
        <v>28</v>
      </c>
      <c r="H330" t="s">
        <v>15</v>
      </c>
      <c r="I330">
        <v>4</v>
      </c>
      <c r="J330" t="s">
        <v>22</v>
      </c>
      <c r="K330" t="s">
        <v>31</v>
      </c>
      <c r="L330">
        <v>40</v>
      </c>
      <c r="M330" t="str">
        <f t="shared" si="5"/>
        <v>MIddleAge</v>
      </c>
      <c r="N330" t="s">
        <v>15</v>
      </c>
      <c r="R330">
        <v>11641</v>
      </c>
      <c r="S330" t="s">
        <v>35</v>
      </c>
      <c r="T330" t="s">
        <v>38</v>
      </c>
      <c r="U330" s="4">
        <v>50000</v>
      </c>
      <c r="V330">
        <v>1</v>
      </c>
      <c r="W330" t="s">
        <v>13</v>
      </c>
      <c r="X330" t="s">
        <v>14</v>
      </c>
      <c r="Y330" t="s">
        <v>15</v>
      </c>
      <c r="Z330">
        <v>0</v>
      </c>
      <c r="AA330" t="s">
        <v>16</v>
      </c>
      <c r="AB330" t="s">
        <v>31</v>
      </c>
      <c r="AC330">
        <v>36</v>
      </c>
      <c r="AD330" t="s">
        <v>44</v>
      </c>
      <c r="BL330">
        <v>18491</v>
      </c>
      <c r="BM330" t="s">
        <v>36</v>
      </c>
      <c r="BN330" t="s">
        <v>37</v>
      </c>
      <c r="BO330" s="4">
        <v>70000</v>
      </c>
      <c r="BP330" s="4">
        <v>70000</v>
      </c>
      <c r="BQ330">
        <v>2</v>
      </c>
      <c r="BR330" t="s">
        <v>21</v>
      </c>
      <c r="BS330" t="s">
        <v>15</v>
      </c>
      <c r="BT330">
        <v>49</v>
      </c>
    </row>
    <row r="331" spans="1:72" x14ac:dyDescent="0.25">
      <c r="A331">
        <v>26385</v>
      </c>
      <c r="B331" t="s">
        <v>36</v>
      </c>
      <c r="C331" t="s">
        <v>38</v>
      </c>
      <c r="D331" s="11">
        <v>120000</v>
      </c>
      <c r="E331">
        <v>3</v>
      </c>
      <c r="F331" t="s">
        <v>27</v>
      </c>
      <c r="G331" t="s">
        <v>21</v>
      </c>
      <c r="H331" t="s">
        <v>18</v>
      </c>
      <c r="I331">
        <v>4</v>
      </c>
      <c r="J331" t="s">
        <v>23</v>
      </c>
      <c r="K331" t="s">
        <v>17</v>
      </c>
      <c r="L331">
        <v>50</v>
      </c>
      <c r="M331" t="str">
        <f t="shared" si="5"/>
        <v>MIddleAge</v>
      </c>
      <c r="N331" t="s">
        <v>18</v>
      </c>
      <c r="R331">
        <v>29143</v>
      </c>
      <c r="S331" t="s">
        <v>36</v>
      </c>
      <c r="T331" t="s">
        <v>37</v>
      </c>
      <c r="U331" s="4">
        <v>60000</v>
      </c>
      <c r="V331">
        <v>1</v>
      </c>
      <c r="W331" t="s">
        <v>13</v>
      </c>
      <c r="X331" t="s">
        <v>21</v>
      </c>
      <c r="Y331" t="s">
        <v>18</v>
      </c>
      <c r="Z331">
        <v>1</v>
      </c>
      <c r="AA331" t="s">
        <v>16</v>
      </c>
      <c r="AB331" t="s">
        <v>31</v>
      </c>
      <c r="AC331">
        <v>44</v>
      </c>
      <c r="AD331" t="s">
        <v>44</v>
      </c>
      <c r="BL331">
        <v>14032</v>
      </c>
      <c r="BM331" t="s">
        <v>35</v>
      </c>
      <c r="BN331" t="s">
        <v>38</v>
      </c>
      <c r="BO331" s="4">
        <v>70000</v>
      </c>
      <c r="BP331" s="4">
        <v>70000</v>
      </c>
      <c r="BQ331">
        <v>2</v>
      </c>
      <c r="BR331" t="s">
        <v>14</v>
      </c>
      <c r="BS331" t="s">
        <v>18</v>
      </c>
      <c r="BT331">
        <v>50</v>
      </c>
    </row>
    <row r="332" spans="1:72" x14ac:dyDescent="0.25">
      <c r="A332">
        <v>19057</v>
      </c>
      <c r="B332" t="s">
        <v>35</v>
      </c>
      <c r="C332" t="s">
        <v>37</v>
      </c>
      <c r="D332" s="11">
        <v>120000</v>
      </c>
      <c r="E332">
        <v>3</v>
      </c>
      <c r="F332" t="s">
        <v>13</v>
      </c>
      <c r="G332" t="s">
        <v>28</v>
      </c>
      <c r="H332" t="s">
        <v>18</v>
      </c>
      <c r="I332">
        <v>2</v>
      </c>
      <c r="J332" t="s">
        <v>42</v>
      </c>
      <c r="K332" t="s">
        <v>17</v>
      </c>
      <c r="L332">
        <v>52</v>
      </c>
      <c r="M332" t="str">
        <f t="shared" si="5"/>
        <v>MIddleAge</v>
      </c>
      <c r="N332" t="s">
        <v>15</v>
      </c>
      <c r="R332">
        <v>28319</v>
      </c>
      <c r="S332" t="s">
        <v>36</v>
      </c>
      <c r="T332" t="s">
        <v>37</v>
      </c>
      <c r="U332" s="4">
        <v>60000</v>
      </c>
      <c r="V332">
        <v>1</v>
      </c>
      <c r="W332" t="s">
        <v>19</v>
      </c>
      <c r="X332" t="s">
        <v>14</v>
      </c>
      <c r="Y332" t="s">
        <v>18</v>
      </c>
      <c r="Z332">
        <v>1</v>
      </c>
      <c r="AA332" t="s">
        <v>16</v>
      </c>
      <c r="AB332" t="s">
        <v>24</v>
      </c>
      <c r="AC332">
        <v>46</v>
      </c>
      <c r="AD332" t="s">
        <v>44</v>
      </c>
      <c r="BL332">
        <v>11669</v>
      </c>
      <c r="BM332" t="s">
        <v>36</v>
      </c>
      <c r="BN332" t="s">
        <v>37</v>
      </c>
      <c r="BO332" s="4">
        <v>70000</v>
      </c>
      <c r="BP332" s="4">
        <v>70000</v>
      </c>
      <c r="BQ332">
        <v>2</v>
      </c>
      <c r="BR332" t="s">
        <v>14</v>
      </c>
      <c r="BS332" t="s">
        <v>15</v>
      </c>
      <c r="BT332">
        <v>38</v>
      </c>
    </row>
    <row r="333" spans="1:72" x14ac:dyDescent="0.25">
      <c r="A333">
        <v>15926</v>
      </c>
      <c r="B333" t="s">
        <v>36</v>
      </c>
      <c r="C333" t="s">
        <v>37</v>
      </c>
      <c r="D333" s="11">
        <v>120000</v>
      </c>
      <c r="E333">
        <v>3</v>
      </c>
      <c r="F333" t="s">
        <v>27</v>
      </c>
      <c r="G333" t="s">
        <v>21</v>
      </c>
      <c r="H333" t="s">
        <v>15</v>
      </c>
      <c r="I333">
        <v>4</v>
      </c>
      <c r="J333" t="s">
        <v>23</v>
      </c>
      <c r="K333" t="s">
        <v>17</v>
      </c>
      <c r="L333">
        <v>50</v>
      </c>
      <c r="M333" t="str">
        <f t="shared" si="5"/>
        <v>MIddleAge</v>
      </c>
      <c r="N333" t="s">
        <v>15</v>
      </c>
      <c r="R333">
        <v>27696</v>
      </c>
      <c r="S333" t="s">
        <v>35</v>
      </c>
      <c r="T333" t="s">
        <v>38</v>
      </c>
      <c r="U333" s="4">
        <v>60000</v>
      </c>
      <c r="V333">
        <v>1</v>
      </c>
      <c r="W333" t="s">
        <v>13</v>
      </c>
      <c r="X333" t="s">
        <v>21</v>
      </c>
      <c r="Y333" t="s">
        <v>15</v>
      </c>
      <c r="Z333">
        <v>1</v>
      </c>
      <c r="AA333" t="s">
        <v>23</v>
      </c>
      <c r="AB333" t="s">
        <v>24</v>
      </c>
      <c r="AC333">
        <v>43</v>
      </c>
      <c r="AD333" t="s">
        <v>44</v>
      </c>
      <c r="BL333">
        <v>11061</v>
      </c>
      <c r="BM333" t="s">
        <v>35</v>
      </c>
      <c r="BN333" t="s">
        <v>38</v>
      </c>
      <c r="BO333" s="4">
        <v>70000</v>
      </c>
      <c r="BP333" s="4">
        <v>70000</v>
      </c>
      <c r="BQ333">
        <v>2</v>
      </c>
      <c r="BR333" t="s">
        <v>14</v>
      </c>
      <c r="BS333" t="s">
        <v>15</v>
      </c>
      <c r="BT333">
        <v>52</v>
      </c>
    </row>
    <row r="334" spans="1:72" x14ac:dyDescent="0.25">
      <c r="A334">
        <v>24857</v>
      </c>
      <c r="B334" t="s">
        <v>35</v>
      </c>
      <c r="C334" t="s">
        <v>37</v>
      </c>
      <c r="D334" s="11">
        <v>130000</v>
      </c>
      <c r="E334">
        <v>3</v>
      </c>
      <c r="F334" t="s">
        <v>27</v>
      </c>
      <c r="G334" t="s">
        <v>21</v>
      </c>
      <c r="H334" t="s">
        <v>15</v>
      </c>
      <c r="I334">
        <v>4</v>
      </c>
      <c r="J334" t="s">
        <v>16</v>
      </c>
      <c r="K334" t="s">
        <v>17</v>
      </c>
      <c r="L334">
        <v>52</v>
      </c>
      <c r="M334" t="str">
        <f t="shared" si="5"/>
        <v>MIddleAge</v>
      </c>
      <c r="N334" t="s">
        <v>18</v>
      </c>
      <c r="R334">
        <v>26154</v>
      </c>
      <c r="S334" t="s">
        <v>35</v>
      </c>
      <c r="T334" t="s">
        <v>38</v>
      </c>
      <c r="U334" s="4">
        <v>60000</v>
      </c>
      <c r="V334">
        <v>1</v>
      </c>
      <c r="W334" t="s">
        <v>19</v>
      </c>
      <c r="X334" t="s">
        <v>14</v>
      </c>
      <c r="Y334" t="s">
        <v>15</v>
      </c>
      <c r="Z334">
        <v>1</v>
      </c>
      <c r="AA334" t="s">
        <v>23</v>
      </c>
      <c r="AB334" t="s">
        <v>24</v>
      </c>
      <c r="AC334">
        <v>43</v>
      </c>
      <c r="AD334" t="s">
        <v>44</v>
      </c>
      <c r="BL334">
        <v>28228</v>
      </c>
      <c r="BM334" t="s">
        <v>36</v>
      </c>
      <c r="BN334" t="s">
        <v>37</v>
      </c>
      <c r="BO334" s="4">
        <v>80000</v>
      </c>
      <c r="BP334" s="4">
        <v>80000</v>
      </c>
      <c r="BQ334">
        <v>2</v>
      </c>
      <c r="BR334" t="s">
        <v>14</v>
      </c>
      <c r="BS334" t="s">
        <v>18</v>
      </c>
      <c r="BT334">
        <v>50</v>
      </c>
    </row>
    <row r="335" spans="1:72" x14ac:dyDescent="0.25">
      <c r="A335">
        <v>22821</v>
      </c>
      <c r="B335" t="s">
        <v>35</v>
      </c>
      <c r="C335" t="s">
        <v>37</v>
      </c>
      <c r="D335" s="11">
        <v>130000</v>
      </c>
      <c r="E335">
        <v>3</v>
      </c>
      <c r="F335" t="s">
        <v>19</v>
      </c>
      <c r="G335" t="s">
        <v>21</v>
      </c>
      <c r="H335" t="s">
        <v>15</v>
      </c>
      <c r="I335">
        <v>4</v>
      </c>
      <c r="J335" t="s">
        <v>16</v>
      </c>
      <c r="K335" t="s">
        <v>17</v>
      </c>
      <c r="L335">
        <v>52</v>
      </c>
      <c r="M335" t="str">
        <f t="shared" si="5"/>
        <v>MIddleAge</v>
      </c>
      <c r="N335" t="s">
        <v>18</v>
      </c>
      <c r="R335">
        <v>26139</v>
      </c>
      <c r="S335" t="s">
        <v>36</v>
      </c>
      <c r="T335" t="s">
        <v>38</v>
      </c>
      <c r="U335" s="4">
        <v>60000</v>
      </c>
      <c r="V335">
        <v>1</v>
      </c>
      <c r="W335" t="s">
        <v>19</v>
      </c>
      <c r="X335" t="s">
        <v>14</v>
      </c>
      <c r="Y335" t="s">
        <v>15</v>
      </c>
      <c r="Z335">
        <v>1</v>
      </c>
      <c r="AA335" t="s">
        <v>23</v>
      </c>
      <c r="AB335" t="s">
        <v>24</v>
      </c>
      <c r="AC335">
        <v>45</v>
      </c>
      <c r="AD335" t="s">
        <v>44</v>
      </c>
      <c r="BL335">
        <v>28066</v>
      </c>
      <c r="BM335" t="s">
        <v>35</v>
      </c>
      <c r="BN335" t="s">
        <v>38</v>
      </c>
      <c r="BO335" s="4">
        <v>80000</v>
      </c>
      <c r="BP335" s="4">
        <v>80000</v>
      </c>
      <c r="BQ335">
        <v>2</v>
      </c>
      <c r="BR335" t="s">
        <v>21</v>
      </c>
      <c r="BS335" t="s">
        <v>15</v>
      </c>
      <c r="BT335">
        <v>37</v>
      </c>
    </row>
    <row r="336" spans="1:72" x14ac:dyDescent="0.25">
      <c r="A336">
        <v>18160</v>
      </c>
      <c r="B336" t="s">
        <v>35</v>
      </c>
      <c r="C336" t="s">
        <v>38</v>
      </c>
      <c r="D336" s="11">
        <v>130000</v>
      </c>
      <c r="E336">
        <v>3</v>
      </c>
      <c r="F336" t="s">
        <v>27</v>
      </c>
      <c r="G336" t="s">
        <v>21</v>
      </c>
      <c r="H336" t="s">
        <v>15</v>
      </c>
      <c r="I336">
        <v>4</v>
      </c>
      <c r="J336" t="s">
        <v>23</v>
      </c>
      <c r="K336" t="s">
        <v>17</v>
      </c>
      <c r="L336">
        <v>51</v>
      </c>
      <c r="M336" t="str">
        <f t="shared" si="5"/>
        <v>MIddleAge</v>
      </c>
      <c r="N336" t="s">
        <v>15</v>
      </c>
      <c r="R336">
        <v>25394</v>
      </c>
      <c r="S336" t="s">
        <v>35</v>
      </c>
      <c r="T336" t="s">
        <v>38</v>
      </c>
      <c r="U336" s="4">
        <v>60000</v>
      </c>
      <c r="V336">
        <v>1</v>
      </c>
      <c r="W336" t="s">
        <v>30</v>
      </c>
      <c r="X336" t="s">
        <v>21</v>
      </c>
      <c r="Y336" t="s">
        <v>15</v>
      </c>
      <c r="Z336">
        <v>0</v>
      </c>
      <c r="AA336" t="s">
        <v>22</v>
      </c>
      <c r="AB336" t="s">
        <v>31</v>
      </c>
      <c r="AC336">
        <v>34</v>
      </c>
      <c r="AD336" t="s">
        <v>44</v>
      </c>
      <c r="BL336">
        <v>26678</v>
      </c>
      <c r="BM336" t="s">
        <v>36</v>
      </c>
      <c r="BN336" t="s">
        <v>37</v>
      </c>
      <c r="BO336" s="4">
        <v>80000</v>
      </c>
      <c r="BP336" s="4">
        <v>80000</v>
      </c>
      <c r="BQ336">
        <v>2</v>
      </c>
      <c r="BR336" t="s">
        <v>14</v>
      </c>
      <c r="BS336" t="s">
        <v>15</v>
      </c>
      <c r="BT336">
        <v>49</v>
      </c>
    </row>
    <row r="337" spans="1:72" x14ac:dyDescent="0.25">
      <c r="A337">
        <v>18140</v>
      </c>
      <c r="B337" t="s">
        <v>35</v>
      </c>
      <c r="C337" t="s">
        <v>38</v>
      </c>
      <c r="D337" s="11">
        <v>130000</v>
      </c>
      <c r="E337">
        <v>3</v>
      </c>
      <c r="F337" t="s">
        <v>19</v>
      </c>
      <c r="G337" t="s">
        <v>21</v>
      </c>
      <c r="H337" t="s">
        <v>18</v>
      </c>
      <c r="I337">
        <v>3</v>
      </c>
      <c r="J337" t="s">
        <v>23</v>
      </c>
      <c r="K337" t="s">
        <v>17</v>
      </c>
      <c r="L337">
        <v>51</v>
      </c>
      <c r="M337" t="str">
        <f t="shared" si="5"/>
        <v>MIddleAge</v>
      </c>
      <c r="N337" t="s">
        <v>15</v>
      </c>
      <c r="R337">
        <v>24801</v>
      </c>
      <c r="S337" t="s">
        <v>36</v>
      </c>
      <c r="T337" t="s">
        <v>38</v>
      </c>
      <c r="U337" s="4">
        <v>60000</v>
      </c>
      <c r="V337">
        <v>1</v>
      </c>
      <c r="W337" t="s">
        <v>30</v>
      </c>
      <c r="X337" t="s">
        <v>21</v>
      </c>
      <c r="Y337" t="s">
        <v>15</v>
      </c>
      <c r="Z337">
        <v>0</v>
      </c>
      <c r="AA337" t="s">
        <v>22</v>
      </c>
      <c r="AB337" t="s">
        <v>31</v>
      </c>
      <c r="AC337">
        <v>35</v>
      </c>
      <c r="AD337" t="s">
        <v>44</v>
      </c>
      <c r="BL337">
        <v>23455</v>
      </c>
      <c r="BM337" t="s">
        <v>36</v>
      </c>
      <c r="BN337" t="s">
        <v>38</v>
      </c>
      <c r="BO337" s="4">
        <v>80000</v>
      </c>
      <c r="BP337" s="4">
        <v>80000</v>
      </c>
      <c r="BQ337">
        <v>2</v>
      </c>
      <c r="BR337" t="s">
        <v>14</v>
      </c>
      <c r="BS337" t="s">
        <v>18</v>
      </c>
      <c r="BT337">
        <v>50</v>
      </c>
    </row>
    <row r="338" spans="1:72" x14ac:dyDescent="0.25">
      <c r="A338">
        <v>17191</v>
      </c>
      <c r="B338" t="s">
        <v>36</v>
      </c>
      <c r="C338" t="s">
        <v>38</v>
      </c>
      <c r="D338" s="11">
        <v>130000</v>
      </c>
      <c r="E338">
        <v>3</v>
      </c>
      <c r="F338" t="s">
        <v>19</v>
      </c>
      <c r="G338" t="s">
        <v>21</v>
      </c>
      <c r="H338" t="s">
        <v>18</v>
      </c>
      <c r="I338">
        <v>3</v>
      </c>
      <c r="J338" t="s">
        <v>16</v>
      </c>
      <c r="K338" t="s">
        <v>17</v>
      </c>
      <c r="L338">
        <v>51</v>
      </c>
      <c r="M338" t="str">
        <f t="shared" si="5"/>
        <v>MIddleAge</v>
      </c>
      <c r="N338" t="s">
        <v>15</v>
      </c>
      <c r="R338">
        <v>23158</v>
      </c>
      <c r="S338" t="s">
        <v>35</v>
      </c>
      <c r="T338" t="s">
        <v>37</v>
      </c>
      <c r="U338" s="4">
        <v>60000</v>
      </c>
      <c r="V338">
        <v>1</v>
      </c>
      <c r="W338" t="s">
        <v>30</v>
      </c>
      <c r="X338" t="s">
        <v>21</v>
      </c>
      <c r="Y338" t="s">
        <v>18</v>
      </c>
      <c r="Z338">
        <v>0</v>
      </c>
      <c r="AA338" t="s">
        <v>16</v>
      </c>
      <c r="AB338" t="s">
        <v>31</v>
      </c>
      <c r="AC338">
        <v>35</v>
      </c>
      <c r="AD338" t="s">
        <v>44</v>
      </c>
      <c r="BL338">
        <v>19784</v>
      </c>
      <c r="BM338" t="s">
        <v>35</v>
      </c>
      <c r="BN338" t="s">
        <v>37</v>
      </c>
      <c r="BO338" s="4">
        <v>80000</v>
      </c>
      <c r="BP338" s="4">
        <v>80000</v>
      </c>
      <c r="BQ338">
        <v>2</v>
      </c>
      <c r="BR338" t="s">
        <v>14</v>
      </c>
      <c r="BS338" t="s">
        <v>15</v>
      </c>
      <c r="BT338">
        <v>50</v>
      </c>
    </row>
    <row r="339" spans="1:72" x14ac:dyDescent="0.25">
      <c r="A339">
        <v>13453</v>
      </c>
      <c r="B339" t="s">
        <v>35</v>
      </c>
      <c r="C339" t="s">
        <v>37</v>
      </c>
      <c r="D339" s="11">
        <v>130000</v>
      </c>
      <c r="E339">
        <v>3</v>
      </c>
      <c r="F339" t="s">
        <v>13</v>
      </c>
      <c r="G339" t="s">
        <v>28</v>
      </c>
      <c r="H339" t="s">
        <v>15</v>
      </c>
      <c r="I339">
        <v>3</v>
      </c>
      <c r="J339" t="s">
        <v>16</v>
      </c>
      <c r="K339" t="s">
        <v>31</v>
      </c>
      <c r="L339">
        <v>45</v>
      </c>
      <c r="M339" t="str">
        <f t="shared" si="5"/>
        <v>MIddleAge</v>
      </c>
      <c r="N339" t="s">
        <v>15</v>
      </c>
      <c r="R339">
        <v>22936</v>
      </c>
      <c r="S339" t="s">
        <v>36</v>
      </c>
      <c r="T339" t="s">
        <v>37</v>
      </c>
      <c r="U339" s="4">
        <v>60000</v>
      </c>
      <c r="V339">
        <v>1</v>
      </c>
      <c r="W339" t="s">
        <v>19</v>
      </c>
      <c r="X339" t="s">
        <v>14</v>
      </c>
      <c r="Y339" t="s">
        <v>18</v>
      </c>
      <c r="Z339">
        <v>1</v>
      </c>
      <c r="AA339" t="s">
        <v>16</v>
      </c>
      <c r="AB339" t="s">
        <v>24</v>
      </c>
      <c r="AC339">
        <v>45</v>
      </c>
      <c r="AD339" t="s">
        <v>44</v>
      </c>
      <c r="BL339">
        <v>18484</v>
      </c>
      <c r="BM339" t="s">
        <v>36</v>
      </c>
      <c r="BN339" t="s">
        <v>38</v>
      </c>
      <c r="BO339" s="4">
        <v>80000</v>
      </c>
      <c r="BP339" s="4">
        <v>80000</v>
      </c>
      <c r="BQ339">
        <v>2</v>
      </c>
      <c r="BR339" t="s">
        <v>14</v>
      </c>
      <c r="BS339" t="s">
        <v>18</v>
      </c>
      <c r="BT339">
        <v>50</v>
      </c>
    </row>
    <row r="340" spans="1:72" x14ac:dyDescent="0.25">
      <c r="A340">
        <v>12133</v>
      </c>
      <c r="B340" t="s">
        <v>35</v>
      </c>
      <c r="C340" t="s">
        <v>37</v>
      </c>
      <c r="D340" s="11">
        <v>130000</v>
      </c>
      <c r="E340">
        <v>3</v>
      </c>
      <c r="F340" t="s">
        <v>19</v>
      </c>
      <c r="G340" t="s">
        <v>21</v>
      </c>
      <c r="H340" t="s">
        <v>15</v>
      </c>
      <c r="I340">
        <v>3</v>
      </c>
      <c r="J340" t="s">
        <v>23</v>
      </c>
      <c r="K340" t="s">
        <v>17</v>
      </c>
      <c r="L340">
        <v>50</v>
      </c>
      <c r="M340" t="str">
        <f t="shared" si="5"/>
        <v>MIddleAge</v>
      </c>
      <c r="N340" t="s">
        <v>15</v>
      </c>
      <c r="R340">
        <v>21207</v>
      </c>
      <c r="S340" t="s">
        <v>35</v>
      </c>
      <c r="T340" t="s">
        <v>38</v>
      </c>
      <c r="U340" s="4">
        <v>60000</v>
      </c>
      <c r="V340">
        <v>1</v>
      </c>
      <c r="W340" t="s">
        <v>19</v>
      </c>
      <c r="X340" t="s">
        <v>14</v>
      </c>
      <c r="Y340" t="s">
        <v>15</v>
      </c>
      <c r="Z340">
        <v>1</v>
      </c>
      <c r="AA340" t="s">
        <v>23</v>
      </c>
      <c r="AB340" t="s">
        <v>24</v>
      </c>
      <c r="AC340">
        <v>46</v>
      </c>
      <c r="AD340" t="s">
        <v>44</v>
      </c>
      <c r="BL340">
        <v>18423</v>
      </c>
      <c r="BM340" t="s">
        <v>36</v>
      </c>
      <c r="BN340" t="s">
        <v>38</v>
      </c>
      <c r="BO340" s="4">
        <v>80000</v>
      </c>
      <c r="BP340" s="4">
        <v>80000</v>
      </c>
      <c r="BQ340">
        <v>2</v>
      </c>
      <c r="BR340" t="s">
        <v>14</v>
      </c>
      <c r="BS340" t="s">
        <v>18</v>
      </c>
      <c r="BT340">
        <v>52</v>
      </c>
    </row>
    <row r="341" spans="1:72" x14ac:dyDescent="0.25">
      <c r="A341">
        <v>11249</v>
      </c>
      <c r="B341" t="s">
        <v>35</v>
      </c>
      <c r="C341" t="s">
        <v>37</v>
      </c>
      <c r="D341" s="11">
        <v>130000</v>
      </c>
      <c r="E341">
        <v>3</v>
      </c>
      <c r="F341" t="s">
        <v>19</v>
      </c>
      <c r="G341" t="s">
        <v>21</v>
      </c>
      <c r="H341" t="s">
        <v>15</v>
      </c>
      <c r="I341">
        <v>3</v>
      </c>
      <c r="J341" t="s">
        <v>16</v>
      </c>
      <c r="K341" t="s">
        <v>17</v>
      </c>
      <c r="L341">
        <v>51</v>
      </c>
      <c r="M341" t="str">
        <f t="shared" si="5"/>
        <v>MIddleAge</v>
      </c>
      <c r="N341" t="s">
        <v>15</v>
      </c>
      <c r="R341">
        <v>20196</v>
      </c>
      <c r="S341" t="s">
        <v>35</v>
      </c>
      <c r="T341" t="s">
        <v>38</v>
      </c>
      <c r="U341" s="4">
        <v>60000</v>
      </c>
      <c r="V341">
        <v>1</v>
      </c>
      <c r="W341" t="s">
        <v>19</v>
      </c>
      <c r="X341" t="s">
        <v>14</v>
      </c>
      <c r="Y341" t="s">
        <v>15</v>
      </c>
      <c r="Z341">
        <v>1</v>
      </c>
      <c r="AA341" t="s">
        <v>22</v>
      </c>
      <c r="AB341" t="s">
        <v>31</v>
      </c>
      <c r="AC341">
        <v>45</v>
      </c>
      <c r="AD341" t="s">
        <v>44</v>
      </c>
      <c r="BL341">
        <v>17504</v>
      </c>
      <c r="BM341" t="s">
        <v>36</v>
      </c>
      <c r="BN341" t="s">
        <v>37</v>
      </c>
      <c r="BO341" s="4">
        <v>80000</v>
      </c>
      <c r="BP341" s="4">
        <v>80000</v>
      </c>
      <c r="BQ341">
        <v>2</v>
      </c>
      <c r="BR341" t="s">
        <v>14</v>
      </c>
      <c r="BS341" t="s">
        <v>15</v>
      </c>
      <c r="BT341">
        <v>52</v>
      </c>
    </row>
    <row r="342" spans="1:72" x14ac:dyDescent="0.25">
      <c r="A342">
        <v>23608</v>
      </c>
      <c r="B342" t="s">
        <v>35</v>
      </c>
      <c r="C342" t="s">
        <v>37</v>
      </c>
      <c r="D342" s="11">
        <v>150000</v>
      </c>
      <c r="E342">
        <v>3</v>
      </c>
      <c r="F342" t="s">
        <v>27</v>
      </c>
      <c r="G342" t="s">
        <v>21</v>
      </c>
      <c r="H342" t="s">
        <v>15</v>
      </c>
      <c r="I342">
        <v>3</v>
      </c>
      <c r="J342" t="s">
        <v>16</v>
      </c>
      <c r="K342" t="s">
        <v>17</v>
      </c>
      <c r="L342">
        <v>51</v>
      </c>
      <c r="M342" t="str">
        <f t="shared" si="5"/>
        <v>MIddleAge</v>
      </c>
      <c r="N342" t="s">
        <v>15</v>
      </c>
      <c r="R342">
        <v>20000</v>
      </c>
      <c r="S342" t="s">
        <v>35</v>
      </c>
      <c r="T342" t="s">
        <v>38</v>
      </c>
      <c r="U342" s="4">
        <v>60000</v>
      </c>
      <c r="V342">
        <v>1</v>
      </c>
      <c r="W342" t="s">
        <v>30</v>
      </c>
      <c r="X342" t="s">
        <v>21</v>
      </c>
      <c r="Y342" t="s">
        <v>15</v>
      </c>
      <c r="Z342">
        <v>0</v>
      </c>
      <c r="AA342" t="s">
        <v>16</v>
      </c>
      <c r="AB342" t="s">
        <v>31</v>
      </c>
      <c r="AC342">
        <v>35</v>
      </c>
      <c r="AD342" t="s">
        <v>44</v>
      </c>
      <c r="BL342">
        <v>15752</v>
      </c>
      <c r="BM342" t="s">
        <v>35</v>
      </c>
      <c r="BN342" t="s">
        <v>38</v>
      </c>
      <c r="BO342" s="4">
        <v>80000</v>
      </c>
      <c r="BP342" s="4">
        <v>80000</v>
      </c>
      <c r="BQ342">
        <v>2</v>
      </c>
      <c r="BR342" t="s">
        <v>14</v>
      </c>
      <c r="BS342" t="s">
        <v>18</v>
      </c>
      <c r="BT342">
        <v>50</v>
      </c>
    </row>
    <row r="343" spans="1:72" x14ac:dyDescent="0.25">
      <c r="A343">
        <v>29447</v>
      </c>
      <c r="B343" t="s">
        <v>36</v>
      </c>
      <c r="C343" t="s">
        <v>37</v>
      </c>
      <c r="D343" s="11">
        <v>10000</v>
      </c>
      <c r="E343">
        <v>2</v>
      </c>
      <c r="F343" t="s">
        <v>13</v>
      </c>
      <c r="G343" t="s">
        <v>20</v>
      </c>
      <c r="H343" t="s">
        <v>18</v>
      </c>
      <c r="I343">
        <v>1</v>
      </c>
      <c r="J343" t="s">
        <v>22</v>
      </c>
      <c r="K343" t="s">
        <v>17</v>
      </c>
      <c r="L343">
        <v>68</v>
      </c>
      <c r="M343" t="str">
        <f t="shared" si="5"/>
        <v>Old</v>
      </c>
      <c r="N343" t="s">
        <v>18</v>
      </c>
      <c r="R343">
        <v>17310</v>
      </c>
      <c r="S343" t="s">
        <v>35</v>
      </c>
      <c r="T343" t="s">
        <v>38</v>
      </c>
      <c r="U343" s="4">
        <v>60000</v>
      </c>
      <c r="V343">
        <v>1</v>
      </c>
      <c r="W343" t="s">
        <v>19</v>
      </c>
      <c r="X343" t="s">
        <v>14</v>
      </c>
      <c r="Y343" t="s">
        <v>15</v>
      </c>
      <c r="Z343">
        <v>1</v>
      </c>
      <c r="AA343" t="s">
        <v>16</v>
      </c>
      <c r="AB343" t="s">
        <v>24</v>
      </c>
      <c r="AC343">
        <v>45</v>
      </c>
      <c r="AD343" t="s">
        <v>44</v>
      </c>
      <c r="BL343">
        <v>27585</v>
      </c>
      <c r="BM343" t="s">
        <v>35</v>
      </c>
      <c r="BN343" t="s">
        <v>37</v>
      </c>
      <c r="BO343" s="4">
        <v>90000</v>
      </c>
      <c r="BP343" s="4">
        <v>90000</v>
      </c>
      <c r="BQ343">
        <v>2</v>
      </c>
      <c r="BR343" t="s">
        <v>21</v>
      </c>
      <c r="BS343" t="s">
        <v>18</v>
      </c>
      <c r="BT343">
        <v>36</v>
      </c>
    </row>
    <row r="344" spans="1:72" x14ac:dyDescent="0.25">
      <c r="A344">
        <v>28468</v>
      </c>
      <c r="B344" t="s">
        <v>35</v>
      </c>
      <c r="C344" t="s">
        <v>37</v>
      </c>
      <c r="D344" s="11">
        <v>10000</v>
      </c>
      <c r="E344">
        <v>2</v>
      </c>
      <c r="F344" t="s">
        <v>19</v>
      </c>
      <c r="G344" t="s">
        <v>25</v>
      </c>
      <c r="H344" t="s">
        <v>15</v>
      </c>
      <c r="I344">
        <v>0</v>
      </c>
      <c r="J344" t="s">
        <v>26</v>
      </c>
      <c r="K344" t="s">
        <v>17</v>
      </c>
      <c r="L344">
        <v>51</v>
      </c>
      <c r="M344" t="str">
        <f t="shared" si="5"/>
        <v>MIddleAge</v>
      </c>
      <c r="N344" t="s">
        <v>18</v>
      </c>
      <c r="R344">
        <v>16773</v>
      </c>
      <c r="S344" t="s">
        <v>35</v>
      </c>
      <c r="T344" t="s">
        <v>38</v>
      </c>
      <c r="U344" s="4">
        <v>60000</v>
      </c>
      <c r="V344">
        <v>1</v>
      </c>
      <c r="W344" t="s">
        <v>30</v>
      </c>
      <c r="X344" t="s">
        <v>14</v>
      </c>
      <c r="Y344" t="s">
        <v>15</v>
      </c>
      <c r="Z344">
        <v>0</v>
      </c>
      <c r="AA344" t="s">
        <v>16</v>
      </c>
      <c r="AB344" t="s">
        <v>31</v>
      </c>
      <c r="AC344">
        <v>33</v>
      </c>
      <c r="AD344" t="s">
        <v>44</v>
      </c>
      <c r="BL344">
        <v>27582</v>
      </c>
      <c r="BM344" t="s">
        <v>36</v>
      </c>
      <c r="BN344" t="s">
        <v>37</v>
      </c>
      <c r="BO344" s="4">
        <v>90000</v>
      </c>
      <c r="BP344" s="4">
        <v>90000</v>
      </c>
      <c r="BQ344">
        <v>2</v>
      </c>
      <c r="BR344" t="s">
        <v>21</v>
      </c>
      <c r="BS344" t="s">
        <v>18</v>
      </c>
      <c r="BT344">
        <v>36</v>
      </c>
    </row>
    <row r="345" spans="1:72" x14ac:dyDescent="0.25">
      <c r="A345">
        <v>25923</v>
      </c>
      <c r="B345" t="s">
        <v>36</v>
      </c>
      <c r="C345" t="s">
        <v>38</v>
      </c>
      <c r="D345" s="11">
        <v>10000</v>
      </c>
      <c r="E345">
        <v>2</v>
      </c>
      <c r="F345" t="s">
        <v>29</v>
      </c>
      <c r="G345" t="s">
        <v>20</v>
      </c>
      <c r="H345" t="s">
        <v>15</v>
      </c>
      <c r="I345">
        <v>2</v>
      </c>
      <c r="J345" t="s">
        <v>23</v>
      </c>
      <c r="K345" t="s">
        <v>24</v>
      </c>
      <c r="L345">
        <v>58</v>
      </c>
      <c r="M345" t="str">
        <f t="shared" si="5"/>
        <v>Old</v>
      </c>
      <c r="N345" t="s">
        <v>18</v>
      </c>
      <c r="R345">
        <v>14662</v>
      </c>
      <c r="S345" t="s">
        <v>35</v>
      </c>
      <c r="T345" t="s">
        <v>38</v>
      </c>
      <c r="U345" s="4">
        <v>60000</v>
      </c>
      <c r="V345">
        <v>1</v>
      </c>
      <c r="W345" t="s">
        <v>13</v>
      </c>
      <c r="X345" t="s">
        <v>21</v>
      </c>
      <c r="Y345" t="s">
        <v>15</v>
      </c>
      <c r="Z345">
        <v>1</v>
      </c>
      <c r="AA345" t="s">
        <v>16</v>
      </c>
      <c r="AB345" t="s">
        <v>31</v>
      </c>
      <c r="AC345">
        <v>48</v>
      </c>
      <c r="AD345" t="s">
        <v>44</v>
      </c>
      <c r="BL345">
        <v>26944</v>
      </c>
      <c r="BM345" t="s">
        <v>36</v>
      </c>
      <c r="BN345" t="s">
        <v>38</v>
      </c>
      <c r="BO345" s="4">
        <v>90000</v>
      </c>
      <c r="BP345" s="4">
        <v>90000</v>
      </c>
      <c r="BQ345">
        <v>2</v>
      </c>
      <c r="BR345" t="s">
        <v>25</v>
      </c>
      <c r="BS345" t="s">
        <v>15</v>
      </c>
      <c r="BT345">
        <v>36</v>
      </c>
    </row>
    <row r="346" spans="1:72" x14ac:dyDescent="0.25">
      <c r="A346">
        <v>24201</v>
      </c>
      <c r="B346" t="s">
        <v>35</v>
      </c>
      <c r="C346" t="s">
        <v>37</v>
      </c>
      <c r="D346" s="11">
        <v>10000</v>
      </c>
      <c r="E346">
        <v>2</v>
      </c>
      <c r="F346" t="s">
        <v>27</v>
      </c>
      <c r="G346" t="s">
        <v>25</v>
      </c>
      <c r="H346" t="s">
        <v>15</v>
      </c>
      <c r="I346">
        <v>0</v>
      </c>
      <c r="J346" t="s">
        <v>16</v>
      </c>
      <c r="K346" t="s">
        <v>17</v>
      </c>
      <c r="L346">
        <v>37</v>
      </c>
      <c r="M346" t="str">
        <f t="shared" si="5"/>
        <v>MIddleAge</v>
      </c>
      <c r="N346" t="s">
        <v>15</v>
      </c>
      <c r="R346">
        <v>14633</v>
      </c>
      <c r="S346" t="s">
        <v>35</v>
      </c>
      <c r="T346" t="s">
        <v>38</v>
      </c>
      <c r="U346" s="4">
        <v>60000</v>
      </c>
      <c r="V346">
        <v>1</v>
      </c>
      <c r="W346" t="s">
        <v>19</v>
      </c>
      <c r="X346" t="s">
        <v>14</v>
      </c>
      <c r="Y346" t="s">
        <v>15</v>
      </c>
      <c r="Z346">
        <v>1</v>
      </c>
      <c r="AA346" t="s">
        <v>22</v>
      </c>
      <c r="AB346" t="s">
        <v>31</v>
      </c>
      <c r="AC346">
        <v>44</v>
      </c>
      <c r="AD346" t="s">
        <v>44</v>
      </c>
      <c r="BL346">
        <v>25241</v>
      </c>
      <c r="BM346" t="s">
        <v>35</v>
      </c>
      <c r="BN346" t="s">
        <v>38</v>
      </c>
      <c r="BO346" s="4">
        <v>90000</v>
      </c>
      <c r="BP346" s="4">
        <v>90000</v>
      </c>
      <c r="BQ346">
        <v>2</v>
      </c>
      <c r="BR346" t="s">
        <v>21</v>
      </c>
      <c r="BS346" t="s">
        <v>15</v>
      </c>
      <c r="BT346">
        <v>47</v>
      </c>
    </row>
    <row r="347" spans="1:72" x14ac:dyDescent="0.25">
      <c r="A347">
        <v>24149</v>
      </c>
      <c r="B347" t="s">
        <v>35</v>
      </c>
      <c r="C347" t="s">
        <v>38</v>
      </c>
      <c r="D347" s="11">
        <v>10000</v>
      </c>
      <c r="E347">
        <v>2</v>
      </c>
      <c r="F347" t="s">
        <v>19</v>
      </c>
      <c r="G347" t="s">
        <v>25</v>
      </c>
      <c r="H347" t="s">
        <v>15</v>
      </c>
      <c r="I347">
        <v>0</v>
      </c>
      <c r="J347" t="s">
        <v>26</v>
      </c>
      <c r="K347" t="s">
        <v>17</v>
      </c>
      <c r="L347">
        <v>49</v>
      </c>
      <c r="M347" t="str">
        <f t="shared" si="5"/>
        <v>MIddleAge</v>
      </c>
      <c r="N347" t="s">
        <v>18</v>
      </c>
      <c r="R347">
        <v>14569</v>
      </c>
      <c r="S347" t="s">
        <v>35</v>
      </c>
      <c r="T347" t="s">
        <v>38</v>
      </c>
      <c r="U347" s="4">
        <v>60000</v>
      </c>
      <c r="V347">
        <v>1</v>
      </c>
      <c r="W347" t="s">
        <v>30</v>
      </c>
      <c r="X347" t="s">
        <v>21</v>
      </c>
      <c r="Y347" t="s">
        <v>15</v>
      </c>
      <c r="Z347">
        <v>0</v>
      </c>
      <c r="AA347" t="s">
        <v>16</v>
      </c>
      <c r="AB347" t="s">
        <v>31</v>
      </c>
      <c r="AC347">
        <v>35</v>
      </c>
      <c r="AD347" t="s">
        <v>44</v>
      </c>
      <c r="BL347">
        <v>22864</v>
      </c>
      <c r="BM347" t="s">
        <v>35</v>
      </c>
      <c r="BN347" t="s">
        <v>38</v>
      </c>
      <c r="BO347" s="4">
        <v>90000</v>
      </c>
      <c r="BP347" s="4">
        <v>90000</v>
      </c>
      <c r="BQ347">
        <v>2</v>
      </c>
      <c r="BR347" t="s">
        <v>21</v>
      </c>
      <c r="BS347" t="s">
        <v>18</v>
      </c>
      <c r="BT347">
        <v>49</v>
      </c>
    </row>
    <row r="348" spans="1:72" x14ac:dyDescent="0.25">
      <c r="A348">
        <v>23979</v>
      </c>
      <c r="B348" t="s">
        <v>36</v>
      </c>
      <c r="C348" t="s">
        <v>38</v>
      </c>
      <c r="D348" s="11">
        <v>10000</v>
      </c>
      <c r="E348">
        <v>2</v>
      </c>
      <c r="F348" t="s">
        <v>19</v>
      </c>
      <c r="G348" t="s">
        <v>25</v>
      </c>
      <c r="H348" t="s">
        <v>18</v>
      </c>
      <c r="I348">
        <v>0</v>
      </c>
      <c r="J348" t="s">
        <v>16</v>
      </c>
      <c r="K348" t="s">
        <v>17</v>
      </c>
      <c r="L348">
        <v>50</v>
      </c>
      <c r="M348" t="str">
        <f t="shared" si="5"/>
        <v>MIddleAge</v>
      </c>
      <c r="N348" t="s">
        <v>18</v>
      </c>
      <c r="R348">
        <v>13942</v>
      </c>
      <c r="S348" t="s">
        <v>35</v>
      </c>
      <c r="T348" t="s">
        <v>38</v>
      </c>
      <c r="U348" s="4">
        <v>60000</v>
      </c>
      <c r="V348">
        <v>1</v>
      </c>
      <c r="W348" t="s">
        <v>19</v>
      </c>
      <c r="X348" t="s">
        <v>14</v>
      </c>
      <c r="Y348" t="s">
        <v>15</v>
      </c>
      <c r="Z348">
        <v>1</v>
      </c>
      <c r="AA348" t="s">
        <v>16</v>
      </c>
      <c r="AB348" t="s">
        <v>31</v>
      </c>
      <c r="AC348">
        <v>46</v>
      </c>
      <c r="AD348" t="s">
        <v>44</v>
      </c>
      <c r="BL348">
        <v>16871</v>
      </c>
      <c r="BM348" t="s">
        <v>35</v>
      </c>
      <c r="BN348" t="s">
        <v>37</v>
      </c>
      <c r="BO348" s="4">
        <v>90000</v>
      </c>
      <c r="BP348" s="4">
        <v>90000</v>
      </c>
      <c r="BQ348">
        <v>2</v>
      </c>
      <c r="BR348" t="s">
        <v>21</v>
      </c>
      <c r="BS348" t="s">
        <v>15</v>
      </c>
      <c r="BT348">
        <v>51</v>
      </c>
    </row>
    <row r="349" spans="1:72" x14ac:dyDescent="0.25">
      <c r="A349">
        <v>23248</v>
      </c>
      <c r="B349" t="s">
        <v>35</v>
      </c>
      <c r="C349" t="s">
        <v>37</v>
      </c>
      <c r="D349" s="11">
        <v>10000</v>
      </c>
      <c r="E349">
        <v>2</v>
      </c>
      <c r="F349" t="s">
        <v>27</v>
      </c>
      <c r="G349" t="s">
        <v>25</v>
      </c>
      <c r="H349" t="s">
        <v>15</v>
      </c>
      <c r="I349">
        <v>2</v>
      </c>
      <c r="J349" t="s">
        <v>26</v>
      </c>
      <c r="K349" t="s">
        <v>31</v>
      </c>
      <c r="L349">
        <v>53</v>
      </c>
      <c r="M349" t="str">
        <f t="shared" si="5"/>
        <v>MIddleAge</v>
      </c>
      <c r="N349" t="s">
        <v>18</v>
      </c>
      <c r="R349">
        <v>11801</v>
      </c>
      <c r="S349" t="s">
        <v>35</v>
      </c>
      <c r="T349" t="s">
        <v>38</v>
      </c>
      <c r="U349" s="4">
        <v>60000</v>
      </c>
      <c r="V349">
        <v>1</v>
      </c>
      <c r="W349" t="s">
        <v>30</v>
      </c>
      <c r="X349" t="s">
        <v>21</v>
      </c>
      <c r="Y349" t="s">
        <v>15</v>
      </c>
      <c r="Z349">
        <v>0</v>
      </c>
      <c r="AA349" t="s">
        <v>22</v>
      </c>
      <c r="AB349" t="s">
        <v>31</v>
      </c>
      <c r="AC349">
        <v>36</v>
      </c>
      <c r="AD349" t="s">
        <v>44</v>
      </c>
      <c r="BL349">
        <v>11090</v>
      </c>
      <c r="BM349" t="s">
        <v>36</v>
      </c>
      <c r="BN349" t="s">
        <v>38</v>
      </c>
      <c r="BO349" s="4">
        <v>90000</v>
      </c>
      <c r="BP349" s="4">
        <v>90000</v>
      </c>
      <c r="BQ349">
        <v>2</v>
      </c>
      <c r="BR349" t="s">
        <v>21</v>
      </c>
      <c r="BS349" t="s">
        <v>15</v>
      </c>
      <c r="BT349">
        <v>48</v>
      </c>
    </row>
    <row r="350" spans="1:72" x14ac:dyDescent="0.25">
      <c r="A350">
        <v>21365</v>
      </c>
      <c r="B350" t="s">
        <v>35</v>
      </c>
      <c r="C350" t="s">
        <v>37</v>
      </c>
      <c r="D350" s="11">
        <v>10000</v>
      </c>
      <c r="E350">
        <v>2</v>
      </c>
      <c r="F350" t="s">
        <v>29</v>
      </c>
      <c r="G350" t="s">
        <v>20</v>
      </c>
      <c r="H350" t="s">
        <v>15</v>
      </c>
      <c r="I350">
        <v>2</v>
      </c>
      <c r="J350" t="s">
        <v>23</v>
      </c>
      <c r="K350" t="s">
        <v>24</v>
      </c>
      <c r="L350">
        <v>58</v>
      </c>
      <c r="M350" t="str">
        <f t="shared" si="5"/>
        <v>Old</v>
      </c>
      <c r="N350" t="s">
        <v>18</v>
      </c>
      <c r="R350">
        <v>23378</v>
      </c>
      <c r="S350" t="s">
        <v>35</v>
      </c>
      <c r="T350" t="s">
        <v>38</v>
      </c>
      <c r="U350" s="4">
        <v>70000</v>
      </c>
      <c r="V350">
        <v>1</v>
      </c>
      <c r="W350" t="s">
        <v>19</v>
      </c>
      <c r="X350" t="s">
        <v>14</v>
      </c>
      <c r="Y350" t="s">
        <v>15</v>
      </c>
      <c r="Z350">
        <v>1</v>
      </c>
      <c r="AA350" t="s">
        <v>22</v>
      </c>
      <c r="AB350" t="s">
        <v>31</v>
      </c>
      <c r="AC350">
        <v>44</v>
      </c>
      <c r="AD350" t="s">
        <v>44</v>
      </c>
      <c r="BL350">
        <v>11000</v>
      </c>
      <c r="BM350" t="s">
        <v>35</v>
      </c>
      <c r="BN350" t="s">
        <v>38</v>
      </c>
      <c r="BO350" s="4">
        <v>90000</v>
      </c>
      <c r="BP350" s="4">
        <v>90000</v>
      </c>
      <c r="BQ350">
        <v>2</v>
      </c>
      <c r="BR350" t="s">
        <v>21</v>
      </c>
      <c r="BS350" t="s">
        <v>15</v>
      </c>
      <c r="BT350">
        <v>40</v>
      </c>
    </row>
    <row r="351" spans="1:72" x14ac:dyDescent="0.25">
      <c r="A351">
        <v>20974</v>
      </c>
      <c r="B351" t="s">
        <v>35</v>
      </c>
      <c r="C351" t="s">
        <v>38</v>
      </c>
      <c r="D351" s="11">
        <v>10000</v>
      </c>
      <c r="E351">
        <v>2</v>
      </c>
      <c r="F351" t="s">
        <v>13</v>
      </c>
      <c r="G351" t="s">
        <v>20</v>
      </c>
      <c r="H351" t="s">
        <v>15</v>
      </c>
      <c r="I351">
        <v>1</v>
      </c>
      <c r="J351" t="s">
        <v>16</v>
      </c>
      <c r="K351" t="s">
        <v>17</v>
      </c>
      <c r="L351">
        <v>66</v>
      </c>
      <c r="M351" t="str">
        <f t="shared" si="5"/>
        <v>Old</v>
      </c>
      <c r="N351" t="s">
        <v>18</v>
      </c>
      <c r="R351">
        <v>23376</v>
      </c>
      <c r="S351" t="s">
        <v>35</v>
      </c>
      <c r="T351" t="s">
        <v>38</v>
      </c>
      <c r="U351" s="4">
        <v>70000</v>
      </c>
      <c r="V351">
        <v>1</v>
      </c>
      <c r="W351" t="s">
        <v>13</v>
      </c>
      <c r="X351" t="s">
        <v>21</v>
      </c>
      <c r="Y351" t="s">
        <v>15</v>
      </c>
      <c r="Z351">
        <v>1</v>
      </c>
      <c r="AA351" t="s">
        <v>22</v>
      </c>
      <c r="AB351" t="s">
        <v>31</v>
      </c>
      <c r="AC351">
        <v>44</v>
      </c>
      <c r="AD351" t="s">
        <v>44</v>
      </c>
      <c r="BL351">
        <v>18153</v>
      </c>
      <c r="BM351" t="s">
        <v>35</v>
      </c>
      <c r="BN351" t="s">
        <v>37</v>
      </c>
      <c r="BO351" s="4">
        <v>100000</v>
      </c>
      <c r="BP351" s="4">
        <v>100000</v>
      </c>
      <c r="BQ351">
        <v>2</v>
      </c>
      <c r="BR351" t="s">
        <v>28</v>
      </c>
      <c r="BS351" t="s">
        <v>15</v>
      </c>
      <c r="BT351">
        <v>59</v>
      </c>
    </row>
    <row r="352" spans="1:72" x14ac:dyDescent="0.25">
      <c r="A352">
        <v>20970</v>
      </c>
      <c r="B352" t="s">
        <v>36</v>
      </c>
      <c r="C352" t="s">
        <v>38</v>
      </c>
      <c r="D352" s="11">
        <v>10000</v>
      </c>
      <c r="E352">
        <v>2</v>
      </c>
      <c r="F352" t="s">
        <v>19</v>
      </c>
      <c r="G352" t="s">
        <v>25</v>
      </c>
      <c r="H352" t="s">
        <v>15</v>
      </c>
      <c r="I352">
        <v>1</v>
      </c>
      <c r="J352" t="s">
        <v>16</v>
      </c>
      <c r="K352" t="s">
        <v>17</v>
      </c>
      <c r="L352">
        <v>52</v>
      </c>
      <c r="M352" t="str">
        <f t="shared" si="5"/>
        <v>MIddleAge</v>
      </c>
      <c r="N352" t="s">
        <v>15</v>
      </c>
      <c r="R352">
        <v>16144</v>
      </c>
      <c r="S352" t="s">
        <v>35</v>
      </c>
      <c r="T352" t="s">
        <v>38</v>
      </c>
      <c r="U352" s="4">
        <v>70000</v>
      </c>
      <c r="V352">
        <v>1</v>
      </c>
      <c r="W352" t="s">
        <v>30</v>
      </c>
      <c r="X352" t="s">
        <v>21</v>
      </c>
      <c r="Y352" t="s">
        <v>15</v>
      </c>
      <c r="Z352">
        <v>1</v>
      </c>
      <c r="AA352" t="s">
        <v>16</v>
      </c>
      <c r="AB352" t="s">
        <v>31</v>
      </c>
      <c r="AC352">
        <v>46</v>
      </c>
      <c r="AD352" t="s">
        <v>44</v>
      </c>
      <c r="BL352">
        <v>14507</v>
      </c>
      <c r="BM352" t="s">
        <v>35</v>
      </c>
      <c r="BN352" t="s">
        <v>38</v>
      </c>
      <c r="BO352" s="4">
        <v>100000</v>
      </c>
      <c r="BP352" s="4">
        <v>100000</v>
      </c>
      <c r="BQ352">
        <v>2</v>
      </c>
      <c r="BR352" t="s">
        <v>28</v>
      </c>
      <c r="BS352" t="s">
        <v>15</v>
      </c>
      <c r="BT352">
        <v>65</v>
      </c>
    </row>
    <row r="353" spans="1:72" x14ac:dyDescent="0.25">
      <c r="A353">
        <v>20870</v>
      </c>
      <c r="B353" t="s">
        <v>36</v>
      </c>
      <c r="C353" t="s">
        <v>37</v>
      </c>
      <c r="D353" s="11">
        <v>10000</v>
      </c>
      <c r="E353">
        <v>2</v>
      </c>
      <c r="F353" t="s">
        <v>27</v>
      </c>
      <c r="G353" t="s">
        <v>25</v>
      </c>
      <c r="H353" t="s">
        <v>15</v>
      </c>
      <c r="I353">
        <v>1</v>
      </c>
      <c r="J353" t="s">
        <v>16</v>
      </c>
      <c r="K353" t="s">
        <v>17</v>
      </c>
      <c r="L353">
        <v>38</v>
      </c>
      <c r="M353" t="str">
        <f t="shared" si="5"/>
        <v>MIddleAge</v>
      </c>
      <c r="N353" t="s">
        <v>15</v>
      </c>
      <c r="R353">
        <v>12964</v>
      </c>
      <c r="S353" t="s">
        <v>35</v>
      </c>
      <c r="T353" t="s">
        <v>38</v>
      </c>
      <c r="U353" s="4">
        <v>70000</v>
      </c>
      <c r="V353">
        <v>1</v>
      </c>
      <c r="W353" t="s">
        <v>19</v>
      </c>
      <c r="X353" t="s">
        <v>14</v>
      </c>
      <c r="Y353" t="s">
        <v>15</v>
      </c>
      <c r="Z353">
        <v>1</v>
      </c>
      <c r="AA353" t="s">
        <v>16</v>
      </c>
      <c r="AB353" t="s">
        <v>31</v>
      </c>
      <c r="AC353">
        <v>44</v>
      </c>
      <c r="AD353" t="s">
        <v>44</v>
      </c>
      <c r="BL353">
        <v>29048</v>
      </c>
      <c r="BM353" t="s">
        <v>36</v>
      </c>
      <c r="BN353" t="s">
        <v>38</v>
      </c>
      <c r="BO353" s="4">
        <v>110000</v>
      </c>
      <c r="BP353" s="4">
        <v>110000</v>
      </c>
      <c r="BQ353">
        <v>2</v>
      </c>
      <c r="BR353" t="s">
        <v>28</v>
      </c>
      <c r="BS353" t="s">
        <v>18</v>
      </c>
      <c r="BT353">
        <v>37</v>
      </c>
    </row>
    <row r="354" spans="1:72" x14ac:dyDescent="0.25">
      <c r="A354">
        <v>20076</v>
      </c>
      <c r="B354" t="s">
        <v>36</v>
      </c>
      <c r="C354" t="s">
        <v>37</v>
      </c>
      <c r="D354" s="11">
        <v>10000</v>
      </c>
      <c r="E354">
        <v>2</v>
      </c>
      <c r="F354" t="s">
        <v>27</v>
      </c>
      <c r="G354" t="s">
        <v>25</v>
      </c>
      <c r="H354" t="s">
        <v>15</v>
      </c>
      <c r="I354">
        <v>2</v>
      </c>
      <c r="J354" t="s">
        <v>26</v>
      </c>
      <c r="K354" t="s">
        <v>31</v>
      </c>
      <c r="L354">
        <v>53</v>
      </c>
      <c r="M354" t="str">
        <f t="shared" si="5"/>
        <v>MIddleAge</v>
      </c>
      <c r="N354" t="s">
        <v>15</v>
      </c>
      <c r="R354">
        <v>12957</v>
      </c>
      <c r="S354" t="s">
        <v>36</v>
      </c>
      <c r="T354" t="s">
        <v>37</v>
      </c>
      <c r="U354" s="4">
        <v>70000</v>
      </c>
      <c r="V354">
        <v>1</v>
      </c>
      <c r="W354" t="s">
        <v>13</v>
      </c>
      <c r="X354" t="s">
        <v>21</v>
      </c>
      <c r="Y354" t="s">
        <v>18</v>
      </c>
      <c r="Z354">
        <v>1</v>
      </c>
      <c r="AA354" t="s">
        <v>16</v>
      </c>
      <c r="AB354" t="s">
        <v>31</v>
      </c>
      <c r="AC354">
        <v>44</v>
      </c>
      <c r="AD354" t="s">
        <v>44</v>
      </c>
      <c r="BL354">
        <v>27304</v>
      </c>
      <c r="BM354" t="s">
        <v>36</v>
      </c>
      <c r="BN354" t="s">
        <v>37</v>
      </c>
      <c r="BO354" s="4">
        <v>110000</v>
      </c>
      <c r="BP354" s="4">
        <v>110000</v>
      </c>
      <c r="BQ354">
        <v>2</v>
      </c>
      <c r="BR354" t="s">
        <v>21</v>
      </c>
      <c r="BS354" t="s">
        <v>18</v>
      </c>
      <c r="BT354">
        <v>48</v>
      </c>
    </row>
    <row r="355" spans="1:72" x14ac:dyDescent="0.25">
      <c r="A355">
        <v>19445</v>
      </c>
      <c r="B355" t="s">
        <v>35</v>
      </c>
      <c r="C355" t="s">
        <v>37</v>
      </c>
      <c r="D355" s="11">
        <v>10000</v>
      </c>
      <c r="E355">
        <v>2</v>
      </c>
      <c r="F355" t="s">
        <v>27</v>
      </c>
      <c r="G355" t="s">
        <v>25</v>
      </c>
      <c r="H355" t="s">
        <v>18</v>
      </c>
      <c r="I355">
        <v>1</v>
      </c>
      <c r="J355" t="s">
        <v>16</v>
      </c>
      <c r="K355" t="s">
        <v>17</v>
      </c>
      <c r="L355">
        <v>38</v>
      </c>
      <c r="M355" t="str">
        <f t="shared" si="5"/>
        <v>MIddleAge</v>
      </c>
      <c r="N355" t="s">
        <v>18</v>
      </c>
      <c r="R355">
        <v>26012</v>
      </c>
      <c r="S355" t="s">
        <v>35</v>
      </c>
      <c r="T355" t="s">
        <v>38</v>
      </c>
      <c r="U355" s="4">
        <v>80000</v>
      </c>
      <c r="V355">
        <v>1</v>
      </c>
      <c r="W355" t="s">
        <v>19</v>
      </c>
      <c r="X355" t="s">
        <v>14</v>
      </c>
      <c r="Y355" t="s">
        <v>15</v>
      </c>
      <c r="Z355">
        <v>1</v>
      </c>
      <c r="AA355" t="s">
        <v>22</v>
      </c>
      <c r="AB355" t="s">
        <v>31</v>
      </c>
      <c r="AC355">
        <v>48</v>
      </c>
      <c r="AD355" t="s">
        <v>44</v>
      </c>
      <c r="BL355">
        <v>24397</v>
      </c>
      <c r="BM355" t="s">
        <v>36</v>
      </c>
      <c r="BN355" t="s">
        <v>38</v>
      </c>
      <c r="BO355" s="4">
        <v>120000</v>
      </c>
      <c r="BP355" s="4">
        <v>120000</v>
      </c>
      <c r="BQ355">
        <v>2</v>
      </c>
      <c r="BR355" t="s">
        <v>28</v>
      </c>
      <c r="BS355" t="s">
        <v>18</v>
      </c>
      <c r="BT355">
        <v>40</v>
      </c>
    </row>
    <row r="356" spans="1:72" x14ac:dyDescent="0.25">
      <c r="A356">
        <v>19305</v>
      </c>
      <c r="B356" t="s">
        <v>36</v>
      </c>
      <c r="C356" t="s">
        <v>37</v>
      </c>
      <c r="D356" s="11">
        <v>10000</v>
      </c>
      <c r="E356">
        <v>2</v>
      </c>
      <c r="F356" t="s">
        <v>27</v>
      </c>
      <c r="G356" t="s">
        <v>25</v>
      </c>
      <c r="H356" t="s">
        <v>15</v>
      </c>
      <c r="I356">
        <v>1</v>
      </c>
      <c r="J356" t="s">
        <v>16</v>
      </c>
      <c r="K356" t="s">
        <v>17</v>
      </c>
      <c r="L356">
        <v>38</v>
      </c>
      <c r="M356" t="str">
        <f t="shared" si="5"/>
        <v>MIddleAge</v>
      </c>
      <c r="N356" t="s">
        <v>15</v>
      </c>
      <c r="R356">
        <v>26757</v>
      </c>
      <c r="S356" t="s">
        <v>36</v>
      </c>
      <c r="T356" t="s">
        <v>38</v>
      </c>
      <c r="U356" s="4">
        <v>90000</v>
      </c>
      <c r="V356">
        <v>1</v>
      </c>
      <c r="W356" t="s">
        <v>13</v>
      </c>
      <c r="X356" t="s">
        <v>21</v>
      </c>
      <c r="Y356" t="s">
        <v>15</v>
      </c>
      <c r="Z356">
        <v>1</v>
      </c>
      <c r="AA356" t="s">
        <v>22</v>
      </c>
      <c r="AB356" t="s">
        <v>24</v>
      </c>
      <c r="AC356">
        <v>47</v>
      </c>
      <c r="AD356" t="s">
        <v>44</v>
      </c>
      <c r="BL356">
        <v>19280</v>
      </c>
      <c r="BM356" t="s">
        <v>35</v>
      </c>
      <c r="BN356" t="s">
        <v>38</v>
      </c>
      <c r="BO356" s="4">
        <v>120000</v>
      </c>
      <c r="BP356" s="4">
        <v>120000</v>
      </c>
      <c r="BQ356">
        <v>2</v>
      </c>
      <c r="BR356" t="s">
        <v>25</v>
      </c>
      <c r="BS356" t="s">
        <v>15</v>
      </c>
      <c r="BT356">
        <v>40</v>
      </c>
    </row>
    <row r="357" spans="1:72" x14ac:dyDescent="0.25">
      <c r="A357">
        <v>19291</v>
      </c>
      <c r="B357" t="s">
        <v>36</v>
      </c>
      <c r="C357" t="s">
        <v>37</v>
      </c>
      <c r="D357" s="11">
        <v>10000</v>
      </c>
      <c r="E357">
        <v>2</v>
      </c>
      <c r="F357" t="s">
        <v>27</v>
      </c>
      <c r="G357" t="s">
        <v>25</v>
      </c>
      <c r="H357" t="s">
        <v>15</v>
      </c>
      <c r="I357">
        <v>0</v>
      </c>
      <c r="J357" t="s">
        <v>16</v>
      </c>
      <c r="K357" t="s">
        <v>17</v>
      </c>
      <c r="L357">
        <v>35</v>
      </c>
      <c r="M357" t="str">
        <f t="shared" si="5"/>
        <v>MIddleAge</v>
      </c>
      <c r="N357" t="s">
        <v>18</v>
      </c>
      <c r="R357">
        <v>27637</v>
      </c>
      <c r="S357" t="s">
        <v>36</v>
      </c>
      <c r="T357" t="s">
        <v>37</v>
      </c>
      <c r="U357" s="4">
        <v>100000</v>
      </c>
      <c r="V357">
        <v>1</v>
      </c>
      <c r="W357" t="s">
        <v>19</v>
      </c>
      <c r="X357" t="s">
        <v>21</v>
      </c>
      <c r="Y357" t="s">
        <v>18</v>
      </c>
      <c r="Z357">
        <v>3</v>
      </c>
      <c r="AA357" t="s">
        <v>26</v>
      </c>
      <c r="AB357" t="s">
        <v>31</v>
      </c>
      <c r="AC357">
        <v>44</v>
      </c>
      <c r="AD357" t="s">
        <v>44</v>
      </c>
      <c r="BL357">
        <v>16651</v>
      </c>
      <c r="BM357" t="s">
        <v>35</v>
      </c>
      <c r="BN357" t="s">
        <v>37</v>
      </c>
      <c r="BO357" s="4">
        <v>120000</v>
      </c>
      <c r="BP357" s="4">
        <v>120000</v>
      </c>
      <c r="BQ357">
        <v>2</v>
      </c>
      <c r="BR357" t="s">
        <v>28</v>
      </c>
      <c r="BS357" t="s">
        <v>15</v>
      </c>
      <c r="BT357">
        <v>62</v>
      </c>
    </row>
    <row r="358" spans="1:72" x14ac:dyDescent="0.25">
      <c r="A358">
        <v>19255</v>
      </c>
      <c r="B358" t="s">
        <v>36</v>
      </c>
      <c r="C358" t="s">
        <v>38</v>
      </c>
      <c r="D358" s="11">
        <v>10000</v>
      </c>
      <c r="E358">
        <v>2</v>
      </c>
      <c r="F358" t="s">
        <v>19</v>
      </c>
      <c r="G358" t="s">
        <v>25</v>
      </c>
      <c r="H358" t="s">
        <v>15</v>
      </c>
      <c r="I358">
        <v>1</v>
      </c>
      <c r="J358" t="s">
        <v>16</v>
      </c>
      <c r="K358" t="s">
        <v>17</v>
      </c>
      <c r="L358">
        <v>51</v>
      </c>
      <c r="M358" t="str">
        <f t="shared" si="5"/>
        <v>MIddleAge</v>
      </c>
      <c r="N358" t="s">
        <v>15</v>
      </c>
      <c r="R358">
        <v>25058</v>
      </c>
      <c r="S358" t="s">
        <v>35</v>
      </c>
      <c r="T358" t="s">
        <v>38</v>
      </c>
      <c r="U358" s="4">
        <v>100000</v>
      </c>
      <c r="V358">
        <v>1</v>
      </c>
      <c r="W358" t="s">
        <v>13</v>
      </c>
      <c r="X358" t="s">
        <v>28</v>
      </c>
      <c r="Y358" t="s">
        <v>15</v>
      </c>
      <c r="Z358">
        <v>3</v>
      </c>
      <c r="AA358" t="s">
        <v>22</v>
      </c>
      <c r="AB358" t="s">
        <v>24</v>
      </c>
      <c r="AC358">
        <v>47</v>
      </c>
      <c r="AD358" t="s">
        <v>44</v>
      </c>
      <c r="BL358">
        <v>15194</v>
      </c>
      <c r="BM358" t="s">
        <v>36</v>
      </c>
      <c r="BN358" t="s">
        <v>38</v>
      </c>
      <c r="BO358" s="4">
        <v>120000</v>
      </c>
      <c r="BP358" s="4">
        <v>120000</v>
      </c>
      <c r="BQ358">
        <v>2</v>
      </c>
      <c r="BR358" t="s">
        <v>28</v>
      </c>
      <c r="BS358" t="s">
        <v>18</v>
      </c>
      <c r="BT358">
        <v>39</v>
      </c>
    </row>
    <row r="359" spans="1:72" x14ac:dyDescent="0.25">
      <c r="A359">
        <v>17891</v>
      </c>
      <c r="B359" t="s">
        <v>35</v>
      </c>
      <c r="C359" t="s">
        <v>37</v>
      </c>
      <c r="D359" s="11">
        <v>10000</v>
      </c>
      <c r="E359">
        <v>2</v>
      </c>
      <c r="F359" t="s">
        <v>19</v>
      </c>
      <c r="G359" t="s">
        <v>25</v>
      </c>
      <c r="H359" t="s">
        <v>15</v>
      </c>
      <c r="I359">
        <v>1</v>
      </c>
      <c r="J359" t="s">
        <v>16</v>
      </c>
      <c r="K359" t="s">
        <v>17</v>
      </c>
      <c r="L359">
        <v>50</v>
      </c>
      <c r="M359" t="str">
        <f t="shared" si="5"/>
        <v>MIddleAge</v>
      </c>
      <c r="N359" t="s">
        <v>15</v>
      </c>
      <c r="R359">
        <v>13415</v>
      </c>
      <c r="S359" t="s">
        <v>36</v>
      </c>
      <c r="T359" t="s">
        <v>38</v>
      </c>
      <c r="U359" s="4">
        <v>100000</v>
      </c>
      <c r="V359">
        <v>1</v>
      </c>
      <c r="W359" t="s">
        <v>30</v>
      </c>
      <c r="X359" t="s">
        <v>28</v>
      </c>
      <c r="Y359" t="s">
        <v>15</v>
      </c>
      <c r="Z359">
        <v>3</v>
      </c>
      <c r="AA359" t="s">
        <v>22</v>
      </c>
      <c r="AB359" t="s">
        <v>31</v>
      </c>
      <c r="AC359">
        <v>73</v>
      </c>
      <c r="AD359" t="s">
        <v>45</v>
      </c>
      <c r="BL359">
        <v>12056</v>
      </c>
      <c r="BM359" t="s">
        <v>35</v>
      </c>
      <c r="BN359" t="s">
        <v>38</v>
      </c>
      <c r="BO359" s="4">
        <v>120000</v>
      </c>
      <c r="BP359" s="4">
        <v>120000</v>
      </c>
      <c r="BQ359">
        <v>2</v>
      </c>
      <c r="BR359" t="s">
        <v>28</v>
      </c>
      <c r="BS359" t="s">
        <v>15</v>
      </c>
      <c r="BT359">
        <v>64</v>
      </c>
    </row>
    <row r="360" spans="1:72" x14ac:dyDescent="0.25">
      <c r="A360">
        <v>16559</v>
      </c>
      <c r="B360" t="s">
        <v>36</v>
      </c>
      <c r="C360" t="s">
        <v>37</v>
      </c>
      <c r="D360" s="11">
        <v>10000</v>
      </c>
      <c r="E360">
        <v>2</v>
      </c>
      <c r="F360" t="s">
        <v>27</v>
      </c>
      <c r="G360" t="s">
        <v>25</v>
      </c>
      <c r="H360" t="s">
        <v>15</v>
      </c>
      <c r="I360">
        <v>0</v>
      </c>
      <c r="J360" t="s">
        <v>16</v>
      </c>
      <c r="K360" t="s">
        <v>17</v>
      </c>
      <c r="L360">
        <v>36</v>
      </c>
      <c r="M360" t="str">
        <f t="shared" si="5"/>
        <v>MIddleAge</v>
      </c>
      <c r="N360" t="s">
        <v>15</v>
      </c>
      <c r="R360">
        <v>11896</v>
      </c>
      <c r="S360" t="s">
        <v>35</v>
      </c>
      <c r="T360" t="s">
        <v>38</v>
      </c>
      <c r="U360" s="4">
        <v>100000</v>
      </c>
      <c r="V360">
        <v>1</v>
      </c>
      <c r="W360" t="s">
        <v>30</v>
      </c>
      <c r="X360" t="s">
        <v>28</v>
      </c>
      <c r="Y360" t="s">
        <v>15</v>
      </c>
      <c r="Z360">
        <v>0</v>
      </c>
      <c r="AA360" t="s">
        <v>22</v>
      </c>
      <c r="AB360" t="s">
        <v>24</v>
      </c>
      <c r="AC360">
        <v>36</v>
      </c>
      <c r="AD360" t="s">
        <v>44</v>
      </c>
      <c r="BL360">
        <v>15412</v>
      </c>
      <c r="BM360" t="s">
        <v>35</v>
      </c>
      <c r="BN360" t="s">
        <v>38</v>
      </c>
      <c r="BO360" s="4">
        <v>130000</v>
      </c>
      <c r="BP360" s="4">
        <v>130000</v>
      </c>
      <c r="BQ360">
        <v>2</v>
      </c>
      <c r="BR360" t="s">
        <v>28</v>
      </c>
      <c r="BS360" t="s">
        <v>15</v>
      </c>
      <c r="BT360">
        <v>69</v>
      </c>
    </row>
    <row r="361" spans="1:72" x14ac:dyDescent="0.25">
      <c r="A361">
        <v>14547</v>
      </c>
      <c r="B361" t="s">
        <v>35</v>
      </c>
      <c r="C361" t="s">
        <v>38</v>
      </c>
      <c r="D361" s="11">
        <v>10000</v>
      </c>
      <c r="E361">
        <v>2</v>
      </c>
      <c r="F361" t="s">
        <v>19</v>
      </c>
      <c r="G361" t="s">
        <v>25</v>
      </c>
      <c r="H361" t="s">
        <v>15</v>
      </c>
      <c r="I361">
        <v>0</v>
      </c>
      <c r="J361" t="s">
        <v>26</v>
      </c>
      <c r="K361" t="s">
        <v>17</v>
      </c>
      <c r="L361">
        <v>51</v>
      </c>
      <c r="M361" t="str">
        <f t="shared" si="5"/>
        <v>MIddleAge</v>
      </c>
      <c r="N361" t="s">
        <v>18</v>
      </c>
      <c r="R361">
        <v>29243</v>
      </c>
      <c r="S361" t="s">
        <v>36</v>
      </c>
      <c r="T361" t="s">
        <v>38</v>
      </c>
      <c r="U361" s="4">
        <v>110000</v>
      </c>
      <c r="V361">
        <v>1</v>
      </c>
      <c r="W361" t="s">
        <v>13</v>
      </c>
      <c r="X361" t="s">
        <v>28</v>
      </c>
      <c r="Y361" t="s">
        <v>15</v>
      </c>
      <c r="Z361">
        <v>1</v>
      </c>
      <c r="AA361" t="s">
        <v>23</v>
      </c>
      <c r="AB361" t="s">
        <v>31</v>
      </c>
      <c r="AC361">
        <v>43</v>
      </c>
      <c r="AD361" t="s">
        <v>44</v>
      </c>
      <c r="BL361">
        <v>12205</v>
      </c>
      <c r="BM361" t="s">
        <v>36</v>
      </c>
      <c r="BN361" t="s">
        <v>37</v>
      </c>
      <c r="BO361" s="4">
        <v>130000</v>
      </c>
      <c r="BP361" s="4">
        <v>130000</v>
      </c>
      <c r="BQ361">
        <v>2</v>
      </c>
      <c r="BR361" t="s">
        <v>28</v>
      </c>
      <c r="BS361" t="s">
        <v>18</v>
      </c>
      <c r="BT361">
        <v>67</v>
      </c>
    </row>
    <row r="362" spans="1:72" x14ac:dyDescent="0.25">
      <c r="A362">
        <v>14545</v>
      </c>
      <c r="B362" t="s">
        <v>35</v>
      </c>
      <c r="C362" t="s">
        <v>37</v>
      </c>
      <c r="D362" s="11">
        <v>10000</v>
      </c>
      <c r="E362">
        <v>2</v>
      </c>
      <c r="F362" t="s">
        <v>19</v>
      </c>
      <c r="G362" t="s">
        <v>25</v>
      </c>
      <c r="H362" t="s">
        <v>15</v>
      </c>
      <c r="I362">
        <v>0</v>
      </c>
      <c r="J362" t="s">
        <v>26</v>
      </c>
      <c r="K362" t="s">
        <v>17</v>
      </c>
      <c r="L362">
        <v>49</v>
      </c>
      <c r="M362" t="str">
        <f t="shared" si="5"/>
        <v>MIddleAge</v>
      </c>
      <c r="N362" t="s">
        <v>18</v>
      </c>
      <c r="R362">
        <v>25184</v>
      </c>
      <c r="S362" t="s">
        <v>36</v>
      </c>
      <c r="T362" t="s">
        <v>38</v>
      </c>
      <c r="U362" s="4">
        <v>110000</v>
      </c>
      <c r="V362">
        <v>1</v>
      </c>
      <c r="W362" t="s">
        <v>19</v>
      </c>
      <c r="X362" t="s">
        <v>21</v>
      </c>
      <c r="Y362" t="s">
        <v>15</v>
      </c>
      <c r="Z362">
        <v>4</v>
      </c>
      <c r="AA362" t="s">
        <v>23</v>
      </c>
      <c r="AB362" t="s">
        <v>31</v>
      </c>
      <c r="AC362">
        <v>45</v>
      </c>
      <c r="AD362" t="s">
        <v>44</v>
      </c>
      <c r="BL362">
        <v>11270</v>
      </c>
      <c r="BM362" t="s">
        <v>35</v>
      </c>
      <c r="BN362" t="s">
        <v>38</v>
      </c>
      <c r="BO362" s="4">
        <v>130000</v>
      </c>
      <c r="BP362" s="4">
        <v>130000</v>
      </c>
      <c r="BQ362">
        <v>2</v>
      </c>
      <c r="BR362" t="s">
        <v>28</v>
      </c>
      <c r="BS362" t="s">
        <v>15</v>
      </c>
      <c r="BT362">
        <v>42</v>
      </c>
    </row>
    <row r="363" spans="1:72" x14ac:dyDescent="0.25">
      <c r="A363">
        <v>13507</v>
      </c>
      <c r="B363" t="s">
        <v>35</v>
      </c>
      <c r="C363" t="s">
        <v>37</v>
      </c>
      <c r="D363" s="11">
        <v>10000</v>
      </c>
      <c r="E363">
        <v>2</v>
      </c>
      <c r="F363" t="s">
        <v>19</v>
      </c>
      <c r="G363" t="s">
        <v>25</v>
      </c>
      <c r="H363" t="s">
        <v>15</v>
      </c>
      <c r="I363">
        <v>0</v>
      </c>
      <c r="J363" t="s">
        <v>26</v>
      </c>
      <c r="K363" t="s">
        <v>17</v>
      </c>
      <c r="L363">
        <v>50</v>
      </c>
      <c r="M363" t="str">
        <f t="shared" si="5"/>
        <v>MIddleAge</v>
      </c>
      <c r="N363" t="s">
        <v>18</v>
      </c>
      <c r="R363">
        <v>13296</v>
      </c>
      <c r="S363" t="s">
        <v>35</v>
      </c>
      <c r="T363" t="s">
        <v>38</v>
      </c>
      <c r="U363" s="4">
        <v>110000</v>
      </c>
      <c r="V363">
        <v>1</v>
      </c>
      <c r="W363" t="s">
        <v>13</v>
      </c>
      <c r="X363" t="s">
        <v>28</v>
      </c>
      <c r="Y363" t="s">
        <v>15</v>
      </c>
      <c r="Z363">
        <v>3</v>
      </c>
      <c r="AA363" t="s">
        <v>23</v>
      </c>
      <c r="AB363" t="s">
        <v>31</v>
      </c>
      <c r="AC363">
        <v>45</v>
      </c>
      <c r="AD363" t="s">
        <v>44</v>
      </c>
      <c r="BL363">
        <v>11269</v>
      </c>
      <c r="BM363" t="s">
        <v>35</v>
      </c>
      <c r="BN363" t="s">
        <v>38</v>
      </c>
      <c r="BO363" s="4">
        <v>130000</v>
      </c>
      <c r="BP363" s="4">
        <v>130000</v>
      </c>
      <c r="BQ363">
        <v>2</v>
      </c>
      <c r="BR363" t="s">
        <v>28</v>
      </c>
      <c r="BS363" t="s">
        <v>15</v>
      </c>
      <c r="BT363">
        <v>41</v>
      </c>
    </row>
    <row r="364" spans="1:72" x14ac:dyDescent="0.25">
      <c r="A364">
        <v>12274</v>
      </c>
      <c r="B364" t="s">
        <v>36</v>
      </c>
      <c r="C364" t="s">
        <v>38</v>
      </c>
      <c r="D364" s="11">
        <v>10000</v>
      </c>
      <c r="E364">
        <v>2</v>
      </c>
      <c r="F364" t="s">
        <v>27</v>
      </c>
      <c r="G364" t="s">
        <v>25</v>
      </c>
      <c r="H364" t="s">
        <v>15</v>
      </c>
      <c r="I364">
        <v>0</v>
      </c>
      <c r="J364" t="s">
        <v>16</v>
      </c>
      <c r="K364" t="s">
        <v>17</v>
      </c>
      <c r="L364">
        <v>35</v>
      </c>
      <c r="M364" t="str">
        <f t="shared" si="5"/>
        <v>MIddleAge</v>
      </c>
      <c r="N364" t="s">
        <v>18</v>
      </c>
      <c r="R364">
        <v>16917</v>
      </c>
      <c r="S364" t="s">
        <v>35</v>
      </c>
      <c r="T364" t="s">
        <v>38</v>
      </c>
      <c r="U364" s="4">
        <v>120000</v>
      </c>
      <c r="V364">
        <v>1</v>
      </c>
      <c r="W364" t="s">
        <v>13</v>
      </c>
      <c r="X364" t="s">
        <v>28</v>
      </c>
      <c r="Y364" t="s">
        <v>15</v>
      </c>
      <c r="Z364">
        <v>4</v>
      </c>
      <c r="AA364" t="s">
        <v>16</v>
      </c>
      <c r="AB364" t="s">
        <v>31</v>
      </c>
      <c r="AC364">
        <v>38</v>
      </c>
      <c r="AD364" t="s">
        <v>44</v>
      </c>
      <c r="BL364">
        <v>28815</v>
      </c>
      <c r="BM364" t="s">
        <v>35</v>
      </c>
      <c r="BN364" t="s">
        <v>37</v>
      </c>
      <c r="BO364" s="4">
        <v>50000</v>
      </c>
      <c r="BP364" s="4">
        <v>50000</v>
      </c>
      <c r="BQ364">
        <v>1</v>
      </c>
      <c r="BR364" t="s">
        <v>14</v>
      </c>
      <c r="BS364" t="s">
        <v>15</v>
      </c>
      <c r="BT364">
        <v>35</v>
      </c>
    </row>
    <row r="365" spans="1:72" x14ac:dyDescent="0.25">
      <c r="A365">
        <v>12234</v>
      </c>
      <c r="B365" t="s">
        <v>35</v>
      </c>
      <c r="C365" t="s">
        <v>38</v>
      </c>
      <c r="D365" s="11">
        <v>10000</v>
      </c>
      <c r="E365">
        <v>2</v>
      </c>
      <c r="F365" t="s">
        <v>19</v>
      </c>
      <c r="G365" t="s">
        <v>25</v>
      </c>
      <c r="H365" t="s">
        <v>15</v>
      </c>
      <c r="I365">
        <v>1</v>
      </c>
      <c r="J365" t="s">
        <v>22</v>
      </c>
      <c r="K365" t="s">
        <v>17</v>
      </c>
      <c r="L365">
        <v>52</v>
      </c>
      <c r="M365" t="str">
        <f t="shared" si="5"/>
        <v>MIddleAge</v>
      </c>
      <c r="N365" t="s">
        <v>18</v>
      </c>
      <c r="R365">
        <v>13314</v>
      </c>
      <c r="S365" t="s">
        <v>35</v>
      </c>
      <c r="T365" t="s">
        <v>38</v>
      </c>
      <c r="U365" s="4">
        <v>120000</v>
      </c>
      <c r="V365">
        <v>1</v>
      </c>
      <c r="W365" t="s">
        <v>27</v>
      </c>
      <c r="X365" t="s">
        <v>21</v>
      </c>
      <c r="Y365" t="s">
        <v>15</v>
      </c>
      <c r="Z365">
        <v>4</v>
      </c>
      <c r="AA365" t="s">
        <v>23</v>
      </c>
      <c r="AB365" t="s">
        <v>31</v>
      </c>
      <c r="AC365">
        <v>46</v>
      </c>
      <c r="AD365" t="s">
        <v>44</v>
      </c>
      <c r="BL365">
        <v>26298</v>
      </c>
      <c r="BM365" t="s">
        <v>35</v>
      </c>
      <c r="BN365" t="s">
        <v>37</v>
      </c>
      <c r="BO365" s="4">
        <v>50000</v>
      </c>
      <c r="BP365" s="4">
        <v>50000</v>
      </c>
      <c r="BQ365">
        <v>1</v>
      </c>
      <c r="BR365" t="s">
        <v>14</v>
      </c>
      <c r="BS365" t="s">
        <v>15</v>
      </c>
      <c r="BT365">
        <v>34</v>
      </c>
    </row>
    <row r="366" spans="1:72" x14ac:dyDescent="0.25">
      <c r="A366">
        <v>12231</v>
      </c>
      <c r="B366" t="s">
        <v>36</v>
      </c>
      <c r="C366" t="s">
        <v>37</v>
      </c>
      <c r="D366" s="11">
        <v>10000</v>
      </c>
      <c r="E366">
        <v>2</v>
      </c>
      <c r="F366" t="s">
        <v>19</v>
      </c>
      <c r="G366" t="s">
        <v>25</v>
      </c>
      <c r="H366" t="s">
        <v>15</v>
      </c>
      <c r="I366">
        <v>0</v>
      </c>
      <c r="J366" t="s">
        <v>16</v>
      </c>
      <c r="K366" t="s">
        <v>17</v>
      </c>
      <c r="L366">
        <v>51</v>
      </c>
      <c r="M366" t="str">
        <f t="shared" si="5"/>
        <v>MIddleAge</v>
      </c>
      <c r="N366" t="s">
        <v>15</v>
      </c>
      <c r="R366">
        <v>13313</v>
      </c>
      <c r="S366" t="s">
        <v>35</v>
      </c>
      <c r="T366" t="s">
        <v>37</v>
      </c>
      <c r="U366" s="4">
        <v>120000</v>
      </c>
      <c r="V366">
        <v>1</v>
      </c>
      <c r="W366" t="s">
        <v>27</v>
      </c>
      <c r="X366" t="s">
        <v>21</v>
      </c>
      <c r="Y366" t="s">
        <v>18</v>
      </c>
      <c r="Z366">
        <v>4</v>
      </c>
      <c r="AA366" t="s">
        <v>22</v>
      </c>
      <c r="AB366" t="s">
        <v>31</v>
      </c>
      <c r="AC366">
        <v>45</v>
      </c>
      <c r="AD366" t="s">
        <v>44</v>
      </c>
      <c r="BL366">
        <v>25375</v>
      </c>
      <c r="BM366" t="s">
        <v>35</v>
      </c>
      <c r="BN366" t="s">
        <v>38</v>
      </c>
      <c r="BO366" s="4">
        <v>50000</v>
      </c>
      <c r="BP366" s="4">
        <v>50000</v>
      </c>
      <c r="BQ366">
        <v>1</v>
      </c>
      <c r="BR366" t="s">
        <v>14</v>
      </c>
      <c r="BS366" t="s">
        <v>15</v>
      </c>
      <c r="BT366">
        <v>34</v>
      </c>
    </row>
    <row r="367" spans="1:72" x14ac:dyDescent="0.25">
      <c r="A367">
        <v>27218</v>
      </c>
      <c r="B367" t="s">
        <v>35</v>
      </c>
      <c r="C367" t="s">
        <v>37</v>
      </c>
      <c r="D367" s="11">
        <v>20000</v>
      </c>
      <c r="E367">
        <v>2</v>
      </c>
      <c r="F367" t="s">
        <v>29</v>
      </c>
      <c r="G367" t="s">
        <v>20</v>
      </c>
      <c r="H367" t="s">
        <v>18</v>
      </c>
      <c r="I367">
        <v>0</v>
      </c>
      <c r="J367" t="s">
        <v>16</v>
      </c>
      <c r="K367" t="s">
        <v>31</v>
      </c>
      <c r="L367">
        <v>48</v>
      </c>
      <c r="M367" t="str">
        <f t="shared" si="5"/>
        <v>MIddleAge</v>
      </c>
      <c r="N367" t="s">
        <v>18</v>
      </c>
      <c r="R367">
        <v>29191</v>
      </c>
      <c r="S367" t="s">
        <v>36</v>
      </c>
      <c r="T367" t="s">
        <v>37</v>
      </c>
      <c r="U367" s="4">
        <v>130000</v>
      </c>
      <c r="V367">
        <v>1</v>
      </c>
      <c r="W367" t="s">
        <v>30</v>
      </c>
      <c r="X367" t="s">
        <v>28</v>
      </c>
      <c r="Y367" t="s">
        <v>18</v>
      </c>
      <c r="Z367">
        <v>1</v>
      </c>
      <c r="AA367" t="s">
        <v>16</v>
      </c>
      <c r="AB367" t="s">
        <v>24</v>
      </c>
      <c r="AC367">
        <v>36</v>
      </c>
      <c r="AD367" t="s">
        <v>44</v>
      </c>
      <c r="BL367">
        <v>23144</v>
      </c>
      <c r="BM367" t="s">
        <v>35</v>
      </c>
      <c r="BN367" t="s">
        <v>38</v>
      </c>
      <c r="BO367" s="4">
        <v>50000</v>
      </c>
      <c r="BP367" s="4">
        <v>50000</v>
      </c>
      <c r="BQ367">
        <v>1</v>
      </c>
      <c r="BR367" t="s">
        <v>14</v>
      </c>
      <c r="BS367" t="s">
        <v>15</v>
      </c>
      <c r="BT367">
        <v>34</v>
      </c>
    </row>
    <row r="368" spans="1:72" x14ac:dyDescent="0.25">
      <c r="A368">
        <v>27040</v>
      </c>
      <c r="B368" t="s">
        <v>35</v>
      </c>
      <c r="C368" t="s">
        <v>38</v>
      </c>
      <c r="D368" s="11">
        <v>20000</v>
      </c>
      <c r="E368">
        <v>2</v>
      </c>
      <c r="F368" t="s">
        <v>29</v>
      </c>
      <c r="G368" t="s">
        <v>20</v>
      </c>
      <c r="H368" t="s">
        <v>15</v>
      </c>
      <c r="I368">
        <v>2</v>
      </c>
      <c r="J368" t="s">
        <v>26</v>
      </c>
      <c r="K368" t="s">
        <v>31</v>
      </c>
      <c r="L368">
        <v>49</v>
      </c>
      <c r="M368" t="str">
        <f t="shared" si="5"/>
        <v>MIddleAge</v>
      </c>
      <c r="N368" t="s">
        <v>18</v>
      </c>
      <c r="R368">
        <v>28269</v>
      </c>
      <c r="S368" t="s">
        <v>36</v>
      </c>
      <c r="T368" t="s">
        <v>37</v>
      </c>
      <c r="U368" s="4">
        <v>130000</v>
      </c>
      <c r="V368">
        <v>1</v>
      </c>
      <c r="W368" t="s">
        <v>13</v>
      </c>
      <c r="X368" t="s">
        <v>28</v>
      </c>
      <c r="Y368" t="s">
        <v>18</v>
      </c>
      <c r="Z368">
        <v>1</v>
      </c>
      <c r="AA368" t="s">
        <v>22</v>
      </c>
      <c r="AB368" t="s">
        <v>31</v>
      </c>
      <c r="AC368">
        <v>45</v>
      </c>
      <c r="AD368" t="s">
        <v>44</v>
      </c>
      <c r="BL368">
        <v>21583</v>
      </c>
      <c r="BM368" t="s">
        <v>35</v>
      </c>
      <c r="BN368" t="s">
        <v>37</v>
      </c>
      <c r="BO368" s="4">
        <v>50000</v>
      </c>
      <c r="BP368" s="4">
        <v>50000</v>
      </c>
      <c r="BQ368">
        <v>1</v>
      </c>
      <c r="BR368" t="s">
        <v>14</v>
      </c>
      <c r="BS368" t="s">
        <v>15</v>
      </c>
      <c r="BT368">
        <v>34</v>
      </c>
    </row>
    <row r="369" spans="1:72" x14ac:dyDescent="0.25">
      <c r="A369">
        <v>26270</v>
      </c>
      <c r="B369" t="s">
        <v>36</v>
      </c>
      <c r="C369" t="s">
        <v>37</v>
      </c>
      <c r="D369" s="11">
        <v>20000</v>
      </c>
      <c r="E369">
        <v>2</v>
      </c>
      <c r="F369" t="s">
        <v>29</v>
      </c>
      <c r="G369" t="s">
        <v>20</v>
      </c>
      <c r="H369" t="s">
        <v>15</v>
      </c>
      <c r="I369">
        <v>2</v>
      </c>
      <c r="J369" t="s">
        <v>26</v>
      </c>
      <c r="K369" t="s">
        <v>31</v>
      </c>
      <c r="L369">
        <v>49</v>
      </c>
      <c r="M369" t="str">
        <f t="shared" si="5"/>
        <v>MIddleAge</v>
      </c>
      <c r="N369" t="s">
        <v>18</v>
      </c>
      <c r="R369">
        <v>24398</v>
      </c>
      <c r="S369" t="s">
        <v>35</v>
      </c>
      <c r="T369" t="s">
        <v>38</v>
      </c>
      <c r="U369" s="4">
        <v>130000</v>
      </c>
      <c r="V369">
        <v>1</v>
      </c>
      <c r="W369" t="s">
        <v>30</v>
      </c>
      <c r="X369" t="s">
        <v>28</v>
      </c>
      <c r="Y369" t="s">
        <v>15</v>
      </c>
      <c r="Z369">
        <v>4</v>
      </c>
      <c r="AA369" t="s">
        <v>16</v>
      </c>
      <c r="AB369" t="s">
        <v>31</v>
      </c>
      <c r="AC369">
        <v>41</v>
      </c>
      <c r="AD369" t="s">
        <v>44</v>
      </c>
      <c r="BL369">
        <v>15468</v>
      </c>
      <c r="BM369" t="s">
        <v>35</v>
      </c>
      <c r="BN369" t="s">
        <v>37</v>
      </c>
      <c r="BO369" s="4">
        <v>50000</v>
      </c>
      <c r="BP369" s="4">
        <v>50000</v>
      </c>
      <c r="BQ369">
        <v>1</v>
      </c>
      <c r="BR369" t="s">
        <v>14</v>
      </c>
      <c r="BS369" t="s">
        <v>15</v>
      </c>
      <c r="BT369">
        <v>35</v>
      </c>
    </row>
    <row r="370" spans="1:72" x14ac:dyDescent="0.25">
      <c r="A370">
        <v>25940</v>
      </c>
      <c r="B370" t="s">
        <v>36</v>
      </c>
      <c r="C370" t="s">
        <v>38</v>
      </c>
      <c r="D370" s="11">
        <v>20000</v>
      </c>
      <c r="E370">
        <v>2</v>
      </c>
      <c r="F370" t="s">
        <v>29</v>
      </c>
      <c r="G370" t="s">
        <v>20</v>
      </c>
      <c r="H370" t="s">
        <v>15</v>
      </c>
      <c r="I370">
        <v>2</v>
      </c>
      <c r="J370" t="s">
        <v>23</v>
      </c>
      <c r="K370" t="s">
        <v>24</v>
      </c>
      <c r="L370">
        <v>55</v>
      </c>
      <c r="M370" t="str">
        <f t="shared" si="5"/>
        <v>Old</v>
      </c>
      <c r="N370" t="s">
        <v>15</v>
      </c>
      <c r="R370">
        <v>16867</v>
      </c>
      <c r="S370" t="s">
        <v>36</v>
      </c>
      <c r="T370" t="s">
        <v>37</v>
      </c>
      <c r="U370" s="4">
        <v>130000</v>
      </c>
      <c r="V370">
        <v>1</v>
      </c>
      <c r="W370" t="s">
        <v>13</v>
      </c>
      <c r="X370" t="s">
        <v>28</v>
      </c>
      <c r="Y370" t="s">
        <v>18</v>
      </c>
      <c r="Z370">
        <v>3</v>
      </c>
      <c r="AA370" t="s">
        <v>16</v>
      </c>
      <c r="AB370" t="s">
        <v>31</v>
      </c>
      <c r="AC370">
        <v>45</v>
      </c>
      <c r="AD370" t="s">
        <v>44</v>
      </c>
      <c r="BL370">
        <v>15287</v>
      </c>
      <c r="BM370" t="s">
        <v>36</v>
      </c>
      <c r="BN370" t="s">
        <v>37</v>
      </c>
      <c r="BO370" s="4">
        <v>50000</v>
      </c>
      <c r="BP370" s="4">
        <v>50000</v>
      </c>
      <c r="BQ370">
        <v>1</v>
      </c>
      <c r="BR370" t="s">
        <v>14</v>
      </c>
      <c r="BS370" t="s">
        <v>15</v>
      </c>
      <c r="BT370">
        <v>33</v>
      </c>
    </row>
    <row r="371" spans="1:72" x14ac:dyDescent="0.25">
      <c r="A371">
        <v>25752</v>
      </c>
      <c r="B371" t="s">
        <v>36</v>
      </c>
      <c r="C371" t="s">
        <v>37</v>
      </c>
      <c r="D371" s="11">
        <v>20000</v>
      </c>
      <c r="E371">
        <v>2</v>
      </c>
      <c r="F371" t="s">
        <v>19</v>
      </c>
      <c r="G371" t="s">
        <v>25</v>
      </c>
      <c r="H371" t="s">
        <v>18</v>
      </c>
      <c r="I371">
        <v>1</v>
      </c>
      <c r="J371" t="s">
        <v>16</v>
      </c>
      <c r="K371" t="s">
        <v>17</v>
      </c>
      <c r="L371">
        <v>53</v>
      </c>
      <c r="M371" t="str">
        <f t="shared" si="5"/>
        <v>MIddleAge</v>
      </c>
      <c r="N371" t="s">
        <v>15</v>
      </c>
      <c r="R371">
        <v>14443</v>
      </c>
      <c r="S371" t="s">
        <v>35</v>
      </c>
      <c r="T371" t="s">
        <v>38</v>
      </c>
      <c r="U371" s="4">
        <v>130000</v>
      </c>
      <c r="V371">
        <v>1</v>
      </c>
      <c r="W371" t="s">
        <v>30</v>
      </c>
      <c r="X371" t="s">
        <v>28</v>
      </c>
      <c r="Y371" t="s">
        <v>15</v>
      </c>
      <c r="Z371">
        <v>4</v>
      </c>
      <c r="AA371" t="s">
        <v>16</v>
      </c>
      <c r="AB371" t="s">
        <v>31</v>
      </c>
      <c r="AC371">
        <v>40</v>
      </c>
      <c r="AD371" t="s">
        <v>44</v>
      </c>
      <c r="BL371">
        <v>12882</v>
      </c>
      <c r="BM371" t="s">
        <v>35</v>
      </c>
      <c r="BN371" t="s">
        <v>38</v>
      </c>
      <c r="BO371" s="4">
        <v>50000</v>
      </c>
      <c r="BP371" s="4">
        <v>50000</v>
      </c>
      <c r="BQ371">
        <v>1</v>
      </c>
      <c r="BR371" t="s">
        <v>14</v>
      </c>
      <c r="BS371" t="s">
        <v>15</v>
      </c>
      <c r="BT371">
        <v>33</v>
      </c>
    </row>
    <row r="372" spans="1:72" x14ac:dyDescent="0.25">
      <c r="A372">
        <v>25605</v>
      </c>
      <c r="B372" t="s">
        <v>36</v>
      </c>
      <c r="C372" t="s">
        <v>37</v>
      </c>
      <c r="D372" s="11">
        <v>20000</v>
      </c>
      <c r="E372">
        <v>2</v>
      </c>
      <c r="F372" t="s">
        <v>19</v>
      </c>
      <c r="G372" t="s">
        <v>25</v>
      </c>
      <c r="H372" t="s">
        <v>18</v>
      </c>
      <c r="I372">
        <v>1</v>
      </c>
      <c r="J372" t="s">
        <v>16</v>
      </c>
      <c r="K372" t="s">
        <v>17</v>
      </c>
      <c r="L372">
        <v>54</v>
      </c>
      <c r="M372" t="str">
        <f t="shared" si="5"/>
        <v>MIddleAge</v>
      </c>
      <c r="N372" t="s">
        <v>15</v>
      </c>
      <c r="R372">
        <v>29424</v>
      </c>
      <c r="S372" t="s">
        <v>35</v>
      </c>
      <c r="T372" t="s">
        <v>38</v>
      </c>
      <c r="U372" s="4">
        <v>10000</v>
      </c>
      <c r="V372">
        <v>0</v>
      </c>
      <c r="W372" t="s">
        <v>29</v>
      </c>
      <c r="X372" t="s">
        <v>25</v>
      </c>
      <c r="Y372" t="s">
        <v>15</v>
      </c>
      <c r="Z372">
        <v>2</v>
      </c>
      <c r="AA372" t="s">
        <v>16</v>
      </c>
      <c r="AB372" t="s">
        <v>17</v>
      </c>
      <c r="AC372">
        <v>32</v>
      </c>
      <c r="AD372" t="s">
        <v>44</v>
      </c>
      <c r="BL372">
        <v>11641</v>
      </c>
      <c r="BM372" t="s">
        <v>35</v>
      </c>
      <c r="BN372" t="s">
        <v>38</v>
      </c>
      <c r="BO372" s="4">
        <v>50000</v>
      </c>
      <c r="BP372" s="4">
        <v>50000</v>
      </c>
      <c r="BQ372">
        <v>1</v>
      </c>
      <c r="BR372" t="s">
        <v>14</v>
      </c>
      <c r="BS372" t="s">
        <v>15</v>
      </c>
      <c r="BT372">
        <v>36</v>
      </c>
    </row>
    <row r="373" spans="1:72" x14ac:dyDescent="0.25">
      <c r="A373">
        <v>25460</v>
      </c>
      <c r="B373" t="s">
        <v>35</v>
      </c>
      <c r="C373" t="s">
        <v>37</v>
      </c>
      <c r="D373" s="11">
        <v>20000</v>
      </c>
      <c r="E373">
        <v>2</v>
      </c>
      <c r="F373" t="s">
        <v>27</v>
      </c>
      <c r="G373" t="s">
        <v>25</v>
      </c>
      <c r="H373" t="s">
        <v>15</v>
      </c>
      <c r="I373">
        <v>0</v>
      </c>
      <c r="J373" t="s">
        <v>16</v>
      </c>
      <c r="K373" t="s">
        <v>17</v>
      </c>
      <c r="L373">
        <v>40</v>
      </c>
      <c r="M373" t="str">
        <f t="shared" si="5"/>
        <v>MIddleAge</v>
      </c>
      <c r="N373" t="s">
        <v>15</v>
      </c>
      <c r="R373">
        <v>25555</v>
      </c>
      <c r="S373" t="s">
        <v>35</v>
      </c>
      <c r="T373" t="s">
        <v>37</v>
      </c>
      <c r="U373" s="4">
        <v>10000</v>
      </c>
      <c r="V373">
        <v>0</v>
      </c>
      <c r="W373" t="s">
        <v>19</v>
      </c>
      <c r="X373" t="s">
        <v>25</v>
      </c>
      <c r="Y373" t="s">
        <v>18</v>
      </c>
      <c r="Z373">
        <v>1</v>
      </c>
      <c r="AA373" t="s">
        <v>16</v>
      </c>
      <c r="AB373" t="s">
        <v>24</v>
      </c>
      <c r="AC373">
        <v>26</v>
      </c>
      <c r="AD373" t="s">
        <v>43</v>
      </c>
      <c r="BL373">
        <v>29298</v>
      </c>
      <c r="BM373" t="s">
        <v>36</v>
      </c>
      <c r="BN373" t="s">
        <v>37</v>
      </c>
      <c r="BO373" s="4">
        <v>60000</v>
      </c>
      <c r="BP373" s="4">
        <v>60000</v>
      </c>
      <c r="BQ373">
        <v>1</v>
      </c>
      <c r="BR373" t="s">
        <v>14</v>
      </c>
      <c r="BS373" t="s">
        <v>15</v>
      </c>
      <c r="BT373">
        <v>46</v>
      </c>
    </row>
    <row r="374" spans="1:72" x14ac:dyDescent="0.25">
      <c r="A374">
        <v>25026</v>
      </c>
      <c r="B374" t="s">
        <v>35</v>
      </c>
      <c r="C374" t="s">
        <v>38</v>
      </c>
      <c r="D374" s="11">
        <v>20000</v>
      </c>
      <c r="E374">
        <v>2</v>
      </c>
      <c r="F374" t="s">
        <v>29</v>
      </c>
      <c r="G374" t="s">
        <v>20</v>
      </c>
      <c r="H374" t="s">
        <v>15</v>
      </c>
      <c r="I374">
        <v>3</v>
      </c>
      <c r="J374" t="s">
        <v>23</v>
      </c>
      <c r="K374" t="s">
        <v>24</v>
      </c>
      <c r="L374">
        <v>54</v>
      </c>
      <c r="M374" t="str">
        <f t="shared" si="5"/>
        <v>MIddleAge</v>
      </c>
      <c r="N374" t="s">
        <v>18</v>
      </c>
      <c r="R374">
        <v>23993</v>
      </c>
      <c r="S374" t="s">
        <v>36</v>
      </c>
      <c r="T374" t="s">
        <v>37</v>
      </c>
      <c r="U374" s="4">
        <v>10000</v>
      </c>
      <c r="V374">
        <v>0</v>
      </c>
      <c r="W374" t="s">
        <v>19</v>
      </c>
      <c r="X374" t="s">
        <v>25</v>
      </c>
      <c r="Y374" t="s">
        <v>18</v>
      </c>
      <c r="Z374">
        <v>1</v>
      </c>
      <c r="AA374" t="s">
        <v>16</v>
      </c>
      <c r="AB374" t="s">
        <v>24</v>
      </c>
      <c r="AC374">
        <v>26</v>
      </c>
      <c r="AD374" t="s">
        <v>43</v>
      </c>
      <c r="BL374">
        <v>29143</v>
      </c>
      <c r="BM374" t="s">
        <v>36</v>
      </c>
      <c r="BN374" t="s">
        <v>37</v>
      </c>
      <c r="BO374" s="4">
        <v>60000</v>
      </c>
      <c r="BP374" s="4">
        <v>60000</v>
      </c>
      <c r="BQ374">
        <v>1</v>
      </c>
      <c r="BR374" t="s">
        <v>21</v>
      </c>
      <c r="BS374" t="s">
        <v>18</v>
      </c>
      <c r="BT374">
        <v>44</v>
      </c>
    </row>
    <row r="375" spans="1:72" x14ac:dyDescent="0.25">
      <c r="A375">
        <v>24273</v>
      </c>
      <c r="B375" t="s">
        <v>35</v>
      </c>
      <c r="C375" t="s">
        <v>37</v>
      </c>
      <c r="D375" s="11">
        <v>20000</v>
      </c>
      <c r="E375">
        <v>2</v>
      </c>
      <c r="F375" t="s">
        <v>29</v>
      </c>
      <c r="G375" t="s">
        <v>20</v>
      </c>
      <c r="H375" t="s">
        <v>15</v>
      </c>
      <c r="I375">
        <v>2</v>
      </c>
      <c r="J375" t="s">
        <v>23</v>
      </c>
      <c r="K375" t="s">
        <v>24</v>
      </c>
      <c r="L375">
        <v>55</v>
      </c>
      <c r="M375" t="str">
        <f t="shared" si="5"/>
        <v>Old</v>
      </c>
      <c r="N375" t="s">
        <v>15</v>
      </c>
      <c r="R375">
        <v>22402</v>
      </c>
      <c r="S375" t="s">
        <v>35</v>
      </c>
      <c r="T375" t="s">
        <v>38</v>
      </c>
      <c r="U375" s="4">
        <v>10000</v>
      </c>
      <c r="V375">
        <v>0</v>
      </c>
      <c r="W375" t="s">
        <v>19</v>
      </c>
      <c r="X375" t="s">
        <v>25</v>
      </c>
      <c r="Y375" t="s">
        <v>15</v>
      </c>
      <c r="Z375">
        <v>1</v>
      </c>
      <c r="AA375" t="s">
        <v>22</v>
      </c>
      <c r="AB375" t="s">
        <v>24</v>
      </c>
      <c r="AC375">
        <v>25</v>
      </c>
      <c r="AD375" t="s">
        <v>43</v>
      </c>
      <c r="BL375">
        <v>28319</v>
      </c>
      <c r="BM375" t="s">
        <v>36</v>
      </c>
      <c r="BN375" t="s">
        <v>37</v>
      </c>
      <c r="BO375" s="4">
        <v>60000</v>
      </c>
      <c r="BP375" s="4">
        <v>60000</v>
      </c>
      <c r="BQ375">
        <v>1</v>
      </c>
      <c r="BR375" t="s">
        <v>14</v>
      </c>
      <c r="BS375" t="s">
        <v>18</v>
      </c>
      <c r="BT375">
        <v>46</v>
      </c>
    </row>
    <row r="376" spans="1:72" x14ac:dyDescent="0.25">
      <c r="A376">
        <v>23915</v>
      </c>
      <c r="B376" t="s">
        <v>35</v>
      </c>
      <c r="C376" t="s">
        <v>38</v>
      </c>
      <c r="D376" s="11">
        <v>20000</v>
      </c>
      <c r="E376">
        <v>2</v>
      </c>
      <c r="F376" t="s">
        <v>27</v>
      </c>
      <c r="G376" t="s">
        <v>25</v>
      </c>
      <c r="H376" t="s">
        <v>15</v>
      </c>
      <c r="I376">
        <v>2</v>
      </c>
      <c r="J376" t="s">
        <v>16</v>
      </c>
      <c r="K376" t="s">
        <v>17</v>
      </c>
      <c r="L376">
        <v>42</v>
      </c>
      <c r="M376" t="str">
        <f t="shared" si="5"/>
        <v>MIddleAge</v>
      </c>
      <c r="N376" t="s">
        <v>18</v>
      </c>
      <c r="R376">
        <v>22399</v>
      </c>
      <c r="S376" t="s">
        <v>36</v>
      </c>
      <c r="T376" t="s">
        <v>38</v>
      </c>
      <c r="U376" s="4">
        <v>10000</v>
      </c>
      <c r="V376">
        <v>0</v>
      </c>
      <c r="W376" t="s">
        <v>19</v>
      </c>
      <c r="X376" t="s">
        <v>25</v>
      </c>
      <c r="Y376" t="s">
        <v>15</v>
      </c>
      <c r="Z376">
        <v>1</v>
      </c>
      <c r="AA376" t="s">
        <v>26</v>
      </c>
      <c r="AB376" t="s">
        <v>24</v>
      </c>
      <c r="AC376">
        <v>26</v>
      </c>
      <c r="AD376" t="s">
        <v>43</v>
      </c>
      <c r="BL376">
        <v>27696</v>
      </c>
      <c r="BM376" t="s">
        <v>35</v>
      </c>
      <c r="BN376" t="s">
        <v>38</v>
      </c>
      <c r="BO376" s="4">
        <v>60000</v>
      </c>
      <c r="BP376" s="4">
        <v>60000</v>
      </c>
      <c r="BQ376">
        <v>1</v>
      </c>
      <c r="BR376" t="s">
        <v>21</v>
      </c>
      <c r="BS376" t="s">
        <v>15</v>
      </c>
      <c r="BT376">
        <v>43</v>
      </c>
    </row>
    <row r="377" spans="1:72" x14ac:dyDescent="0.25">
      <c r="A377">
        <v>23801</v>
      </c>
      <c r="B377" t="s">
        <v>35</v>
      </c>
      <c r="C377" t="s">
        <v>37</v>
      </c>
      <c r="D377" s="11">
        <v>20000</v>
      </c>
      <c r="E377">
        <v>2</v>
      </c>
      <c r="F377" t="s">
        <v>29</v>
      </c>
      <c r="G377" t="s">
        <v>20</v>
      </c>
      <c r="H377" t="s">
        <v>15</v>
      </c>
      <c r="I377">
        <v>2</v>
      </c>
      <c r="J377" t="s">
        <v>16</v>
      </c>
      <c r="K377" t="s">
        <v>31</v>
      </c>
      <c r="L377">
        <v>49</v>
      </c>
      <c r="M377" t="str">
        <f t="shared" si="5"/>
        <v>MIddleAge</v>
      </c>
      <c r="N377" t="s">
        <v>18</v>
      </c>
      <c r="R377">
        <v>19183</v>
      </c>
      <c r="S377" t="s">
        <v>36</v>
      </c>
      <c r="T377" t="s">
        <v>38</v>
      </c>
      <c r="U377" s="4">
        <v>10000</v>
      </c>
      <c r="V377">
        <v>0</v>
      </c>
      <c r="W377" t="s">
        <v>29</v>
      </c>
      <c r="X377" t="s">
        <v>25</v>
      </c>
      <c r="Y377" t="s">
        <v>15</v>
      </c>
      <c r="Z377">
        <v>2</v>
      </c>
      <c r="AA377" t="s">
        <v>26</v>
      </c>
      <c r="AB377" t="s">
        <v>17</v>
      </c>
      <c r="AC377">
        <v>35</v>
      </c>
      <c r="AD377" t="s">
        <v>44</v>
      </c>
      <c r="BL377">
        <v>27090</v>
      </c>
      <c r="BM377" t="s">
        <v>35</v>
      </c>
      <c r="BN377" t="s">
        <v>37</v>
      </c>
      <c r="BO377" s="4">
        <v>60000</v>
      </c>
      <c r="BP377" s="4">
        <v>60000</v>
      </c>
      <c r="BQ377">
        <v>1</v>
      </c>
      <c r="BR377" t="s">
        <v>21</v>
      </c>
      <c r="BS377" t="s">
        <v>15</v>
      </c>
      <c r="BT377">
        <v>37</v>
      </c>
    </row>
    <row r="378" spans="1:72" x14ac:dyDescent="0.25">
      <c r="A378">
        <v>22155</v>
      </c>
      <c r="B378" t="s">
        <v>35</v>
      </c>
      <c r="C378" t="s">
        <v>38</v>
      </c>
      <c r="D378" s="11">
        <v>20000</v>
      </c>
      <c r="E378">
        <v>2</v>
      </c>
      <c r="F378" t="s">
        <v>29</v>
      </c>
      <c r="G378" t="s">
        <v>20</v>
      </c>
      <c r="H378" t="s">
        <v>15</v>
      </c>
      <c r="I378">
        <v>2</v>
      </c>
      <c r="J378" t="s">
        <v>23</v>
      </c>
      <c r="K378" t="s">
        <v>24</v>
      </c>
      <c r="L378">
        <v>58</v>
      </c>
      <c r="M378" t="str">
        <f t="shared" si="5"/>
        <v>Old</v>
      </c>
      <c r="N378" t="s">
        <v>18</v>
      </c>
      <c r="R378">
        <v>17843</v>
      </c>
      <c r="S378" t="s">
        <v>36</v>
      </c>
      <c r="T378" t="s">
        <v>37</v>
      </c>
      <c r="U378" s="4">
        <v>10000</v>
      </c>
      <c r="V378">
        <v>0</v>
      </c>
      <c r="W378" t="s">
        <v>29</v>
      </c>
      <c r="X378" t="s">
        <v>25</v>
      </c>
      <c r="Y378" t="s">
        <v>18</v>
      </c>
      <c r="Z378">
        <v>2</v>
      </c>
      <c r="AA378" t="s">
        <v>16</v>
      </c>
      <c r="AB378" t="s">
        <v>17</v>
      </c>
      <c r="AC378">
        <v>32</v>
      </c>
      <c r="AD378" t="s">
        <v>44</v>
      </c>
      <c r="BL378">
        <v>26154</v>
      </c>
      <c r="BM378" t="s">
        <v>35</v>
      </c>
      <c r="BN378" t="s">
        <v>38</v>
      </c>
      <c r="BO378" s="4">
        <v>60000</v>
      </c>
      <c r="BP378" s="4">
        <v>60000</v>
      </c>
      <c r="BQ378">
        <v>1</v>
      </c>
      <c r="BR378" t="s">
        <v>14</v>
      </c>
      <c r="BS378" t="s">
        <v>15</v>
      </c>
      <c r="BT378">
        <v>43</v>
      </c>
    </row>
    <row r="379" spans="1:72" x14ac:dyDescent="0.25">
      <c r="A379">
        <v>21375</v>
      </c>
      <c r="B379" t="s">
        <v>36</v>
      </c>
      <c r="C379" t="s">
        <v>38</v>
      </c>
      <c r="D379" s="11">
        <v>20000</v>
      </c>
      <c r="E379">
        <v>2</v>
      </c>
      <c r="F379" t="s">
        <v>29</v>
      </c>
      <c r="G379" t="s">
        <v>20</v>
      </c>
      <c r="H379" t="s">
        <v>15</v>
      </c>
      <c r="I379">
        <v>2</v>
      </c>
      <c r="J379" t="s">
        <v>23</v>
      </c>
      <c r="K379" t="s">
        <v>24</v>
      </c>
      <c r="L379">
        <v>57</v>
      </c>
      <c r="M379" t="str">
        <f t="shared" si="5"/>
        <v>Old</v>
      </c>
      <c r="N379" t="s">
        <v>18</v>
      </c>
      <c r="R379">
        <v>16514</v>
      </c>
      <c r="S379" t="s">
        <v>36</v>
      </c>
      <c r="T379" t="s">
        <v>38</v>
      </c>
      <c r="U379" s="4">
        <v>10000</v>
      </c>
      <c r="V379">
        <v>0</v>
      </c>
      <c r="W379" t="s">
        <v>19</v>
      </c>
      <c r="X379" t="s">
        <v>25</v>
      </c>
      <c r="Y379" t="s">
        <v>15</v>
      </c>
      <c r="Z379">
        <v>1</v>
      </c>
      <c r="AA379" t="s">
        <v>26</v>
      </c>
      <c r="AB379" t="s">
        <v>24</v>
      </c>
      <c r="AC379">
        <v>26</v>
      </c>
      <c r="AD379" t="s">
        <v>43</v>
      </c>
      <c r="BL379">
        <v>26139</v>
      </c>
      <c r="BM379" t="s">
        <v>36</v>
      </c>
      <c r="BN379" t="s">
        <v>38</v>
      </c>
      <c r="BO379" s="4">
        <v>60000</v>
      </c>
      <c r="BP379" s="4">
        <v>60000</v>
      </c>
      <c r="BQ379">
        <v>1</v>
      </c>
      <c r="BR379" t="s">
        <v>14</v>
      </c>
      <c r="BS379" t="s">
        <v>15</v>
      </c>
      <c r="BT379">
        <v>45</v>
      </c>
    </row>
    <row r="380" spans="1:72" x14ac:dyDescent="0.25">
      <c r="A380">
        <v>20171</v>
      </c>
      <c r="B380" t="s">
        <v>35</v>
      </c>
      <c r="C380" t="s">
        <v>37</v>
      </c>
      <c r="D380" s="11">
        <v>20000</v>
      </c>
      <c r="E380">
        <v>2</v>
      </c>
      <c r="F380" t="s">
        <v>19</v>
      </c>
      <c r="G380" t="s">
        <v>25</v>
      </c>
      <c r="H380" t="s">
        <v>15</v>
      </c>
      <c r="I380">
        <v>1</v>
      </c>
      <c r="J380" t="s">
        <v>16</v>
      </c>
      <c r="K380" t="s">
        <v>17</v>
      </c>
      <c r="L380">
        <v>46</v>
      </c>
      <c r="M380" t="str">
        <f t="shared" si="5"/>
        <v>MIddleAge</v>
      </c>
      <c r="N380" t="s">
        <v>15</v>
      </c>
      <c r="R380">
        <v>16438</v>
      </c>
      <c r="S380" t="s">
        <v>35</v>
      </c>
      <c r="T380" t="s">
        <v>37</v>
      </c>
      <c r="U380" s="4">
        <v>10000</v>
      </c>
      <c r="V380">
        <v>0</v>
      </c>
      <c r="W380" t="s">
        <v>29</v>
      </c>
      <c r="X380" t="s">
        <v>25</v>
      </c>
      <c r="Y380" t="s">
        <v>18</v>
      </c>
      <c r="Z380">
        <v>2</v>
      </c>
      <c r="AA380" t="s">
        <v>16</v>
      </c>
      <c r="AB380" t="s">
        <v>17</v>
      </c>
      <c r="AC380">
        <v>30</v>
      </c>
      <c r="AD380" t="s">
        <v>43</v>
      </c>
      <c r="BL380">
        <v>25394</v>
      </c>
      <c r="BM380" t="s">
        <v>35</v>
      </c>
      <c r="BN380" t="s">
        <v>38</v>
      </c>
      <c r="BO380" s="4">
        <v>60000</v>
      </c>
      <c r="BP380" s="4">
        <v>60000</v>
      </c>
      <c r="BQ380">
        <v>1</v>
      </c>
      <c r="BR380" t="s">
        <v>21</v>
      </c>
      <c r="BS380" t="s">
        <v>15</v>
      </c>
      <c r="BT380">
        <v>34</v>
      </c>
    </row>
    <row r="381" spans="1:72" x14ac:dyDescent="0.25">
      <c r="A381">
        <v>20084</v>
      </c>
      <c r="B381" t="s">
        <v>35</v>
      </c>
      <c r="C381" t="s">
        <v>38</v>
      </c>
      <c r="D381" s="11">
        <v>20000</v>
      </c>
      <c r="E381">
        <v>2</v>
      </c>
      <c r="F381" t="s">
        <v>27</v>
      </c>
      <c r="G381" t="s">
        <v>25</v>
      </c>
      <c r="H381" t="s">
        <v>18</v>
      </c>
      <c r="I381">
        <v>2</v>
      </c>
      <c r="J381" t="s">
        <v>16</v>
      </c>
      <c r="K381" t="s">
        <v>31</v>
      </c>
      <c r="L381">
        <v>53</v>
      </c>
      <c r="M381" t="str">
        <f t="shared" si="5"/>
        <v>MIddleAge</v>
      </c>
      <c r="N381" t="s">
        <v>18</v>
      </c>
      <c r="R381">
        <v>16200</v>
      </c>
      <c r="S381" t="s">
        <v>36</v>
      </c>
      <c r="T381" t="s">
        <v>37</v>
      </c>
      <c r="U381" s="4">
        <v>10000</v>
      </c>
      <c r="V381">
        <v>0</v>
      </c>
      <c r="W381" t="s">
        <v>29</v>
      </c>
      <c r="X381" t="s">
        <v>25</v>
      </c>
      <c r="Y381" t="s">
        <v>18</v>
      </c>
      <c r="Z381">
        <v>2</v>
      </c>
      <c r="AA381" t="s">
        <v>16</v>
      </c>
      <c r="AB381" t="s">
        <v>17</v>
      </c>
      <c r="AC381">
        <v>35</v>
      </c>
      <c r="AD381" t="s">
        <v>44</v>
      </c>
      <c r="BL381">
        <v>24801</v>
      </c>
      <c r="BM381" t="s">
        <v>36</v>
      </c>
      <c r="BN381" t="s">
        <v>38</v>
      </c>
      <c r="BO381" s="4">
        <v>60000</v>
      </c>
      <c r="BP381" s="4">
        <v>60000</v>
      </c>
      <c r="BQ381">
        <v>1</v>
      </c>
      <c r="BR381" t="s">
        <v>21</v>
      </c>
      <c r="BS381" t="s">
        <v>15</v>
      </c>
      <c r="BT381">
        <v>35</v>
      </c>
    </row>
    <row r="382" spans="1:72" x14ac:dyDescent="0.25">
      <c r="A382">
        <v>19331</v>
      </c>
      <c r="B382" t="s">
        <v>36</v>
      </c>
      <c r="C382" t="s">
        <v>38</v>
      </c>
      <c r="D382" s="11">
        <v>20000</v>
      </c>
      <c r="E382">
        <v>2</v>
      </c>
      <c r="F382" t="s">
        <v>27</v>
      </c>
      <c r="G382" t="s">
        <v>25</v>
      </c>
      <c r="H382" t="s">
        <v>15</v>
      </c>
      <c r="I382">
        <v>1</v>
      </c>
      <c r="J382" t="s">
        <v>16</v>
      </c>
      <c r="K382" t="s">
        <v>17</v>
      </c>
      <c r="L382">
        <v>40</v>
      </c>
      <c r="M382" t="str">
        <f t="shared" si="5"/>
        <v>MIddleAge</v>
      </c>
      <c r="N382" t="s">
        <v>18</v>
      </c>
      <c r="R382">
        <v>15465</v>
      </c>
      <c r="S382" t="s">
        <v>35</v>
      </c>
      <c r="T382" t="s">
        <v>37</v>
      </c>
      <c r="U382" s="4">
        <v>10000</v>
      </c>
      <c r="V382">
        <v>0</v>
      </c>
      <c r="W382" t="s">
        <v>19</v>
      </c>
      <c r="X382" t="s">
        <v>25</v>
      </c>
      <c r="Y382" t="s">
        <v>18</v>
      </c>
      <c r="Z382">
        <v>1</v>
      </c>
      <c r="AA382" t="s">
        <v>16</v>
      </c>
      <c r="AB382" t="s">
        <v>24</v>
      </c>
      <c r="AC382">
        <v>25</v>
      </c>
      <c r="AD382" t="s">
        <v>43</v>
      </c>
      <c r="BL382">
        <v>24466</v>
      </c>
      <c r="BM382" t="s">
        <v>35</v>
      </c>
      <c r="BN382" t="s">
        <v>37</v>
      </c>
      <c r="BO382" s="4">
        <v>60000</v>
      </c>
      <c r="BP382" s="4">
        <v>60000</v>
      </c>
      <c r="BQ382">
        <v>1</v>
      </c>
      <c r="BR382" t="s">
        <v>14</v>
      </c>
      <c r="BS382" t="s">
        <v>15</v>
      </c>
      <c r="BT382">
        <v>46</v>
      </c>
    </row>
    <row r="383" spans="1:72" x14ac:dyDescent="0.25">
      <c r="A383">
        <v>19273</v>
      </c>
      <c r="B383" t="s">
        <v>35</v>
      </c>
      <c r="C383" t="s">
        <v>37</v>
      </c>
      <c r="D383" s="11">
        <v>20000</v>
      </c>
      <c r="E383">
        <v>2</v>
      </c>
      <c r="F383" t="s">
        <v>19</v>
      </c>
      <c r="G383" t="s">
        <v>25</v>
      </c>
      <c r="H383" t="s">
        <v>15</v>
      </c>
      <c r="I383">
        <v>0</v>
      </c>
      <c r="J383" t="s">
        <v>16</v>
      </c>
      <c r="K383" t="s">
        <v>17</v>
      </c>
      <c r="L383">
        <v>63</v>
      </c>
      <c r="M383" t="str">
        <f t="shared" si="5"/>
        <v>Old</v>
      </c>
      <c r="N383" t="s">
        <v>18</v>
      </c>
      <c r="R383">
        <v>12581</v>
      </c>
      <c r="S383" t="s">
        <v>36</v>
      </c>
      <c r="T383" t="s">
        <v>37</v>
      </c>
      <c r="U383" s="4">
        <v>10000</v>
      </c>
      <c r="V383">
        <v>0</v>
      </c>
      <c r="W383" t="s">
        <v>19</v>
      </c>
      <c r="X383" t="s">
        <v>25</v>
      </c>
      <c r="Y383" t="s">
        <v>18</v>
      </c>
      <c r="Z383">
        <v>1</v>
      </c>
      <c r="AA383" t="s">
        <v>16</v>
      </c>
      <c r="AB383" t="s">
        <v>24</v>
      </c>
      <c r="AC383">
        <v>28</v>
      </c>
      <c r="AD383" t="s">
        <v>43</v>
      </c>
      <c r="BL383">
        <v>23542</v>
      </c>
      <c r="BM383" t="s">
        <v>36</v>
      </c>
      <c r="BN383" t="s">
        <v>38</v>
      </c>
      <c r="BO383" s="4">
        <v>60000</v>
      </c>
      <c r="BP383" s="4">
        <v>60000</v>
      </c>
      <c r="BQ383">
        <v>1</v>
      </c>
      <c r="BR383" t="s">
        <v>14</v>
      </c>
      <c r="BS383" t="s">
        <v>18</v>
      </c>
      <c r="BT383">
        <v>45</v>
      </c>
    </row>
    <row r="384" spans="1:72" x14ac:dyDescent="0.25">
      <c r="A384">
        <v>17994</v>
      </c>
      <c r="B384" t="s">
        <v>36</v>
      </c>
      <c r="C384" t="s">
        <v>38</v>
      </c>
      <c r="D384" s="11">
        <v>20000</v>
      </c>
      <c r="E384">
        <v>2</v>
      </c>
      <c r="F384" t="s">
        <v>27</v>
      </c>
      <c r="G384" t="s">
        <v>25</v>
      </c>
      <c r="H384" t="s">
        <v>15</v>
      </c>
      <c r="I384">
        <v>2</v>
      </c>
      <c r="J384" t="s">
        <v>16</v>
      </c>
      <c r="K384" t="s">
        <v>17</v>
      </c>
      <c r="L384">
        <v>42</v>
      </c>
      <c r="M384" t="str">
        <f t="shared" si="5"/>
        <v>MIddleAge</v>
      </c>
      <c r="N384" t="s">
        <v>18</v>
      </c>
      <c r="R384">
        <v>28488</v>
      </c>
      <c r="S384" t="s">
        <v>36</v>
      </c>
      <c r="T384" t="s">
        <v>38</v>
      </c>
      <c r="U384" s="4">
        <v>20000</v>
      </c>
      <c r="V384">
        <v>0</v>
      </c>
      <c r="W384" t="s">
        <v>19</v>
      </c>
      <c r="X384" t="s">
        <v>25</v>
      </c>
      <c r="Y384" t="s">
        <v>15</v>
      </c>
      <c r="Z384">
        <v>0</v>
      </c>
      <c r="AA384" t="s">
        <v>16</v>
      </c>
      <c r="AB384" t="s">
        <v>24</v>
      </c>
      <c r="AC384">
        <v>28</v>
      </c>
      <c r="AD384" t="s">
        <v>43</v>
      </c>
      <c r="BL384">
        <v>23158</v>
      </c>
      <c r="BM384" t="s">
        <v>35</v>
      </c>
      <c r="BN384" t="s">
        <v>37</v>
      </c>
      <c r="BO384" s="4">
        <v>60000</v>
      </c>
      <c r="BP384" s="4">
        <v>60000</v>
      </c>
      <c r="BQ384">
        <v>1</v>
      </c>
      <c r="BR384" t="s">
        <v>21</v>
      </c>
      <c r="BS384" t="s">
        <v>18</v>
      </c>
      <c r="BT384">
        <v>35</v>
      </c>
    </row>
    <row r="385" spans="1:72" x14ac:dyDescent="0.25">
      <c r="A385">
        <v>13714</v>
      </c>
      <c r="B385" t="s">
        <v>35</v>
      </c>
      <c r="C385" t="s">
        <v>37</v>
      </c>
      <c r="D385" s="11">
        <v>20000</v>
      </c>
      <c r="E385">
        <v>2</v>
      </c>
      <c r="F385" t="s">
        <v>27</v>
      </c>
      <c r="G385" t="s">
        <v>25</v>
      </c>
      <c r="H385" t="s">
        <v>18</v>
      </c>
      <c r="I385">
        <v>2</v>
      </c>
      <c r="J385" t="s">
        <v>26</v>
      </c>
      <c r="K385" t="s">
        <v>31</v>
      </c>
      <c r="L385">
        <v>53</v>
      </c>
      <c r="M385" t="str">
        <f t="shared" si="5"/>
        <v>MIddleAge</v>
      </c>
      <c r="N385" t="s">
        <v>15</v>
      </c>
      <c r="R385">
        <v>27835</v>
      </c>
      <c r="S385" t="s">
        <v>35</v>
      </c>
      <c r="T385" t="s">
        <v>38</v>
      </c>
      <c r="U385" s="4">
        <v>20000</v>
      </c>
      <c r="V385">
        <v>0</v>
      </c>
      <c r="W385" t="s">
        <v>29</v>
      </c>
      <c r="X385" t="s">
        <v>25</v>
      </c>
      <c r="Y385" t="s">
        <v>15</v>
      </c>
      <c r="Z385">
        <v>2</v>
      </c>
      <c r="AA385" t="s">
        <v>16</v>
      </c>
      <c r="AB385" t="s">
        <v>17</v>
      </c>
      <c r="AC385">
        <v>32</v>
      </c>
      <c r="AD385" t="s">
        <v>44</v>
      </c>
      <c r="BL385">
        <v>22936</v>
      </c>
      <c r="BM385" t="s">
        <v>36</v>
      </c>
      <c r="BN385" t="s">
        <v>37</v>
      </c>
      <c r="BO385" s="4">
        <v>60000</v>
      </c>
      <c r="BP385" s="4">
        <v>60000</v>
      </c>
      <c r="BQ385">
        <v>1</v>
      </c>
      <c r="BR385" t="s">
        <v>14</v>
      </c>
      <c r="BS385" t="s">
        <v>18</v>
      </c>
      <c r="BT385">
        <v>45</v>
      </c>
    </row>
    <row r="386" spans="1:72" x14ac:dyDescent="0.25">
      <c r="A386">
        <v>11381</v>
      </c>
      <c r="B386" t="s">
        <v>35</v>
      </c>
      <c r="C386" t="s">
        <v>37</v>
      </c>
      <c r="D386" s="11">
        <v>20000</v>
      </c>
      <c r="E386">
        <v>2</v>
      </c>
      <c r="F386" t="s">
        <v>19</v>
      </c>
      <c r="G386" t="s">
        <v>25</v>
      </c>
      <c r="H386" t="s">
        <v>15</v>
      </c>
      <c r="I386">
        <v>1</v>
      </c>
      <c r="J386" t="s">
        <v>22</v>
      </c>
      <c r="K386" t="s">
        <v>17</v>
      </c>
      <c r="L386">
        <v>47</v>
      </c>
      <c r="M386" t="str">
        <f t="shared" ref="M386:M449" si="6">IF(L386&gt; 54, "Old",IF(L386&gt;= 31, "MIddleAge",IF(L386&lt;31, "Adolescent", "Adult")))</f>
        <v>MIddleAge</v>
      </c>
      <c r="N386" t="s">
        <v>15</v>
      </c>
      <c r="R386">
        <v>26956</v>
      </c>
      <c r="S386" t="s">
        <v>36</v>
      </c>
      <c r="T386" t="s">
        <v>37</v>
      </c>
      <c r="U386" s="4">
        <v>20000</v>
      </c>
      <c r="V386">
        <v>0</v>
      </c>
      <c r="W386" t="s">
        <v>19</v>
      </c>
      <c r="X386" t="s">
        <v>25</v>
      </c>
      <c r="Y386" t="s">
        <v>18</v>
      </c>
      <c r="Z386">
        <v>1</v>
      </c>
      <c r="AA386" t="s">
        <v>22</v>
      </c>
      <c r="AB386" t="s">
        <v>17</v>
      </c>
      <c r="AC386">
        <v>36</v>
      </c>
      <c r="AD386" t="s">
        <v>44</v>
      </c>
      <c r="BL386">
        <v>22252</v>
      </c>
      <c r="BM386" t="s">
        <v>36</v>
      </c>
      <c r="BN386" t="s">
        <v>37</v>
      </c>
      <c r="BO386" s="4">
        <v>60000</v>
      </c>
      <c r="BP386" s="4">
        <v>60000</v>
      </c>
      <c r="BQ386">
        <v>1</v>
      </c>
      <c r="BR386" t="s">
        <v>21</v>
      </c>
      <c r="BS386" t="s">
        <v>15</v>
      </c>
      <c r="BT386">
        <v>36</v>
      </c>
    </row>
    <row r="387" spans="1:72" x14ac:dyDescent="0.25">
      <c r="A387">
        <v>29337</v>
      </c>
      <c r="B387" t="s">
        <v>36</v>
      </c>
      <c r="C387" t="s">
        <v>38</v>
      </c>
      <c r="D387" s="11">
        <v>30000</v>
      </c>
      <c r="E387">
        <v>2</v>
      </c>
      <c r="F387" t="s">
        <v>19</v>
      </c>
      <c r="G387" t="s">
        <v>20</v>
      </c>
      <c r="H387" t="s">
        <v>15</v>
      </c>
      <c r="I387">
        <v>2</v>
      </c>
      <c r="J387" t="s">
        <v>23</v>
      </c>
      <c r="K387" t="s">
        <v>24</v>
      </c>
      <c r="L387">
        <v>68</v>
      </c>
      <c r="M387" t="str">
        <f t="shared" si="6"/>
        <v>Old</v>
      </c>
      <c r="N387" t="s">
        <v>18</v>
      </c>
      <c r="R387">
        <v>26879</v>
      </c>
      <c r="S387" t="s">
        <v>36</v>
      </c>
      <c r="T387" t="s">
        <v>37</v>
      </c>
      <c r="U387" s="4">
        <v>20000</v>
      </c>
      <c r="V387">
        <v>0</v>
      </c>
      <c r="W387" t="s">
        <v>27</v>
      </c>
      <c r="X387" t="s">
        <v>25</v>
      </c>
      <c r="Y387" t="s">
        <v>18</v>
      </c>
      <c r="Z387">
        <v>1</v>
      </c>
      <c r="AA387" t="s">
        <v>22</v>
      </c>
      <c r="AB387" t="s">
        <v>17</v>
      </c>
      <c r="AC387">
        <v>30</v>
      </c>
      <c r="AD387" t="s">
        <v>43</v>
      </c>
      <c r="BL387">
        <v>21980</v>
      </c>
      <c r="BM387" t="s">
        <v>36</v>
      </c>
      <c r="BN387" t="s">
        <v>37</v>
      </c>
      <c r="BO387" s="4">
        <v>60000</v>
      </c>
      <c r="BP387" s="4">
        <v>60000</v>
      </c>
      <c r="BQ387">
        <v>1</v>
      </c>
      <c r="BR387" t="s">
        <v>21</v>
      </c>
      <c r="BS387" t="s">
        <v>15</v>
      </c>
      <c r="BT387">
        <v>44</v>
      </c>
    </row>
    <row r="388" spans="1:72" x14ac:dyDescent="0.25">
      <c r="A388">
        <v>28609</v>
      </c>
      <c r="B388" t="s">
        <v>35</v>
      </c>
      <c r="C388" t="s">
        <v>38</v>
      </c>
      <c r="D388" s="11">
        <v>30000</v>
      </c>
      <c r="E388">
        <v>2</v>
      </c>
      <c r="F388" t="s">
        <v>27</v>
      </c>
      <c r="G388" t="s">
        <v>14</v>
      </c>
      <c r="H388" t="s">
        <v>18</v>
      </c>
      <c r="I388">
        <v>2</v>
      </c>
      <c r="J388" t="s">
        <v>16</v>
      </c>
      <c r="K388" t="s">
        <v>31</v>
      </c>
      <c r="L388">
        <v>49</v>
      </c>
      <c r="M388" t="str">
        <f t="shared" si="6"/>
        <v>MIddleAge</v>
      </c>
      <c r="N388" t="s">
        <v>18</v>
      </c>
      <c r="R388">
        <v>25665</v>
      </c>
      <c r="S388" t="s">
        <v>36</v>
      </c>
      <c r="T388" t="s">
        <v>37</v>
      </c>
      <c r="U388" s="4">
        <v>20000</v>
      </c>
      <c r="V388">
        <v>0</v>
      </c>
      <c r="W388" t="s">
        <v>27</v>
      </c>
      <c r="X388" t="s">
        <v>25</v>
      </c>
      <c r="Y388" t="s">
        <v>18</v>
      </c>
      <c r="Z388">
        <v>1</v>
      </c>
      <c r="AA388" t="s">
        <v>26</v>
      </c>
      <c r="AB388" t="s">
        <v>17</v>
      </c>
      <c r="AC388">
        <v>28</v>
      </c>
      <c r="AD388" t="s">
        <v>43</v>
      </c>
      <c r="BL388">
        <v>21599</v>
      </c>
      <c r="BM388" t="s">
        <v>35</v>
      </c>
      <c r="BN388" t="s">
        <v>37</v>
      </c>
      <c r="BO388" s="4">
        <v>60000</v>
      </c>
      <c r="BP388" s="4">
        <v>60000</v>
      </c>
      <c r="BQ388">
        <v>1</v>
      </c>
      <c r="BR388" t="s">
        <v>21</v>
      </c>
      <c r="BS388" t="s">
        <v>15</v>
      </c>
      <c r="BT388">
        <v>36</v>
      </c>
    </row>
    <row r="389" spans="1:72" x14ac:dyDescent="0.25">
      <c r="A389">
        <v>27803</v>
      </c>
      <c r="B389" t="s">
        <v>36</v>
      </c>
      <c r="C389" t="s">
        <v>37</v>
      </c>
      <c r="D389" s="11">
        <v>30000</v>
      </c>
      <c r="E389">
        <v>2</v>
      </c>
      <c r="F389" t="s">
        <v>19</v>
      </c>
      <c r="G389" t="s">
        <v>20</v>
      </c>
      <c r="H389" t="s">
        <v>18</v>
      </c>
      <c r="I389">
        <v>0</v>
      </c>
      <c r="J389" t="s">
        <v>16</v>
      </c>
      <c r="K389" t="s">
        <v>17</v>
      </c>
      <c r="L389">
        <v>43</v>
      </c>
      <c r="M389" t="str">
        <f t="shared" si="6"/>
        <v>MIddleAge</v>
      </c>
      <c r="N389" t="s">
        <v>18</v>
      </c>
      <c r="R389">
        <v>25559</v>
      </c>
      <c r="S389" t="s">
        <v>36</v>
      </c>
      <c r="T389" t="s">
        <v>38</v>
      </c>
      <c r="U389" s="4">
        <v>20000</v>
      </c>
      <c r="V389">
        <v>0</v>
      </c>
      <c r="W389" t="s">
        <v>13</v>
      </c>
      <c r="X389" t="s">
        <v>20</v>
      </c>
      <c r="Y389" t="s">
        <v>15</v>
      </c>
      <c r="Z389">
        <v>0</v>
      </c>
      <c r="AA389" t="s">
        <v>16</v>
      </c>
      <c r="AB389" t="s">
        <v>24</v>
      </c>
      <c r="AC389">
        <v>25</v>
      </c>
      <c r="AD389" t="s">
        <v>43</v>
      </c>
      <c r="BL389">
        <v>21587</v>
      </c>
      <c r="BM389" t="s">
        <v>35</v>
      </c>
      <c r="BN389" t="s">
        <v>37</v>
      </c>
      <c r="BO389" s="4">
        <v>60000</v>
      </c>
      <c r="BP389" s="4">
        <v>60000</v>
      </c>
      <c r="BQ389">
        <v>1</v>
      </c>
      <c r="BR389" t="s">
        <v>14</v>
      </c>
      <c r="BS389" t="s">
        <v>15</v>
      </c>
      <c r="BT389">
        <v>34</v>
      </c>
    </row>
    <row r="390" spans="1:72" x14ac:dyDescent="0.25">
      <c r="A390">
        <v>26547</v>
      </c>
      <c r="B390" t="s">
        <v>36</v>
      </c>
      <c r="C390" t="s">
        <v>37</v>
      </c>
      <c r="D390" s="11">
        <v>30000</v>
      </c>
      <c r="E390">
        <v>2</v>
      </c>
      <c r="F390" t="s">
        <v>19</v>
      </c>
      <c r="G390" t="s">
        <v>20</v>
      </c>
      <c r="H390" t="s">
        <v>18</v>
      </c>
      <c r="I390">
        <v>2</v>
      </c>
      <c r="J390" t="s">
        <v>23</v>
      </c>
      <c r="K390" t="s">
        <v>24</v>
      </c>
      <c r="L390">
        <v>60</v>
      </c>
      <c r="M390" t="str">
        <f t="shared" si="6"/>
        <v>Old</v>
      </c>
      <c r="N390" t="s">
        <v>15</v>
      </c>
      <c r="R390">
        <v>24174</v>
      </c>
      <c r="S390" t="s">
        <v>35</v>
      </c>
      <c r="T390" t="s">
        <v>38</v>
      </c>
      <c r="U390" s="4">
        <v>20000</v>
      </c>
      <c r="V390">
        <v>0</v>
      </c>
      <c r="W390" t="s">
        <v>13</v>
      </c>
      <c r="X390" t="s">
        <v>20</v>
      </c>
      <c r="Y390" t="s">
        <v>15</v>
      </c>
      <c r="Z390">
        <v>0</v>
      </c>
      <c r="AA390" t="s">
        <v>16</v>
      </c>
      <c r="AB390" t="s">
        <v>24</v>
      </c>
      <c r="AC390">
        <v>27</v>
      </c>
      <c r="AD390" t="s">
        <v>43</v>
      </c>
      <c r="BL390">
        <v>21207</v>
      </c>
      <c r="BM390" t="s">
        <v>35</v>
      </c>
      <c r="BN390" t="s">
        <v>38</v>
      </c>
      <c r="BO390" s="4">
        <v>60000</v>
      </c>
      <c r="BP390" s="4">
        <v>60000</v>
      </c>
      <c r="BQ390">
        <v>1</v>
      </c>
      <c r="BR390" t="s">
        <v>14</v>
      </c>
      <c r="BS390" t="s">
        <v>15</v>
      </c>
      <c r="BT390">
        <v>46</v>
      </c>
    </row>
    <row r="391" spans="1:72" x14ac:dyDescent="0.25">
      <c r="A391">
        <v>25918</v>
      </c>
      <c r="B391" t="s">
        <v>36</v>
      </c>
      <c r="C391" t="s">
        <v>37</v>
      </c>
      <c r="D391" s="11">
        <v>30000</v>
      </c>
      <c r="E391">
        <v>2</v>
      </c>
      <c r="F391" t="s">
        <v>19</v>
      </c>
      <c r="G391" t="s">
        <v>20</v>
      </c>
      <c r="H391" t="s">
        <v>18</v>
      </c>
      <c r="I391">
        <v>2</v>
      </c>
      <c r="J391" t="s">
        <v>23</v>
      </c>
      <c r="K391" t="s">
        <v>24</v>
      </c>
      <c r="L391">
        <v>60</v>
      </c>
      <c r="M391" t="str">
        <f t="shared" si="6"/>
        <v>Old</v>
      </c>
      <c r="N391" t="s">
        <v>15</v>
      </c>
      <c r="R391">
        <v>22527</v>
      </c>
      <c r="S391" t="s">
        <v>36</v>
      </c>
      <c r="T391" t="s">
        <v>37</v>
      </c>
      <c r="U391" s="4">
        <v>20000</v>
      </c>
      <c r="V391">
        <v>0</v>
      </c>
      <c r="W391" t="s">
        <v>27</v>
      </c>
      <c r="X391" t="s">
        <v>25</v>
      </c>
      <c r="Y391" t="s">
        <v>18</v>
      </c>
      <c r="Z391">
        <v>1</v>
      </c>
      <c r="AA391" t="s">
        <v>22</v>
      </c>
      <c r="AB391" t="s">
        <v>17</v>
      </c>
      <c r="AC391">
        <v>29</v>
      </c>
      <c r="AD391" t="s">
        <v>43</v>
      </c>
      <c r="BL391">
        <v>20196</v>
      </c>
      <c r="BM391" t="s">
        <v>35</v>
      </c>
      <c r="BN391" t="s">
        <v>38</v>
      </c>
      <c r="BO391" s="4">
        <v>60000</v>
      </c>
      <c r="BP391" s="4">
        <v>60000</v>
      </c>
      <c r="BQ391">
        <v>1</v>
      </c>
      <c r="BR391" t="s">
        <v>14</v>
      </c>
      <c r="BS391" t="s">
        <v>15</v>
      </c>
      <c r="BT391">
        <v>45</v>
      </c>
    </row>
    <row r="392" spans="1:72" x14ac:dyDescent="0.25">
      <c r="A392">
        <v>25266</v>
      </c>
      <c r="B392" t="s">
        <v>36</v>
      </c>
      <c r="C392" t="s">
        <v>37</v>
      </c>
      <c r="D392" s="11">
        <v>30000</v>
      </c>
      <c r="E392">
        <v>2</v>
      </c>
      <c r="F392" t="s">
        <v>19</v>
      </c>
      <c r="G392" t="s">
        <v>20</v>
      </c>
      <c r="H392" t="s">
        <v>18</v>
      </c>
      <c r="I392">
        <v>2</v>
      </c>
      <c r="J392" t="s">
        <v>23</v>
      </c>
      <c r="K392" t="s">
        <v>24</v>
      </c>
      <c r="L392">
        <v>67</v>
      </c>
      <c r="M392" t="str">
        <f t="shared" si="6"/>
        <v>Old</v>
      </c>
      <c r="N392" t="s">
        <v>18</v>
      </c>
      <c r="R392">
        <v>20994</v>
      </c>
      <c r="S392" t="s">
        <v>35</v>
      </c>
      <c r="T392" t="s">
        <v>37</v>
      </c>
      <c r="U392" s="4">
        <v>20000</v>
      </c>
      <c r="V392">
        <v>0</v>
      </c>
      <c r="W392" t="s">
        <v>13</v>
      </c>
      <c r="X392" t="s">
        <v>20</v>
      </c>
      <c r="Y392" t="s">
        <v>18</v>
      </c>
      <c r="Z392">
        <v>0</v>
      </c>
      <c r="AA392" t="s">
        <v>16</v>
      </c>
      <c r="AB392" t="s">
        <v>24</v>
      </c>
      <c r="AC392">
        <v>26</v>
      </c>
      <c r="AD392" t="s">
        <v>43</v>
      </c>
      <c r="BL392">
        <v>20000</v>
      </c>
      <c r="BM392" t="s">
        <v>35</v>
      </c>
      <c r="BN392" t="s">
        <v>38</v>
      </c>
      <c r="BO392" s="4">
        <v>60000</v>
      </c>
      <c r="BP392" s="4">
        <v>60000</v>
      </c>
      <c r="BQ392">
        <v>1</v>
      </c>
      <c r="BR392" t="s">
        <v>21</v>
      </c>
      <c r="BS392" t="s">
        <v>15</v>
      </c>
      <c r="BT392">
        <v>35</v>
      </c>
    </row>
    <row r="393" spans="1:72" x14ac:dyDescent="0.25">
      <c r="A393">
        <v>24745</v>
      </c>
      <c r="B393" t="s">
        <v>36</v>
      </c>
      <c r="C393" t="s">
        <v>37</v>
      </c>
      <c r="D393" s="11">
        <v>30000</v>
      </c>
      <c r="E393">
        <v>2</v>
      </c>
      <c r="F393" t="s">
        <v>27</v>
      </c>
      <c r="G393" t="s">
        <v>14</v>
      </c>
      <c r="H393" t="s">
        <v>18</v>
      </c>
      <c r="I393">
        <v>2</v>
      </c>
      <c r="J393" t="s">
        <v>16</v>
      </c>
      <c r="K393" t="s">
        <v>31</v>
      </c>
      <c r="L393">
        <v>49</v>
      </c>
      <c r="M393" t="str">
        <f t="shared" si="6"/>
        <v>MIddleAge</v>
      </c>
      <c r="N393" t="s">
        <v>18</v>
      </c>
      <c r="R393">
        <v>20942</v>
      </c>
      <c r="S393" t="s">
        <v>36</v>
      </c>
      <c r="T393" t="s">
        <v>37</v>
      </c>
      <c r="U393" s="4">
        <v>20000</v>
      </c>
      <c r="V393">
        <v>0</v>
      </c>
      <c r="W393" t="s">
        <v>27</v>
      </c>
      <c r="X393" t="s">
        <v>25</v>
      </c>
      <c r="Y393" t="s">
        <v>18</v>
      </c>
      <c r="Z393">
        <v>1</v>
      </c>
      <c r="AA393" t="s">
        <v>23</v>
      </c>
      <c r="AB393" t="s">
        <v>17</v>
      </c>
      <c r="AC393">
        <v>31</v>
      </c>
      <c r="AD393" t="s">
        <v>44</v>
      </c>
      <c r="BL393">
        <v>19117</v>
      </c>
      <c r="BM393" t="s">
        <v>36</v>
      </c>
      <c r="BN393" t="s">
        <v>37</v>
      </c>
      <c r="BO393" s="4">
        <v>60000</v>
      </c>
      <c r="BP393" s="4">
        <v>60000</v>
      </c>
      <c r="BQ393">
        <v>1</v>
      </c>
      <c r="BR393" t="s">
        <v>21</v>
      </c>
      <c r="BS393" t="s">
        <v>15</v>
      </c>
      <c r="BT393">
        <v>36</v>
      </c>
    </row>
    <row r="394" spans="1:72" x14ac:dyDescent="0.25">
      <c r="A394">
        <v>23275</v>
      </c>
      <c r="B394" t="s">
        <v>35</v>
      </c>
      <c r="C394" t="s">
        <v>38</v>
      </c>
      <c r="D394" s="11">
        <v>30000</v>
      </c>
      <c r="E394">
        <v>2</v>
      </c>
      <c r="F394" t="s">
        <v>27</v>
      </c>
      <c r="G394" t="s">
        <v>14</v>
      </c>
      <c r="H394" t="s">
        <v>15</v>
      </c>
      <c r="I394">
        <v>2</v>
      </c>
      <c r="J394" t="s">
        <v>26</v>
      </c>
      <c r="K394" t="s">
        <v>31</v>
      </c>
      <c r="L394">
        <v>49</v>
      </c>
      <c r="M394" t="str">
        <f t="shared" si="6"/>
        <v>MIddleAge</v>
      </c>
      <c r="N394" t="s">
        <v>18</v>
      </c>
      <c r="R394">
        <v>17845</v>
      </c>
      <c r="S394" t="s">
        <v>36</v>
      </c>
      <c r="T394" t="s">
        <v>37</v>
      </c>
      <c r="U394" s="4">
        <v>20000</v>
      </c>
      <c r="V394">
        <v>0</v>
      </c>
      <c r="W394" t="s">
        <v>29</v>
      </c>
      <c r="X394" t="s">
        <v>25</v>
      </c>
      <c r="Y394" t="s">
        <v>18</v>
      </c>
      <c r="Z394">
        <v>2</v>
      </c>
      <c r="AA394" t="s">
        <v>26</v>
      </c>
      <c r="AB394" t="s">
        <v>17</v>
      </c>
      <c r="AC394">
        <v>32</v>
      </c>
      <c r="AD394" t="s">
        <v>44</v>
      </c>
      <c r="BL394">
        <v>18052</v>
      </c>
      <c r="BM394" t="s">
        <v>35</v>
      </c>
      <c r="BN394" t="s">
        <v>37</v>
      </c>
      <c r="BO394" s="4">
        <v>60000</v>
      </c>
      <c r="BP394" s="4">
        <v>60000</v>
      </c>
      <c r="BQ394">
        <v>1</v>
      </c>
      <c r="BR394" t="s">
        <v>14</v>
      </c>
      <c r="BS394" t="s">
        <v>15</v>
      </c>
      <c r="BT394">
        <v>45</v>
      </c>
    </row>
    <row r="395" spans="1:72" x14ac:dyDescent="0.25">
      <c r="A395">
        <v>22974</v>
      </c>
      <c r="B395" t="s">
        <v>35</v>
      </c>
      <c r="C395" t="s">
        <v>37</v>
      </c>
      <c r="D395" s="11">
        <v>30000</v>
      </c>
      <c r="E395">
        <v>2</v>
      </c>
      <c r="F395" t="s">
        <v>19</v>
      </c>
      <c r="G395" t="s">
        <v>20</v>
      </c>
      <c r="H395" t="s">
        <v>15</v>
      </c>
      <c r="I395">
        <v>2</v>
      </c>
      <c r="J395" t="s">
        <v>23</v>
      </c>
      <c r="K395" t="s">
        <v>24</v>
      </c>
      <c r="L395">
        <v>69</v>
      </c>
      <c r="M395" t="str">
        <f t="shared" si="6"/>
        <v>Old</v>
      </c>
      <c r="N395" t="s">
        <v>18</v>
      </c>
      <c r="R395">
        <v>16466</v>
      </c>
      <c r="S395" t="s">
        <v>36</v>
      </c>
      <c r="T395" t="s">
        <v>37</v>
      </c>
      <c r="U395" s="4">
        <v>20000</v>
      </c>
      <c r="V395">
        <v>0</v>
      </c>
      <c r="W395" t="s">
        <v>29</v>
      </c>
      <c r="X395" t="s">
        <v>25</v>
      </c>
      <c r="Y395" t="s">
        <v>18</v>
      </c>
      <c r="Z395">
        <v>2</v>
      </c>
      <c r="AA395" t="s">
        <v>16</v>
      </c>
      <c r="AB395" t="s">
        <v>17</v>
      </c>
      <c r="AC395">
        <v>32</v>
      </c>
      <c r="AD395" t="s">
        <v>44</v>
      </c>
      <c r="BL395">
        <v>18050</v>
      </c>
      <c r="BM395" t="s">
        <v>35</v>
      </c>
      <c r="BN395" t="s">
        <v>37</v>
      </c>
      <c r="BO395" s="4">
        <v>60000</v>
      </c>
      <c r="BP395" s="4">
        <v>60000</v>
      </c>
      <c r="BQ395">
        <v>1</v>
      </c>
      <c r="BR395" t="s">
        <v>14</v>
      </c>
      <c r="BS395" t="s">
        <v>15</v>
      </c>
      <c r="BT395">
        <v>45</v>
      </c>
    </row>
    <row r="396" spans="1:72" x14ac:dyDescent="0.25">
      <c r="A396">
        <v>22672</v>
      </c>
      <c r="B396" t="s">
        <v>36</v>
      </c>
      <c r="C396" t="s">
        <v>37</v>
      </c>
      <c r="D396" s="11">
        <v>30000</v>
      </c>
      <c r="E396">
        <v>2</v>
      </c>
      <c r="F396" t="s">
        <v>19</v>
      </c>
      <c r="G396" t="s">
        <v>20</v>
      </c>
      <c r="H396" t="s">
        <v>15</v>
      </c>
      <c r="I396">
        <v>0</v>
      </c>
      <c r="J396" t="s">
        <v>16</v>
      </c>
      <c r="K396" t="s">
        <v>17</v>
      </c>
      <c r="L396">
        <v>43</v>
      </c>
      <c r="M396" t="str">
        <f t="shared" si="6"/>
        <v>MIddleAge</v>
      </c>
      <c r="N396" t="s">
        <v>18</v>
      </c>
      <c r="R396">
        <v>16188</v>
      </c>
      <c r="S396" t="s">
        <v>36</v>
      </c>
      <c r="T396" t="s">
        <v>37</v>
      </c>
      <c r="U396" s="4">
        <v>20000</v>
      </c>
      <c r="V396">
        <v>0</v>
      </c>
      <c r="W396" t="s">
        <v>29</v>
      </c>
      <c r="X396" t="s">
        <v>25</v>
      </c>
      <c r="Y396" t="s">
        <v>18</v>
      </c>
      <c r="Z396">
        <v>2</v>
      </c>
      <c r="AA396" t="s">
        <v>26</v>
      </c>
      <c r="AB396" t="s">
        <v>17</v>
      </c>
      <c r="AC396">
        <v>26</v>
      </c>
      <c r="AD396" t="s">
        <v>43</v>
      </c>
      <c r="BL396">
        <v>17864</v>
      </c>
      <c r="BM396" t="s">
        <v>35</v>
      </c>
      <c r="BN396" t="s">
        <v>37</v>
      </c>
      <c r="BO396" s="4">
        <v>60000</v>
      </c>
      <c r="BP396" s="4">
        <v>60000</v>
      </c>
      <c r="BQ396">
        <v>1</v>
      </c>
      <c r="BR396" t="s">
        <v>14</v>
      </c>
      <c r="BS396" t="s">
        <v>15</v>
      </c>
      <c r="BT396">
        <v>46</v>
      </c>
    </row>
    <row r="397" spans="1:72" x14ac:dyDescent="0.25">
      <c r="A397">
        <v>21094</v>
      </c>
      <c r="B397" t="s">
        <v>36</v>
      </c>
      <c r="C397" t="s">
        <v>37</v>
      </c>
      <c r="D397" s="11">
        <v>30000</v>
      </c>
      <c r="E397">
        <v>2</v>
      </c>
      <c r="F397" t="s">
        <v>19</v>
      </c>
      <c r="G397" t="s">
        <v>20</v>
      </c>
      <c r="H397" t="s">
        <v>15</v>
      </c>
      <c r="I397">
        <v>2</v>
      </c>
      <c r="J397" t="s">
        <v>16</v>
      </c>
      <c r="K397" t="s">
        <v>17</v>
      </c>
      <c r="L397">
        <v>42</v>
      </c>
      <c r="M397" t="str">
        <f t="shared" si="6"/>
        <v>MIddleAge</v>
      </c>
      <c r="N397" t="s">
        <v>18</v>
      </c>
      <c r="R397">
        <v>15030</v>
      </c>
      <c r="S397" t="s">
        <v>35</v>
      </c>
      <c r="T397" t="s">
        <v>38</v>
      </c>
      <c r="U397" s="4">
        <v>20000</v>
      </c>
      <c r="V397">
        <v>0</v>
      </c>
      <c r="W397" t="s">
        <v>13</v>
      </c>
      <c r="X397" t="s">
        <v>20</v>
      </c>
      <c r="Y397" t="s">
        <v>15</v>
      </c>
      <c r="Z397">
        <v>0</v>
      </c>
      <c r="AA397" t="s">
        <v>16</v>
      </c>
      <c r="AB397" t="s">
        <v>24</v>
      </c>
      <c r="AC397">
        <v>26</v>
      </c>
      <c r="AD397" t="s">
        <v>43</v>
      </c>
      <c r="BL397">
        <v>17699</v>
      </c>
      <c r="BM397" t="s">
        <v>35</v>
      </c>
      <c r="BN397" t="s">
        <v>38</v>
      </c>
      <c r="BO397" s="4">
        <v>60000</v>
      </c>
      <c r="BP397" s="4">
        <v>60000</v>
      </c>
      <c r="BQ397">
        <v>1</v>
      </c>
      <c r="BR397" t="s">
        <v>14</v>
      </c>
      <c r="BS397" t="s">
        <v>18</v>
      </c>
      <c r="BT397">
        <v>55</v>
      </c>
    </row>
    <row r="398" spans="1:72" x14ac:dyDescent="0.25">
      <c r="A398">
        <v>20919</v>
      </c>
      <c r="B398" t="s">
        <v>36</v>
      </c>
      <c r="C398" t="s">
        <v>37</v>
      </c>
      <c r="D398" s="11">
        <v>30000</v>
      </c>
      <c r="E398">
        <v>2</v>
      </c>
      <c r="F398" t="s">
        <v>19</v>
      </c>
      <c r="G398" t="s">
        <v>20</v>
      </c>
      <c r="H398" t="s">
        <v>15</v>
      </c>
      <c r="I398">
        <v>2</v>
      </c>
      <c r="J398" t="s">
        <v>16</v>
      </c>
      <c r="K398" t="s">
        <v>17</v>
      </c>
      <c r="L398">
        <v>42</v>
      </c>
      <c r="M398" t="str">
        <f t="shared" si="6"/>
        <v>MIddleAge</v>
      </c>
      <c r="N398" t="s">
        <v>18</v>
      </c>
      <c r="R398">
        <v>13690</v>
      </c>
      <c r="S398" t="s">
        <v>36</v>
      </c>
      <c r="T398" t="s">
        <v>37</v>
      </c>
      <c r="U398" s="4">
        <v>20000</v>
      </c>
      <c r="V398">
        <v>0</v>
      </c>
      <c r="W398" t="s">
        <v>29</v>
      </c>
      <c r="X398" t="s">
        <v>25</v>
      </c>
      <c r="Y398" t="s">
        <v>18</v>
      </c>
      <c r="Z398">
        <v>2</v>
      </c>
      <c r="AA398" t="s">
        <v>26</v>
      </c>
      <c r="AB398" t="s">
        <v>17</v>
      </c>
      <c r="AC398">
        <v>34</v>
      </c>
      <c r="AD398" t="s">
        <v>44</v>
      </c>
      <c r="BL398">
        <v>17310</v>
      </c>
      <c r="BM398" t="s">
        <v>35</v>
      </c>
      <c r="BN398" t="s">
        <v>38</v>
      </c>
      <c r="BO398" s="4">
        <v>60000</v>
      </c>
      <c r="BP398" s="4">
        <v>60000</v>
      </c>
      <c r="BQ398">
        <v>1</v>
      </c>
      <c r="BR398" t="s">
        <v>14</v>
      </c>
      <c r="BS398" t="s">
        <v>15</v>
      </c>
      <c r="BT398">
        <v>45</v>
      </c>
    </row>
    <row r="399" spans="1:72" x14ac:dyDescent="0.25">
      <c r="A399">
        <v>20758</v>
      </c>
      <c r="B399" t="s">
        <v>35</v>
      </c>
      <c r="C399" t="s">
        <v>38</v>
      </c>
      <c r="D399" s="11">
        <v>30000</v>
      </c>
      <c r="E399">
        <v>2</v>
      </c>
      <c r="F399" t="s">
        <v>27</v>
      </c>
      <c r="G399" t="s">
        <v>14</v>
      </c>
      <c r="H399" t="s">
        <v>15</v>
      </c>
      <c r="I399">
        <v>2</v>
      </c>
      <c r="J399" t="s">
        <v>26</v>
      </c>
      <c r="K399" t="s">
        <v>31</v>
      </c>
      <c r="L399">
        <v>50</v>
      </c>
      <c r="M399" t="str">
        <f t="shared" si="6"/>
        <v>MIddleAge</v>
      </c>
      <c r="N399" t="s">
        <v>18</v>
      </c>
      <c r="R399">
        <v>13673</v>
      </c>
      <c r="S399" t="s">
        <v>36</v>
      </c>
      <c r="T399" t="s">
        <v>37</v>
      </c>
      <c r="U399" s="4">
        <v>20000</v>
      </c>
      <c r="V399">
        <v>0</v>
      </c>
      <c r="W399" t="s">
        <v>29</v>
      </c>
      <c r="X399" t="s">
        <v>25</v>
      </c>
      <c r="Y399" t="s">
        <v>18</v>
      </c>
      <c r="Z399">
        <v>2</v>
      </c>
      <c r="AA399" t="s">
        <v>16</v>
      </c>
      <c r="AB399" t="s">
        <v>17</v>
      </c>
      <c r="AC399">
        <v>25</v>
      </c>
      <c r="AD399" t="s">
        <v>43</v>
      </c>
      <c r="BL399">
        <v>16773</v>
      </c>
      <c r="BM399" t="s">
        <v>35</v>
      </c>
      <c r="BN399" t="s">
        <v>38</v>
      </c>
      <c r="BO399" s="4">
        <v>60000</v>
      </c>
      <c r="BP399" s="4">
        <v>60000</v>
      </c>
      <c r="BQ399">
        <v>1</v>
      </c>
      <c r="BR399" t="s">
        <v>14</v>
      </c>
      <c r="BS399" t="s">
        <v>15</v>
      </c>
      <c r="BT399">
        <v>33</v>
      </c>
    </row>
    <row r="400" spans="1:72" x14ac:dyDescent="0.25">
      <c r="A400">
        <v>20754</v>
      </c>
      <c r="B400" t="s">
        <v>35</v>
      </c>
      <c r="C400" t="s">
        <v>38</v>
      </c>
      <c r="D400" s="11">
        <v>30000</v>
      </c>
      <c r="E400">
        <v>2</v>
      </c>
      <c r="F400" t="s">
        <v>27</v>
      </c>
      <c r="G400" t="s">
        <v>14</v>
      </c>
      <c r="H400" t="s">
        <v>15</v>
      </c>
      <c r="I400">
        <v>2</v>
      </c>
      <c r="J400" t="s">
        <v>26</v>
      </c>
      <c r="K400" t="s">
        <v>31</v>
      </c>
      <c r="L400">
        <v>51</v>
      </c>
      <c r="M400" t="str">
        <f t="shared" si="6"/>
        <v>MIddleAge</v>
      </c>
      <c r="N400" t="s">
        <v>18</v>
      </c>
      <c r="R400">
        <v>13662</v>
      </c>
      <c r="S400" t="s">
        <v>36</v>
      </c>
      <c r="T400" t="s">
        <v>38</v>
      </c>
      <c r="U400" s="4">
        <v>20000</v>
      </c>
      <c r="V400">
        <v>0</v>
      </c>
      <c r="W400" t="s">
        <v>29</v>
      </c>
      <c r="X400" t="s">
        <v>25</v>
      </c>
      <c r="Y400" t="s">
        <v>15</v>
      </c>
      <c r="Z400">
        <v>2</v>
      </c>
      <c r="AA400" t="s">
        <v>26</v>
      </c>
      <c r="AB400" t="s">
        <v>17</v>
      </c>
      <c r="AC400">
        <v>31</v>
      </c>
      <c r="AD400" t="s">
        <v>44</v>
      </c>
      <c r="BL400">
        <v>16151</v>
      </c>
      <c r="BM400" t="s">
        <v>35</v>
      </c>
      <c r="BN400" t="s">
        <v>37</v>
      </c>
      <c r="BO400" s="4">
        <v>60000</v>
      </c>
      <c r="BP400" s="4">
        <v>60000</v>
      </c>
      <c r="BQ400">
        <v>1</v>
      </c>
      <c r="BR400" t="s">
        <v>21</v>
      </c>
      <c r="BS400" t="s">
        <v>15</v>
      </c>
      <c r="BT400">
        <v>48</v>
      </c>
    </row>
    <row r="401" spans="1:72" x14ac:dyDescent="0.25">
      <c r="A401">
        <v>20277</v>
      </c>
      <c r="B401" t="s">
        <v>35</v>
      </c>
      <c r="C401" t="s">
        <v>37</v>
      </c>
      <c r="D401" s="11">
        <v>30000</v>
      </c>
      <c r="E401">
        <v>2</v>
      </c>
      <c r="F401" t="s">
        <v>19</v>
      </c>
      <c r="G401" t="s">
        <v>20</v>
      </c>
      <c r="H401" t="s">
        <v>18</v>
      </c>
      <c r="I401">
        <v>2</v>
      </c>
      <c r="J401" t="s">
        <v>16</v>
      </c>
      <c r="K401" t="s">
        <v>24</v>
      </c>
      <c r="L401">
        <v>69</v>
      </c>
      <c r="M401" t="str">
        <f t="shared" si="6"/>
        <v>Old</v>
      </c>
      <c r="N401" t="s">
        <v>18</v>
      </c>
      <c r="R401">
        <v>11489</v>
      </c>
      <c r="S401" t="s">
        <v>36</v>
      </c>
      <c r="T401" t="s">
        <v>37</v>
      </c>
      <c r="U401" s="4">
        <v>20000</v>
      </c>
      <c r="V401">
        <v>0</v>
      </c>
      <c r="W401" t="s">
        <v>29</v>
      </c>
      <c r="X401" t="s">
        <v>25</v>
      </c>
      <c r="Y401" t="s">
        <v>18</v>
      </c>
      <c r="Z401">
        <v>2</v>
      </c>
      <c r="AA401" t="s">
        <v>26</v>
      </c>
      <c r="AB401" t="s">
        <v>17</v>
      </c>
      <c r="AC401">
        <v>35</v>
      </c>
      <c r="AD401" t="s">
        <v>44</v>
      </c>
      <c r="BL401">
        <v>15555</v>
      </c>
      <c r="BM401" t="s">
        <v>35</v>
      </c>
      <c r="BN401" t="s">
        <v>37</v>
      </c>
      <c r="BO401" s="4">
        <v>60000</v>
      </c>
      <c r="BP401" s="4">
        <v>60000</v>
      </c>
      <c r="BQ401">
        <v>1</v>
      </c>
      <c r="BR401" t="s">
        <v>14</v>
      </c>
      <c r="BS401" t="s">
        <v>15</v>
      </c>
      <c r="BT401">
        <v>45</v>
      </c>
    </row>
    <row r="402" spans="1:72" x14ac:dyDescent="0.25">
      <c r="A402">
        <v>19650</v>
      </c>
      <c r="B402" t="s">
        <v>35</v>
      </c>
      <c r="C402" t="s">
        <v>37</v>
      </c>
      <c r="D402" s="11">
        <v>30000</v>
      </c>
      <c r="E402">
        <v>2</v>
      </c>
      <c r="F402" t="s">
        <v>19</v>
      </c>
      <c r="G402" t="s">
        <v>20</v>
      </c>
      <c r="H402" t="s">
        <v>18</v>
      </c>
      <c r="I402">
        <v>2</v>
      </c>
      <c r="J402" t="s">
        <v>16</v>
      </c>
      <c r="K402" t="s">
        <v>24</v>
      </c>
      <c r="L402">
        <v>67</v>
      </c>
      <c r="M402" t="str">
        <f t="shared" si="6"/>
        <v>Old</v>
      </c>
      <c r="N402" t="s">
        <v>18</v>
      </c>
      <c r="R402">
        <v>27832</v>
      </c>
      <c r="S402" t="s">
        <v>36</v>
      </c>
      <c r="T402" t="s">
        <v>37</v>
      </c>
      <c r="U402" s="4">
        <v>30000</v>
      </c>
      <c r="V402">
        <v>0</v>
      </c>
      <c r="W402" t="s">
        <v>19</v>
      </c>
      <c r="X402" t="s">
        <v>20</v>
      </c>
      <c r="Y402" t="s">
        <v>18</v>
      </c>
      <c r="Z402">
        <v>1</v>
      </c>
      <c r="AA402" t="s">
        <v>22</v>
      </c>
      <c r="AB402" t="s">
        <v>17</v>
      </c>
      <c r="AC402">
        <v>30</v>
      </c>
      <c r="AD402" t="s">
        <v>43</v>
      </c>
      <c r="BL402">
        <v>15292</v>
      </c>
      <c r="BM402" t="s">
        <v>36</v>
      </c>
      <c r="BN402" t="s">
        <v>37</v>
      </c>
      <c r="BO402" s="4">
        <v>60000</v>
      </c>
      <c r="BP402" s="4">
        <v>60000</v>
      </c>
      <c r="BQ402">
        <v>1</v>
      </c>
      <c r="BR402" t="s">
        <v>14</v>
      </c>
      <c r="BS402" t="s">
        <v>15</v>
      </c>
      <c r="BT402">
        <v>35</v>
      </c>
    </row>
    <row r="403" spans="1:72" x14ac:dyDescent="0.25">
      <c r="A403">
        <v>19491</v>
      </c>
      <c r="B403" t="s">
        <v>36</v>
      </c>
      <c r="C403" t="s">
        <v>38</v>
      </c>
      <c r="D403" s="11">
        <v>30000</v>
      </c>
      <c r="E403">
        <v>2</v>
      </c>
      <c r="F403" t="s">
        <v>19</v>
      </c>
      <c r="G403" t="s">
        <v>20</v>
      </c>
      <c r="H403" t="s">
        <v>15</v>
      </c>
      <c r="I403">
        <v>2</v>
      </c>
      <c r="J403" t="s">
        <v>16</v>
      </c>
      <c r="K403" t="s">
        <v>17</v>
      </c>
      <c r="L403">
        <v>42</v>
      </c>
      <c r="M403" t="str">
        <f t="shared" si="6"/>
        <v>MIddleAge</v>
      </c>
      <c r="N403" t="s">
        <v>18</v>
      </c>
      <c r="R403">
        <v>27169</v>
      </c>
      <c r="S403" t="s">
        <v>36</v>
      </c>
      <c r="T403" t="s">
        <v>38</v>
      </c>
      <c r="U403" s="4">
        <v>30000</v>
      </c>
      <c r="V403">
        <v>0</v>
      </c>
      <c r="W403" t="s">
        <v>27</v>
      </c>
      <c r="X403" t="s">
        <v>25</v>
      </c>
      <c r="Y403" t="s">
        <v>15</v>
      </c>
      <c r="Z403">
        <v>1</v>
      </c>
      <c r="AA403" t="s">
        <v>22</v>
      </c>
      <c r="AB403" t="s">
        <v>17</v>
      </c>
      <c r="AC403">
        <v>34</v>
      </c>
      <c r="AD403" t="s">
        <v>44</v>
      </c>
      <c r="BL403">
        <v>14662</v>
      </c>
      <c r="BM403" t="s">
        <v>35</v>
      </c>
      <c r="BN403" t="s">
        <v>38</v>
      </c>
      <c r="BO403" s="4">
        <v>60000</v>
      </c>
      <c r="BP403" s="4">
        <v>60000</v>
      </c>
      <c r="BQ403">
        <v>1</v>
      </c>
      <c r="BR403" t="s">
        <v>21</v>
      </c>
      <c r="BS403" t="s">
        <v>15</v>
      </c>
      <c r="BT403">
        <v>48</v>
      </c>
    </row>
    <row r="404" spans="1:72" x14ac:dyDescent="0.25">
      <c r="A404">
        <v>19487</v>
      </c>
      <c r="B404" t="s">
        <v>35</v>
      </c>
      <c r="C404" t="s">
        <v>38</v>
      </c>
      <c r="D404" s="11">
        <v>30000</v>
      </c>
      <c r="E404">
        <v>2</v>
      </c>
      <c r="F404" t="s">
        <v>19</v>
      </c>
      <c r="G404" t="s">
        <v>20</v>
      </c>
      <c r="H404" t="s">
        <v>18</v>
      </c>
      <c r="I404">
        <v>2</v>
      </c>
      <c r="J404" t="s">
        <v>16</v>
      </c>
      <c r="K404" t="s">
        <v>17</v>
      </c>
      <c r="L404">
        <v>42</v>
      </c>
      <c r="M404" t="str">
        <f t="shared" si="6"/>
        <v>MIddleAge</v>
      </c>
      <c r="N404" t="s">
        <v>18</v>
      </c>
      <c r="R404">
        <v>26941</v>
      </c>
      <c r="S404" t="s">
        <v>35</v>
      </c>
      <c r="T404" t="s">
        <v>38</v>
      </c>
      <c r="U404" s="4">
        <v>30000</v>
      </c>
      <c r="V404">
        <v>0</v>
      </c>
      <c r="W404" t="s">
        <v>13</v>
      </c>
      <c r="X404" t="s">
        <v>20</v>
      </c>
      <c r="Y404" t="s">
        <v>15</v>
      </c>
      <c r="Z404">
        <v>0</v>
      </c>
      <c r="AA404" t="s">
        <v>16</v>
      </c>
      <c r="AB404" t="s">
        <v>17</v>
      </c>
      <c r="AC404">
        <v>47</v>
      </c>
      <c r="AD404" t="s">
        <v>44</v>
      </c>
      <c r="BL404">
        <v>14633</v>
      </c>
      <c r="BM404" t="s">
        <v>35</v>
      </c>
      <c r="BN404" t="s">
        <v>38</v>
      </c>
      <c r="BO404" s="4">
        <v>60000</v>
      </c>
      <c r="BP404" s="4">
        <v>60000</v>
      </c>
      <c r="BQ404">
        <v>1</v>
      </c>
      <c r="BR404" t="s">
        <v>14</v>
      </c>
      <c r="BS404" t="s">
        <v>15</v>
      </c>
      <c r="BT404">
        <v>44</v>
      </c>
    </row>
    <row r="405" spans="1:72" x14ac:dyDescent="0.25">
      <c r="A405">
        <v>19223</v>
      </c>
      <c r="B405" t="s">
        <v>35</v>
      </c>
      <c r="C405" t="s">
        <v>37</v>
      </c>
      <c r="D405" s="11">
        <v>30000</v>
      </c>
      <c r="E405">
        <v>2</v>
      </c>
      <c r="F405" t="s">
        <v>27</v>
      </c>
      <c r="G405" t="s">
        <v>14</v>
      </c>
      <c r="H405" t="s">
        <v>15</v>
      </c>
      <c r="I405">
        <v>2</v>
      </c>
      <c r="J405" t="s">
        <v>26</v>
      </c>
      <c r="K405" t="s">
        <v>31</v>
      </c>
      <c r="L405">
        <v>48</v>
      </c>
      <c r="M405" t="str">
        <f t="shared" si="6"/>
        <v>MIddleAge</v>
      </c>
      <c r="N405" t="s">
        <v>18</v>
      </c>
      <c r="R405">
        <v>26886</v>
      </c>
      <c r="S405" t="s">
        <v>36</v>
      </c>
      <c r="T405" t="s">
        <v>37</v>
      </c>
      <c r="U405" s="4">
        <v>30000</v>
      </c>
      <c r="V405">
        <v>0</v>
      </c>
      <c r="W405" t="s">
        <v>19</v>
      </c>
      <c r="X405" t="s">
        <v>20</v>
      </c>
      <c r="Y405" t="s">
        <v>18</v>
      </c>
      <c r="Z405">
        <v>1</v>
      </c>
      <c r="AA405" t="s">
        <v>16</v>
      </c>
      <c r="AB405" t="s">
        <v>17</v>
      </c>
      <c r="AC405">
        <v>29</v>
      </c>
      <c r="AD405" t="s">
        <v>43</v>
      </c>
      <c r="BL405">
        <v>14569</v>
      </c>
      <c r="BM405" t="s">
        <v>35</v>
      </c>
      <c r="BN405" t="s">
        <v>38</v>
      </c>
      <c r="BO405" s="4">
        <v>60000</v>
      </c>
      <c r="BP405" s="4">
        <v>60000</v>
      </c>
      <c r="BQ405">
        <v>1</v>
      </c>
      <c r="BR405" t="s">
        <v>21</v>
      </c>
      <c r="BS405" t="s">
        <v>15</v>
      </c>
      <c r="BT405">
        <v>35</v>
      </c>
    </row>
    <row r="406" spans="1:72" x14ac:dyDescent="0.25">
      <c r="A406">
        <v>19217</v>
      </c>
      <c r="B406" t="s">
        <v>35</v>
      </c>
      <c r="C406" t="s">
        <v>38</v>
      </c>
      <c r="D406" s="11">
        <v>30000</v>
      </c>
      <c r="E406">
        <v>2</v>
      </c>
      <c r="F406" t="s">
        <v>27</v>
      </c>
      <c r="G406" t="s">
        <v>14</v>
      </c>
      <c r="H406" t="s">
        <v>15</v>
      </c>
      <c r="I406">
        <v>2</v>
      </c>
      <c r="J406" t="s">
        <v>26</v>
      </c>
      <c r="K406" t="s">
        <v>31</v>
      </c>
      <c r="L406">
        <v>49</v>
      </c>
      <c r="M406" t="str">
        <f t="shared" si="6"/>
        <v>MIddleAge</v>
      </c>
      <c r="N406" t="s">
        <v>18</v>
      </c>
      <c r="R406">
        <v>25681</v>
      </c>
      <c r="S406" t="s">
        <v>36</v>
      </c>
      <c r="T406" t="s">
        <v>37</v>
      </c>
      <c r="U406" s="4">
        <v>30000</v>
      </c>
      <c r="V406">
        <v>0</v>
      </c>
      <c r="W406" t="s">
        <v>19</v>
      </c>
      <c r="X406" t="s">
        <v>20</v>
      </c>
      <c r="Y406" t="s">
        <v>18</v>
      </c>
      <c r="Z406">
        <v>1</v>
      </c>
      <c r="AA406" t="s">
        <v>22</v>
      </c>
      <c r="AB406" t="s">
        <v>17</v>
      </c>
      <c r="AC406">
        <v>31</v>
      </c>
      <c r="AD406" t="s">
        <v>44</v>
      </c>
      <c r="BL406">
        <v>14312</v>
      </c>
      <c r="BM406" t="s">
        <v>35</v>
      </c>
      <c r="BN406" t="s">
        <v>37</v>
      </c>
      <c r="BO406" s="4">
        <v>60000</v>
      </c>
      <c r="BP406" s="4">
        <v>60000</v>
      </c>
      <c r="BQ406">
        <v>1</v>
      </c>
      <c r="BR406" t="s">
        <v>14</v>
      </c>
      <c r="BS406" t="s">
        <v>15</v>
      </c>
      <c r="BT406">
        <v>45</v>
      </c>
    </row>
    <row r="407" spans="1:72" x14ac:dyDescent="0.25">
      <c r="A407">
        <v>17668</v>
      </c>
      <c r="B407" t="s">
        <v>36</v>
      </c>
      <c r="C407" t="s">
        <v>38</v>
      </c>
      <c r="D407" s="11">
        <v>30000</v>
      </c>
      <c r="E407">
        <v>2</v>
      </c>
      <c r="F407" t="s">
        <v>27</v>
      </c>
      <c r="G407" t="s">
        <v>14</v>
      </c>
      <c r="H407" t="s">
        <v>15</v>
      </c>
      <c r="I407">
        <v>2</v>
      </c>
      <c r="J407" t="s">
        <v>26</v>
      </c>
      <c r="K407" t="s">
        <v>31</v>
      </c>
      <c r="L407">
        <v>50</v>
      </c>
      <c r="M407" t="str">
        <f t="shared" si="6"/>
        <v>MIddleAge</v>
      </c>
      <c r="N407" t="s">
        <v>15</v>
      </c>
      <c r="R407">
        <v>25303</v>
      </c>
      <c r="S407" t="s">
        <v>36</v>
      </c>
      <c r="T407" t="s">
        <v>38</v>
      </c>
      <c r="U407" s="4">
        <v>30000</v>
      </c>
      <c r="V407">
        <v>0</v>
      </c>
      <c r="W407" t="s">
        <v>27</v>
      </c>
      <c r="X407" t="s">
        <v>25</v>
      </c>
      <c r="Y407" t="s">
        <v>15</v>
      </c>
      <c r="Z407">
        <v>1</v>
      </c>
      <c r="AA407" t="s">
        <v>22</v>
      </c>
      <c r="AB407" t="s">
        <v>17</v>
      </c>
      <c r="AC407">
        <v>33</v>
      </c>
      <c r="AD407" t="s">
        <v>44</v>
      </c>
      <c r="BL407">
        <v>13942</v>
      </c>
      <c r="BM407" t="s">
        <v>35</v>
      </c>
      <c r="BN407" t="s">
        <v>38</v>
      </c>
      <c r="BO407" s="4">
        <v>60000</v>
      </c>
      <c r="BP407" s="4">
        <v>60000</v>
      </c>
      <c r="BQ407">
        <v>1</v>
      </c>
      <c r="BR407" t="s">
        <v>14</v>
      </c>
      <c r="BS407" t="s">
        <v>15</v>
      </c>
      <c r="BT407">
        <v>46</v>
      </c>
    </row>
    <row r="408" spans="1:72" x14ac:dyDescent="0.25">
      <c r="A408">
        <v>13136</v>
      </c>
      <c r="B408" t="s">
        <v>35</v>
      </c>
      <c r="C408" t="s">
        <v>37</v>
      </c>
      <c r="D408" s="11">
        <v>30000</v>
      </c>
      <c r="E408">
        <v>2</v>
      </c>
      <c r="F408" t="s">
        <v>19</v>
      </c>
      <c r="G408" t="s">
        <v>20</v>
      </c>
      <c r="H408" t="s">
        <v>18</v>
      </c>
      <c r="I408">
        <v>2</v>
      </c>
      <c r="J408" t="s">
        <v>23</v>
      </c>
      <c r="K408" t="s">
        <v>24</v>
      </c>
      <c r="L408">
        <v>69</v>
      </c>
      <c r="M408" t="str">
        <f t="shared" si="6"/>
        <v>Old</v>
      </c>
      <c r="N408" t="s">
        <v>18</v>
      </c>
      <c r="R408">
        <v>24121</v>
      </c>
      <c r="S408" t="s">
        <v>36</v>
      </c>
      <c r="T408" t="s">
        <v>37</v>
      </c>
      <c r="U408" s="4">
        <v>30000</v>
      </c>
      <c r="V408">
        <v>0</v>
      </c>
      <c r="W408" t="s">
        <v>19</v>
      </c>
      <c r="X408" t="s">
        <v>20</v>
      </c>
      <c r="Y408" t="s">
        <v>18</v>
      </c>
      <c r="Z408">
        <v>1</v>
      </c>
      <c r="AA408" t="s">
        <v>16</v>
      </c>
      <c r="AB408" t="s">
        <v>17</v>
      </c>
      <c r="AC408">
        <v>29</v>
      </c>
      <c r="AD408" t="s">
        <v>43</v>
      </c>
      <c r="BL408">
        <v>11801</v>
      </c>
      <c r="BM408" t="s">
        <v>35</v>
      </c>
      <c r="BN408" t="s">
        <v>38</v>
      </c>
      <c r="BO408" s="4">
        <v>60000</v>
      </c>
      <c r="BP408" s="4">
        <v>60000</v>
      </c>
      <c r="BQ408">
        <v>1</v>
      </c>
      <c r="BR408" t="s">
        <v>21</v>
      </c>
      <c r="BS408" t="s">
        <v>15</v>
      </c>
      <c r="BT408">
        <v>36</v>
      </c>
    </row>
    <row r="409" spans="1:72" x14ac:dyDescent="0.25">
      <c r="A409">
        <v>11139</v>
      </c>
      <c r="B409" t="s">
        <v>36</v>
      </c>
      <c r="C409" t="s">
        <v>37</v>
      </c>
      <c r="D409" s="11">
        <v>30000</v>
      </c>
      <c r="E409">
        <v>2</v>
      </c>
      <c r="F409" t="s">
        <v>19</v>
      </c>
      <c r="G409" t="s">
        <v>20</v>
      </c>
      <c r="H409" t="s">
        <v>18</v>
      </c>
      <c r="I409">
        <v>2</v>
      </c>
      <c r="J409" t="s">
        <v>23</v>
      </c>
      <c r="K409" t="s">
        <v>24</v>
      </c>
      <c r="L409">
        <v>67</v>
      </c>
      <c r="M409" t="str">
        <f t="shared" si="6"/>
        <v>Old</v>
      </c>
      <c r="N409" t="s">
        <v>18</v>
      </c>
      <c r="R409">
        <v>23549</v>
      </c>
      <c r="S409" t="s">
        <v>36</v>
      </c>
      <c r="T409" t="s">
        <v>38</v>
      </c>
      <c r="U409" s="4">
        <v>30000</v>
      </c>
      <c r="V409">
        <v>0</v>
      </c>
      <c r="W409" t="s">
        <v>27</v>
      </c>
      <c r="X409" t="s">
        <v>14</v>
      </c>
      <c r="Y409" t="s">
        <v>15</v>
      </c>
      <c r="Z409">
        <v>2</v>
      </c>
      <c r="AA409" t="s">
        <v>23</v>
      </c>
      <c r="AB409" t="s">
        <v>31</v>
      </c>
      <c r="AC409">
        <v>30</v>
      </c>
      <c r="AD409" t="s">
        <v>43</v>
      </c>
      <c r="BL409">
        <v>11783</v>
      </c>
      <c r="BM409" t="s">
        <v>35</v>
      </c>
      <c r="BN409" t="s">
        <v>37</v>
      </c>
      <c r="BO409" s="4">
        <v>60000</v>
      </c>
      <c r="BP409" s="4">
        <v>60000</v>
      </c>
      <c r="BQ409">
        <v>1</v>
      </c>
      <c r="BR409" t="s">
        <v>14</v>
      </c>
      <c r="BS409" t="s">
        <v>15</v>
      </c>
      <c r="BT409">
        <v>34</v>
      </c>
    </row>
    <row r="410" spans="1:72" x14ac:dyDescent="0.25">
      <c r="A410">
        <v>29097</v>
      </c>
      <c r="B410" t="s">
        <v>36</v>
      </c>
      <c r="C410" t="s">
        <v>37</v>
      </c>
      <c r="D410" s="11">
        <v>40000</v>
      </c>
      <c r="E410">
        <v>2</v>
      </c>
      <c r="F410" t="s">
        <v>19</v>
      </c>
      <c r="G410" t="s">
        <v>14</v>
      </c>
      <c r="H410" t="s">
        <v>15</v>
      </c>
      <c r="I410">
        <v>2</v>
      </c>
      <c r="J410" t="s">
        <v>23</v>
      </c>
      <c r="K410" t="s">
        <v>24</v>
      </c>
      <c r="L410">
        <v>52</v>
      </c>
      <c r="M410" t="str">
        <f t="shared" si="6"/>
        <v>MIddleAge</v>
      </c>
      <c r="N410" t="s">
        <v>15</v>
      </c>
      <c r="R410">
        <v>22971</v>
      </c>
      <c r="S410" t="s">
        <v>36</v>
      </c>
      <c r="T410" t="s">
        <v>37</v>
      </c>
      <c r="U410" s="4">
        <v>30000</v>
      </c>
      <c r="V410">
        <v>0</v>
      </c>
      <c r="W410" t="s">
        <v>27</v>
      </c>
      <c r="X410" t="s">
        <v>14</v>
      </c>
      <c r="Y410" t="s">
        <v>18</v>
      </c>
      <c r="Z410">
        <v>2</v>
      </c>
      <c r="AA410" t="s">
        <v>16</v>
      </c>
      <c r="AB410" t="s">
        <v>31</v>
      </c>
      <c r="AC410">
        <v>25</v>
      </c>
      <c r="AD410" t="s">
        <v>43</v>
      </c>
      <c r="BL410">
        <v>11745</v>
      </c>
      <c r="BM410" t="s">
        <v>35</v>
      </c>
      <c r="BN410" t="s">
        <v>37</v>
      </c>
      <c r="BO410" s="4">
        <v>60000</v>
      </c>
      <c r="BP410" s="4">
        <v>60000</v>
      </c>
      <c r="BQ410">
        <v>1</v>
      </c>
      <c r="BR410" t="s">
        <v>21</v>
      </c>
      <c r="BS410" t="s">
        <v>15</v>
      </c>
      <c r="BT410">
        <v>47</v>
      </c>
    </row>
    <row r="411" spans="1:72" x14ac:dyDescent="0.25">
      <c r="A411">
        <v>28997</v>
      </c>
      <c r="B411" t="s">
        <v>36</v>
      </c>
      <c r="C411" t="s">
        <v>38</v>
      </c>
      <c r="D411" s="11">
        <v>40000</v>
      </c>
      <c r="E411">
        <v>2</v>
      </c>
      <c r="F411" t="s">
        <v>27</v>
      </c>
      <c r="G411" t="s">
        <v>21</v>
      </c>
      <c r="H411" t="s">
        <v>18</v>
      </c>
      <c r="I411">
        <v>1</v>
      </c>
      <c r="J411" t="s">
        <v>22</v>
      </c>
      <c r="K411" t="s">
        <v>31</v>
      </c>
      <c r="L411">
        <v>58</v>
      </c>
      <c r="M411" t="str">
        <f t="shared" si="6"/>
        <v>Old</v>
      </c>
      <c r="N411" t="s">
        <v>15</v>
      </c>
      <c r="R411">
        <v>22707</v>
      </c>
      <c r="S411" t="s">
        <v>36</v>
      </c>
      <c r="T411" t="s">
        <v>37</v>
      </c>
      <c r="U411" s="4">
        <v>30000</v>
      </c>
      <c r="V411">
        <v>0</v>
      </c>
      <c r="W411" t="s">
        <v>19</v>
      </c>
      <c r="X411" t="s">
        <v>20</v>
      </c>
      <c r="Y411" t="s">
        <v>18</v>
      </c>
      <c r="Z411">
        <v>1</v>
      </c>
      <c r="AA411" t="s">
        <v>22</v>
      </c>
      <c r="AB411" t="s">
        <v>17</v>
      </c>
      <c r="AC411">
        <v>30</v>
      </c>
      <c r="AD411" t="s">
        <v>43</v>
      </c>
      <c r="BL411">
        <v>11734</v>
      </c>
      <c r="BM411" t="s">
        <v>35</v>
      </c>
      <c r="BN411" t="s">
        <v>38</v>
      </c>
      <c r="BO411" s="4">
        <v>60000</v>
      </c>
      <c r="BP411" s="4">
        <v>60000</v>
      </c>
      <c r="BQ411">
        <v>1</v>
      </c>
      <c r="BR411" t="s">
        <v>14</v>
      </c>
      <c r="BS411" t="s">
        <v>18</v>
      </c>
      <c r="BT411">
        <v>47</v>
      </c>
    </row>
    <row r="412" spans="1:72" x14ac:dyDescent="0.25">
      <c r="A412">
        <v>28799</v>
      </c>
      <c r="B412" t="s">
        <v>36</v>
      </c>
      <c r="C412" t="s">
        <v>37</v>
      </c>
      <c r="D412" s="11">
        <v>40000</v>
      </c>
      <c r="E412">
        <v>2</v>
      </c>
      <c r="F412" t="s">
        <v>19</v>
      </c>
      <c r="G412" t="s">
        <v>20</v>
      </c>
      <c r="H412" t="s">
        <v>18</v>
      </c>
      <c r="I412">
        <v>1</v>
      </c>
      <c r="J412" t="s">
        <v>26</v>
      </c>
      <c r="K412" t="s">
        <v>31</v>
      </c>
      <c r="L412">
        <v>47</v>
      </c>
      <c r="M412" t="str">
        <f t="shared" si="6"/>
        <v>MIddleAge</v>
      </c>
      <c r="N412" t="s">
        <v>15</v>
      </c>
      <c r="R412">
        <v>22610</v>
      </c>
      <c r="S412" t="s">
        <v>35</v>
      </c>
      <c r="T412" t="s">
        <v>38</v>
      </c>
      <c r="U412" s="4">
        <v>30000</v>
      </c>
      <c r="V412">
        <v>0</v>
      </c>
      <c r="W412" t="s">
        <v>13</v>
      </c>
      <c r="X412" t="s">
        <v>20</v>
      </c>
      <c r="Y412" t="s">
        <v>15</v>
      </c>
      <c r="Z412">
        <v>0</v>
      </c>
      <c r="AA412" t="s">
        <v>16</v>
      </c>
      <c r="AB412" t="s">
        <v>17</v>
      </c>
      <c r="AC412">
        <v>35</v>
      </c>
      <c r="AD412" t="s">
        <v>44</v>
      </c>
      <c r="BL412">
        <v>27074</v>
      </c>
      <c r="BM412" t="s">
        <v>35</v>
      </c>
      <c r="BN412" t="s">
        <v>37</v>
      </c>
      <c r="BO412" s="4">
        <v>70000</v>
      </c>
      <c r="BP412" s="4">
        <v>70000</v>
      </c>
      <c r="BQ412">
        <v>1</v>
      </c>
      <c r="BR412" t="s">
        <v>14</v>
      </c>
      <c r="BS412" t="s">
        <v>15</v>
      </c>
      <c r="BT412">
        <v>35</v>
      </c>
    </row>
    <row r="413" spans="1:72" x14ac:dyDescent="0.25">
      <c r="A413">
        <v>28758</v>
      </c>
      <c r="B413" t="s">
        <v>35</v>
      </c>
      <c r="C413" t="s">
        <v>38</v>
      </c>
      <c r="D413" s="11">
        <v>40000</v>
      </c>
      <c r="E413">
        <v>2</v>
      </c>
      <c r="F413" t="s">
        <v>19</v>
      </c>
      <c r="G413" t="s">
        <v>20</v>
      </c>
      <c r="H413" t="s">
        <v>15</v>
      </c>
      <c r="I413">
        <v>1</v>
      </c>
      <c r="J413" t="s">
        <v>26</v>
      </c>
      <c r="K413" t="s">
        <v>17</v>
      </c>
      <c r="L413">
        <v>35</v>
      </c>
      <c r="M413" t="str">
        <f t="shared" si="6"/>
        <v>MIddleAge</v>
      </c>
      <c r="N413" t="s">
        <v>15</v>
      </c>
      <c r="R413">
        <v>22014</v>
      </c>
      <c r="S413" t="s">
        <v>36</v>
      </c>
      <c r="T413" t="s">
        <v>38</v>
      </c>
      <c r="U413" s="4">
        <v>30000</v>
      </c>
      <c r="V413">
        <v>0</v>
      </c>
      <c r="W413" t="s">
        <v>27</v>
      </c>
      <c r="X413" t="s">
        <v>14</v>
      </c>
      <c r="Y413" t="s">
        <v>15</v>
      </c>
      <c r="Z413">
        <v>2</v>
      </c>
      <c r="AA413" t="s">
        <v>23</v>
      </c>
      <c r="AB413" t="s">
        <v>31</v>
      </c>
      <c r="AC413">
        <v>26</v>
      </c>
      <c r="AD413" t="s">
        <v>43</v>
      </c>
      <c r="BL413">
        <v>23378</v>
      </c>
      <c r="BM413" t="s">
        <v>35</v>
      </c>
      <c r="BN413" t="s">
        <v>38</v>
      </c>
      <c r="BO413" s="4">
        <v>70000</v>
      </c>
      <c r="BP413" s="4">
        <v>70000</v>
      </c>
      <c r="BQ413">
        <v>1</v>
      </c>
      <c r="BR413" t="s">
        <v>14</v>
      </c>
      <c r="BS413" t="s">
        <v>15</v>
      </c>
      <c r="BT413">
        <v>44</v>
      </c>
    </row>
    <row r="414" spans="1:72" x14ac:dyDescent="0.25">
      <c r="A414">
        <v>28625</v>
      </c>
      <c r="B414" t="s">
        <v>36</v>
      </c>
      <c r="C414" t="s">
        <v>38</v>
      </c>
      <c r="D414" s="11">
        <v>40000</v>
      </c>
      <c r="E414">
        <v>2</v>
      </c>
      <c r="F414" t="s">
        <v>19</v>
      </c>
      <c r="G414" t="s">
        <v>20</v>
      </c>
      <c r="H414" t="s">
        <v>18</v>
      </c>
      <c r="I414">
        <v>1</v>
      </c>
      <c r="J414" t="s">
        <v>26</v>
      </c>
      <c r="K414" t="s">
        <v>31</v>
      </c>
      <c r="L414">
        <v>47</v>
      </c>
      <c r="M414" t="str">
        <f t="shared" si="6"/>
        <v>MIddleAge</v>
      </c>
      <c r="N414" t="s">
        <v>15</v>
      </c>
      <c r="R414">
        <v>20946</v>
      </c>
      <c r="S414" t="s">
        <v>36</v>
      </c>
      <c r="T414" t="s">
        <v>37</v>
      </c>
      <c r="U414" s="4">
        <v>30000</v>
      </c>
      <c r="V414">
        <v>0</v>
      </c>
      <c r="W414" t="s">
        <v>19</v>
      </c>
      <c r="X414" t="s">
        <v>20</v>
      </c>
      <c r="Y414" t="s">
        <v>18</v>
      </c>
      <c r="Z414">
        <v>1</v>
      </c>
      <c r="AA414" t="s">
        <v>22</v>
      </c>
      <c r="AB414" t="s">
        <v>17</v>
      </c>
      <c r="AC414">
        <v>30</v>
      </c>
      <c r="AD414" t="s">
        <v>43</v>
      </c>
      <c r="BL414">
        <v>23376</v>
      </c>
      <c r="BM414" t="s">
        <v>35</v>
      </c>
      <c r="BN414" t="s">
        <v>38</v>
      </c>
      <c r="BO414" s="4">
        <v>70000</v>
      </c>
      <c r="BP414" s="4">
        <v>70000</v>
      </c>
      <c r="BQ414">
        <v>1</v>
      </c>
      <c r="BR414" t="s">
        <v>21</v>
      </c>
      <c r="BS414" t="s">
        <v>15</v>
      </c>
      <c r="BT414">
        <v>44</v>
      </c>
    </row>
    <row r="415" spans="1:72" x14ac:dyDescent="0.25">
      <c r="A415">
        <v>28564</v>
      </c>
      <c r="B415" t="s">
        <v>36</v>
      </c>
      <c r="C415" t="s">
        <v>37</v>
      </c>
      <c r="D415" s="11">
        <v>40000</v>
      </c>
      <c r="E415">
        <v>2</v>
      </c>
      <c r="F415" t="s">
        <v>19</v>
      </c>
      <c r="G415" t="s">
        <v>20</v>
      </c>
      <c r="H415" t="s">
        <v>15</v>
      </c>
      <c r="I415">
        <v>0</v>
      </c>
      <c r="J415" t="s">
        <v>26</v>
      </c>
      <c r="K415" t="s">
        <v>17</v>
      </c>
      <c r="L415">
        <v>33</v>
      </c>
      <c r="M415" t="str">
        <f t="shared" si="6"/>
        <v>MIddleAge</v>
      </c>
      <c r="N415" t="s">
        <v>15</v>
      </c>
      <c r="R415">
        <v>20060</v>
      </c>
      <c r="S415" t="s">
        <v>36</v>
      </c>
      <c r="T415" t="s">
        <v>37</v>
      </c>
      <c r="U415" s="4">
        <v>30000</v>
      </c>
      <c r="V415">
        <v>0</v>
      </c>
      <c r="W415" t="s">
        <v>27</v>
      </c>
      <c r="X415" t="s">
        <v>25</v>
      </c>
      <c r="Y415" t="s">
        <v>18</v>
      </c>
      <c r="Z415">
        <v>1</v>
      </c>
      <c r="AA415" t="s">
        <v>22</v>
      </c>
      <c r="AB415" t="s">
        <v>17</v>
      </c>
      <c r="AC415">
        <v>34</v>
      </c>
      <c r="AD415" t="s">
        <v>44</v>
      </c>
      <c r="BL415">
        <v>17546</v>
      </c>
      <c r="BM415" t="s">
        <v>35</v>
      </c>
      <c r="BN415" t="s">
        <v>37</v>
      </c>
      <c r="BO415" s="4">
        <v>70000</v>
      </c>
      <c r="BP415" s="4">
        <v>70000</v>
      </c>
      <c r="BQ415">
        <v>1</v>
      </c>
      <c r="BR415" t="s">
        <v>14</v>
      </c>
      <c r="BS415" t="s">
        <v>15</v>
      </c>
      <c r="BT415">
        <v>44</v>
      </c>
    </row>
    <row r="416" spans="1:72" x14ac:dyDescent="0.25">
      <c r="A416">
        <v>28026</v>
      </c>
      <c r="B416" t="s">
        <v>35</v>
      </c>
      <c r="C416" t="s">
        <v>37</v>
      </c>
      <c r="D416" s="11">
        <v>40000</v>
      </c>
      <c r="E416">
        <v>2</v>
      </c>
      <c r="F416" t="s">
        <v>27</v>
      </c>
      <c r="G416" t="s">
        <v>21</v>
      </c>
      <c r="H416" t="s">
        <v>18</v>
      </c>
      <c r="I416">
        <v>2</v>
      </c>
      <c r="J416" t="s">
        <v>22</v>
      </c>
      <c r="K416" t="s">
        <v>31</v>
      </c>
      <c r="L416">
        <v>59</v>
      </c>
      <c r="M416" t="str">
        <f t="shared" si="6"/>
        <v>Old</v>
      </c>
      <c r="N416" t="s">
        <v>18</v>
      </c>
      <c r="R416">
        <v>19174</v>
      </c>
      <c r="S416" t="s">
        <v>36</v>
      </c>
      <c r="T416" t="s">
        <v>37</v>
      </c>
      <c r="U416" s="4">
        <v>30000</v>
      </c>
      <c r="V416">
        <v>0</v>
      </c>
      <c r="W416" t="s">
        <v>27</v>
      </c>
      <c r="X416" t="s">
        <v>25</v>
      </c>
      <c r="Y416" t="s">
        <v>18</v>
      </c>
      <c r="Z416">
        <v>1</v>
      </c>
      <c r="AA416" t="s">
        <v>22</v>
      </c>
      <c r="AB416" t="s">
        <v>17</v>
      </c>
      <c r="AC416">
        <v>32</v>
      </c>
      <c r="AD416" t="s">
        <v>44</v>
      </c>
      <c r="BL416">
        <v>16144</v>
      </c>
      <c r="BM416" t="s">
        <v>35</v>
      </c>
      <c r="BN416" t="s">
        <v>38</v>
      </c>
      <c r="BO416" s="4">
        <v>70000</v>
      </c>
      <c r="BP416" s="4">
        <v>70000</v>
      </c>
      <c r="BQ416">
        <v>1</v>
      </c>
      <c r="BR416" t="s">
        <v>21</v>
      </c>
      <c r="BS416" t="s">
        <v>15</v>
      </c>
      <c r="BT416">
        <v>46</v>
      </c>
    </row>
    <row r="417" spans="1:72" x14ac:dyDescent="0.25">
      <c r="A417">
        <v>27745</v>
      </c>
      <c r="B417" t="s">
        <v>36</v>
      </c>
      <c r="C417" t="s">
        <v>38</v>
      </c>
      <c r="D417" s="11">
        <v>40000</v>
      </c>
      <c r="E417">
        <v>2</v>
      </c>
      <c r="F417" t="s">
        <v>13</v>
      </c>
      <c r="G417" t="s">
        <v>28</v>
      </c>
      <c r="H417" t="s">
        <v>15</v>
      </c>
      <c r="I417">
        <v>2</v>
      </c>
      <c r="J417" t="s">
        <v>23</v>
      </c>
      <c r="K417" t="s">
        <v>24</v>
      </c>
      <c r="L417">
        <v>63</v>
      </c>
      <c r="M417" t="str">
        <f t="shared" si="6"/>
        <v>Old</v>
      </c>
      <c r="N417" t="s">
        <v>15</v>
      </c>
      <c r="R417">
        <v>18910</v>
      </c>
      <c r="S417" t="s">
        <v>36</v>
      </c>
      <c r="T417" t="s">
        <v>38</v>
      </c>
      <c r="U417" s="4">
        <v>30000</v>
      </c>
      <c r="V417">
        <v>0</v>
      </c>
      <c r="W417" t="s">
        <v>19</v>
      </c>
      <c r="X417" t="s">
        <v>14</v>
      </c>
      <c r="Y417" t="s">
        <v>15</v>
      </c>
      <c r="Z417">
        <v>2</v>
      </c>
      <c r="AA417" t="s">
        <v>23</v>
      </c>
      <c r="AB417" t="s">
        <v>31</v>
      </c>
      <c r="AC417">
        <v>30</v>
      </c>
      <c r="AD417" t="s">
        <v>43</v>
      </c>
      <c r="BL417">
        <v>15302</v>
      </c>
      <c r="BM417" t="s">
        <v>36</v>
      </c>
      <c r="BN417" t="s">
        <v>37</v>
      </c>
      <c r="BO417" s="4">
        <v>70000</v>
      </c>
      <c r="BP417" s="4">
        <v>70000</v>
      </c>
      <c r="BQ417">
        <v>1</v>
      </c>
      <c r="BR417" t="s">
        <v>21</v>
      </c>
      <c r="BS417" t="s">
        <v>15</v>
      </c>
      <c r="BT417">
        <v>34</v>
      </c>
    </row>
    <row r="418" spans="1:72" x14ac:dyDescent="0.25">
      <c r="A418">
        <v>27494</v>
      </c>
      <c r="B418" t="s">
        <v>36</v>
      </c>
      <c r="C418" t="s">
        <v>37</v>
      </c>
      <c r="D418" s="11">
        <v>40000</v>
      </c>
      <c r="E418">
        <v>2</v>
      </c>
      <c r="F418" t="s">
        <v>19</v>
      </c>
      <c r="G418" t="s">
        <v>14</v>
      </c>
      <c r="H418" t="s">
        <v>18</v>
      </c>
      <c r="I418">
        <v>2</v>
      </c>
      <c r="J418" t="s">
        <v>26</v>
      </c>
      <c r="K418" t="s">
        <v>24</v>
      </c>
      <c r="L418">
        <v>53</v>
      </c>
      <c r="M418" t="str">
        <f t="shared" si="6"/>
        <v>MIddleAge</v>
      </c>
      <c r="N418" t="s">
        <v>15</v>
      </c>
      <c r="R418">
        <v>18347</v>
      </c>
      <c r="S418" t="s">
        <v>36</v>
      </c>
      <c r="T418" t="s">
        <v>37</v>
      </c>
      <c r="U418" s="4">
        <v>30000</v>
      </c>
      <c r="V418">
        <v>0</v>
      </c>
      <c r="W418" t="s">
        <v>19</v>
      </c>
      <c r="X418" t="s">
        <v>14</v>
      </c>
      <c r="Y418" t="s">
        <v>18</v>
      </c>
      <c r="Z418">
        <v>1</v>
      </c>
      <c r="AA418" t="s">
        <v>26</v>
      </c>
      <c r="AB418" t="s">
        <v>31</v>
      </c>
      <c r="AC418">
        <v>31</v>
      </c>
      <c r="AD418" t="s">
        <v>44</v>
      </c>
      <c r="BL418">
        <v>12964</v>
      </c>
      <c r="BM418" t="s">
        <v>35</v>
      </c>
      <c r="BN418" t="s">
        <v>38</v>
      </c>
      <c r="BO418" s="4">
        <v>70000</v>
      </c>
      <c r="BP418" s="4">
        <v>70000</v>
      </c>
      <c r="BQ418">
        <v>1</v>
      </c>
      <c r="BR418" t="s">
        <v>14</v>
      </c>
      <c r="BS418" t="s">
        <v>15</v>
      </c>
      <c r="BT418">
        <v>44</v>
      </c>
    </row>
    <row r="419" spans="1:72" x14ac:dyDescent="0.25">
      <c r="A419">
        <v>27184</v>
      </c>
      <c r="B419" t="s">
        <v>36</v>
      </c>
      <c r="C419" t="s">
        <v>38</v>
      </c>
      <c r="D419" s="11">
        <v>40000</v>
      </c>
      <c r="E419">
        <v>2</v>
      </c>
      <c r="F419" t="s">
        <v>19</v>
      </c>
      <c r="G419" t="s">
        <v>20</v>
      </c>
      <c r="H419" t="s">
        <v>18</v>
      </c>
      <c r="I419">
        <v>1</v>
      </c>
      <c r="J419" t="s">
        <v>16</v>
      </c>
      <c r="K419" t="s">
        <v>17</v>
      </c>
      <c r="L419">
        <v>34</v>
      </c>
      <c r="M419" t="str">
        <f t="shared" si="6"/>
        <v>MIddleAge</v>
      </c>
      <c r="N419" t="s">
        <v>18</v>
      </c>
      <c r="R419">
        <v>17369</v>
      </c>
      <c r="S419" t="s">
        <v>36</v>
      </c>
      <c r="T419" t="s">
        <v>38</v>
      </c>
      <c r="U419" s="4">
        <v>30000</v>
      </c>
      <c r="V419">
        <v>0</v>
      </c>
      <c r="W419" t="s">
        <v>19</v>
      </c>
      <c r="X419" t="s">
        <v>14</v>
      </c>
      <c r="Y419" t="s">
        <v>15</v>
      </c>
      <c r="Z419">
        <v>1</v>
      </c>
      <c r="AA419" t="s">
        <v>23</v>
      </c>
      <c r="AB419" t="s">
        <v>31</v>
      </c>
      <c r="AC419">
        <v>27</v>
      </c>
      <c r="AD419" t="s">
        <v>43</v>
      </c>
      <c r="BL419">
        <v>12957</v>
      </c>
      <c r="BM419" t="s">
        <v>36</v>
      </c>
      <c r="BN419" t="s">
        <v>37</v>
      </c>
      <c r="BO419" s="4">
        <v>70000</v>
      </c>
      <c r="BP419" s="4">
        <v>70000</v>
      </c>
      <c r="BQ419">
        <v>1</v>
      </c>
      <c r="BR419" t="s">
        <v>21</v>
      </c>
      <c r="BS419" t="s">
        <v>18</v>
      </c>
      <c r="BT419">
        <v>44</v>
      </c>
    </row>
    <row r="420" spans="1:72" x14ac:dyDescent="0.25">
      <c r="A420">
        <v>27183</v>
      </c>
      <c r="B420" t="s">
        <v>36</v>
      </c>
      <c r="C420" t="s">
        <v>38</v>
      </c>
      <c r="D420" s="11">
        <v>40000</v>
      </c>
      <c r="E420">
        <v>2</v>
      </c>
      <c r="F420" t="s">
        <v>19</v>
      </c>
      <c r="G420" t="s">
        <v>20</v>
      </c>
      <c r="H420" t="s">
        <v>15</v>
      </c>
      <c r="I420">
        <v>1</v>
      </c>
      <c r="J420" t="s">
        <v>26</v>
      </c>
      <c r="K420" t="s">
        <v>17</v>
      </c>
      <c r="L420">
        <v>35</v>
      </c>
      <c r="M420" t="str">
        <f t="shared" si="6"/>
        <v>MIddleAge</v>
      </c>
      <c r="N420" t="s">
        <v>15</v>
      </c>
      <c r="R420">
        <v>16725</v>
      </c>
      <c r="S420" t="s">
        <v>35</v>
      </c>
      <c r="T420" t="s">
        <v>38</v>
      </c>
      <c r="U420" s="4">
        <v>30000</v>
      </c>
      <c r="V420">
        <v>0</v>
      </c>
      <c r="W420" t="s">
        <v>27</v>
      </c>
      <c r="X420" t="s">
        <v>14</v>
      </c>
      <c r="Y420" t="s">
        <v>15</v>
      </c>
      <c r="Z420">
        <v>2</v>
      </c>
      <c r="AA420" t="s">
        <v>23</v>
      </c>
      <c r="AB420" t="s">
        <v>31</v>
      </c>
      <c r="AC420">
        <v>26</v>
      </c>
      <c r="AD420" t="s">
        <v>43</v>
      </c>
      <c r="BL420">
        <v>11788</v>
      </c>
      <c r="BM420" t="s">
        <v>36</v>
      </c>
      <c r="BN420" t="s">
        <v>37</v>
      </c>
      <c r="BO420" s="4">
        <v>70000</v>
      </c>
      <c r="BP420" s="4">
        <v>70000</v>
      </c>
      <c r="BQ420">
        <v>1</v>
      </c>
      <c r="BR420" t="s">
        <v>21</v>
      </c>
      <c r="BS420" t="s">
        <v>15</v>
      </c>
      <c r="BT420">
        <v>34</v>
      </c>
    </row>
    <row r="421" spans="1:72" x14ac:dyDescent="0.25">
      <c r="A421">
        <v>26796</v>
      </c>
      <c r="B421" t="s">
        <v>36</v>
      </c>
      <c r="C421" t="s">
        <v>38</v>
      </c>
      <c r="D421" s="11">
        <v>40000</v>
      </c>
      <c r="E421">
        <v>2</v>
      </c>
      <c r="F421" t="s">
        <v>13</v>
      </c>
      <c r="G421" t="s">
        <v>28</v>
      </c>
      <c r="H421" t="s">
        <v>15</v>
      </c>
      <c r="I421">
        <v>2</v>
      </c>
      <c r="J421" t="s">
        <v>23</v>
      </c>
      <c r="K421" t="s">
        <v>24</v>
      </c>
      <c r="L421">
        <v>65</v>
      </c>
      <c r="M421" t="str">
        <f t="shared" si="6"/>
        <v>Old</v>
      </c>
      <c r="N421" t="s">
        <v>15</v>
      </c>
      <c r="R421">
        <v>16468</v>
      </c>
      <c r="S421" t="s">
        <v>36</v>
      </c>
      <c r="T421" t="s">
        <v>38</v>
      </c>
      <c r="U421" s="4">
        <v>30000</v>
      </c>
      <c r="V421">
        <v>0</v>
      </c>
      <c r="W421" t="s">
        <v>19</v>
      </c>
      <c r="X421" t="s">
        <v>20</v>
      </c>
      <c r="Y421" t="s">
        <v>15</v>
      </c>
      <c r="Z421">
        <v>1</v>
      </c>
      <c r="AA421" t="s">
        <v>22</v>
      </c>
      <c r="AB421" t="s">
        <v>17</v>
      </c>
      <c r="AC421">
        <v>30</v>
      </c>
      <c r="AD421" t="s">
        <v>43</v>
      </c>
      <c r="BL421">
        <v>26012</v>
      </c>
      <c r="BM421" t="s">
        <v>35</v>
      </c>
      <c r="BN421" t="s">
        <v>38</v>
      </c>
      <c r="BO421" s="4">
        <v>80000</v>
      </c>
      <c r="BP421" s="4">
        <v>80000</v>
      </c>
      <c r="BQ421">
        <v>1</v>
      </c>
      <c r="BR421" t="s">
        <v>14</v>
      </c>
      <c r="BS421" t="s">
        <v>15</v>
      </c>
      <c r="BT421">
        <v>48</v>
      </c>
    </row>
    <row r="422" spans="1:72" x14ac:dyDescent="0.25">
      <c r="A422">
        <v>26495</v>
      </c>
      <c r="B422" t="s">
        <v>36</v>
      </c>
      <c r="C422" t="s">
        <v>37</v>
      </c>
      <c r="D422" s="11">
        <v>40000</v>
      </c>
      <c r="E422">
        <v>2</v>
      </c>
      <c r="F422" t="s">
        <v>27</v>
      </c>
      <c r="G422" t="s">
        <v>21</v>
      </c>
      <c r="H422" t="s">
        <v>15</v>
      </c>
      <c r="I422">
        <v>2</v>
      </c>
      <c r="J422" t="s">
        <v>42</v>
      </c>
      <c r="K422" t="s">
        <v>31</v>
      </c>
      <c r="L422">
        <v>57</v>
      </c>
      <c r="M422" t="str">
        <f t="shared" si="6"/>
        <v>Old</v>
      </c>
      <c r="N422" t="s">
        <v>18</v>
      </c>
      <c r="R422">
        <v>15839</v>
      </c>
      <c r="S422" t="s">
        <v>36</v>
      </c>
      <c r="T422" t="s">
        <v>38</v>
      </c>
      <c r="U422" s="4">
        <v>30000</v>
      </c>
      <c r="V422">
        <v>0</v>
      </c>
      <c r="W422" t="s">
        <v>19</v>
      </c>
      <c r="X422" t="s">
        <v>14</v>
      </c>
      <c r="Y422" t="s">
        <v>15</v>
      </c>
      <c r="Z422">
        <v>1</v>
      </c>
      <c r="AA422" t="s">
        <v>23</v>
      </c>
      <c r="AB422" t="s">
        <v>31</v>
      </c>
      <c r="AC422">
        <v>32</v>
      </c>
      <c r="AD422" t="s">
        <v>44</v>
      </c>
      <c r="BL422">
        <v>14657</v>
      </c>
      <c r="BM422" t="s">
        <v>35</v>
      </c>
      <c r="BN422" t="s">
        <v>38</v>
      </c>
      <c r="BO422" s="4">
        <v>80000</v>
      </c>
      <c r="BP422" s="4">
        <v>80000</v>
      </c>
      <c r="BQ422">
        <v>1</v>
      </c>
      <c r="BR422" t="s">
        <v>14</v>
      </c>
      <c r="BS422" t="s">
        <v>18</v>
      </c>
      <c r="BT422">
        <v>47</v>
      </c>
    </row>
    <row r="423" spans="1:72" x14ac:dyDescent="0.25">
      <c r="A423">
        <v>26167</v>
      </c>
      <c r="B423" t="s">
        <v>36</v>
      </c>
      <c r="C423" t="s">
        <v>37</v>
      </c>
      <c r="D423" s="11">
        <v>40000</v>
      </c>
      <c r="E423">
        <v>2</v>
      </c>
      <c r="F423" t="s">
        <v>13</v>
      </c>
      <c r="G423" t="s">
        <v>28</v>
      </c>
      <c r="H423" t="s">
        <v>18</v>
      </c>
      <c r="I423">
        <v>1</v>
      </c>
      <c r="J423" t="s">
        <v>23</v>
      </c>
      <c r="K423" t="s">
        <v>24</v>
      </c>
      <c r="L423">
        <v>53</v>
      </c>
      <c r="M423" t="str">
        <f t="shared" si="6"/>
        <v>MIddleAge</v>
      </c>
      <c r="N423" t="s">
        <v>15</v>
      </c>
      <c r="R423">
        <v>15608</v>
      </c>
      <c r="S423" t="s">
        <v>36</v>
      </c>
      <c r="T423" t="s">
        <v>37</v>
      </c>
      <c r="U423" s="4">
        <v>30000</v>
      </c>
      <c r="V423">
        <v>0</v>
      </c>
      <c r="W423" t="s">
        <v>19</v>
      </c>
      <c r="X423" t="s">
        <v>20</v>
      </c>
      <c r="Y423" t="s">
        <v>18</v>
      </c>
      <c r="Z423">
        <v>1</v>
      </c>
      <c r="AA423" t="s">
        <v>22</v>
      </c>
      <c r="AB423" t="s">
        <v>17</v>
      </c>
      <c r="AC423">
        <v>33</v>
      </c>
      <c r="AD423" t="s">
        <v>44</v>
      </c>
      <c r="BL423">
        <v>26757</v>
      </c>
      <c r="BM423" t="s">
        <v>36</v>
      </c>
      <c r="BN423" t="s">
        <v>38</v>
      </c>
      <c r="BO423" s="4">
        <v>90000</v>
      </c>
      <c r="BP423" s="4">
        <v>90000</v>
      </c>
      <c r="BQ423">
        <v>1</v>
      </c>
      <c r="BR423" t="s">
        <v>21</v>
      </c>
      <c r="BS423" t="s">
        <v>15</v>
      </c>
      <c r="BT423">
        <v>47</v>
      </c>
    </row>
    <row r="424" spans="1:72" x14ac:dyDescent="0.25">
      <c r="A424">
        <v>25323</v>
      </c>
      <c r="B424" t="s">
        <v>35</v>
      </c>
      <c r="C424" t="s">
        <v>38</v>
      </c>
      <c r="D424" s="11">
        <v>40000</v>
      </c>
      <c r="E424">
        <v>2</v>
      </c>
      <c r="F424" t="s">
        <v>19</v>
      </c>
      <c r="G424" t="s">
        <v>20</v>
      </c>
      <c r="H424" t="s">
        <v>15</v>
      </c>
      <c r="I424">
        <v>1</v>
      </c>
      <c r="J424" t="s">
        <v>26</v>
      </c>
      <c r="K424" t="s">
        <v>17</v>
      </c>
      <c r="L424">
        <v>35</v>
      </c>
      <c r="M424" t="str">
        <f t="shared" si="6"/>
        <v>MIddleAge</v>
      </c>
      <c r="N424" t="s">
        <v>15</v>
      </c>
      <c r="R424">
        <v>14872</v>
      </c>
      <c r="S424" t="s">
        <v>35</v>
      </c>
      <c r="T424" t="s">
        <v>38</v>
      </c>
      <c r="U424" s="4">
        <v>30000</v>
      </c>
      <c r="V424">
        <v>0</v>
      </c>
      <c r="W424" t="s">
        <v>30</v>
      </c>
      <c r="X424" t="s">
        <v>14</v>
      </c>
      <c r="Y424" t="s">
        <v>15</v>
      </c>
      <c r="Z424">
        <v>0</v>
      </c>
      <c r="AA424" t="s">
        <v>16</v>
      </c>
      <c r="AB424" t="s">
        <v>31</v>
      </c>
      <c r="AC424">
        <v>32</v>
      </c>
      <c r="AD424" t="s">
        <v>44</v>
      </c>
      <c r="BL424">
        <v>26654</v>
      </c>
      <c r="BM424" t="s">
        <v>35</v>
      </c>
      <c r="BN424" t="s">
        <v>37</v>
      </c>
      <c r="BO424" s="4">
        <v>90000</v>
      </c>
      <c r="BP424" s="4">
        <v>90000</v>
      </c>
      <c r="BQ424">
        <v>1</v>
      </c>
      <c r="BR424" t="s">
        <v>28</v>
      </c>
      <c r="BS424" t="s">
        <v>15</v>
      </c>
      <c r="BT424">
        <v>37</v>
      </c>
    </row>
    <row r="425" spans="1:72" x14ac:dyDescent="0.25">
      <c r="A425">
        <v>24485</v>
      </c>
      <c r="B425" t="s">
        <v>36</v>
      </c>
      <c r="C425" t="s">
        <v>38</v>
      </c>
      <c r="D425" s="11">
        <v>40000</v>
      </c>
      <c r="E425">
        <v>2</v>
      </c>
      <c r="F425" t="s">
        <v>13</v>
      </c>
      <c r="G425" t="s">
        <v>28</v>
      </c>
      <c r="H425" t="s">
        <v>18</v>
      </c>
      <c r="I425">
        <v>1</v>
      </c>
      <c r="J425" t="s">
        <v>23</v>
      </c>
      <c r="K425" t="s">
        <v>24</v>
      </c>
      <c r="L425">
        <v>52</v>
      </c>
      <c r="M425" t="str">
        <f t="shared" si="6"/>
        <v>MIddleAge</v>
      </c>
      <c r="N425" t="s">
        <v>15</v>
      </c>
      <c r="R425">
        <v>14332</v>
      </c>
      <c r="S425" t="s">
        <v>36</v>
      </c>
      <c r="T425" t="s">
        <v>37</v>
      </c>
      <c r="U425" s="4">
        <v>30000</v>
      </c>
      <c r="V425">
        <v>0</v>
      </c>
      <c r="W425" t="s">
        <v>27</v>
      </c>
      <c r="X425" t="s">
        <v>14</v>
      </c>
      <c r="Y425" t="s">
        <v>18</v>
      </c>
      <c r="Z425">
        <v>2</v>
      </c>
      <c r="AA425" t="s">
        <v>23</v>
      </c>
      <c r="AB425" t="s">
        <v>31</v>
      </c>
      <c r="AC425">
        <v>26</v>
      </c>
      <c r="AD425" t="s">
        <v>43</v>
      </c>
      <c r="BL425">
        <v>18294</v>
      </c>
      <c r="BM425" t="s">
        <v>35</v>
      </c>
      <c r="BN425" t="s">
        <v>37</v>
      </c>
      <c r="BO425" s="4">
        <v>90000</v>
      </c>
      <c r="BP425" s="4">
        <v>90000</v>
      </c>
      <c r="BQ425">
        <v>1</v>
      </c>
      <c r="BR425" t="s">
        <v>21</v>
      </c>
      <c r="BS425" t="s">
        <v>15</v>
      </c>
      <c r="BT425">
        <v>46</v>
      </c>
    </row>
    <row r="426" spans="1:72" x14ac:dyDescent="0.25">
      <c r="A426">
        <v>24279</v>
      </c>
      <c r="B426" t="s">
        <v>36</v>
      </c>
      <c r="C426" t="s">
        <v>38</v>
      </c>
      <c r="D426" s="11">
        <v>40000</v>
      </c>
      <c r="E426">
        <v>2</v>
      </c>
      <c r="F426" t="s">
        <v>19</v>
      </c>
      <c r="G426" t="s">
        <v>14</v>
      </c>
      <c r="H426" t="s">
        <v>18</v>
      </c>
      <c r="I426">
        <v>2</v>
      </c>
      <c r="J426" t="s">
        <v>26</v>
      </c>
      <c r="K426" t="s">
        <v>24</v>
      </c>
      <c r="L426">
        <v>52</v>
      </c>
      <c r="M426" t="str">
        <f t="shared" si="6"/>
        <v>MIddleAge</v>
      </c>
      <c r="N426" t="s">
        <v>18</v>
      </c>
      <c r="R426">
        <v>14271</v>
      </c>
      <c r="S426" t="s">
        <v>35</v>
      </c>
      <c r="T426" t="s">
        <v>38</v>
      </c>
      <c r="U426" s="4">
        <v>30000</v>
      </c>
      <c r="V426">
        <v>0</v>
      </c>
      <c r="W426" t="s">
        <v>27</v>
      </c>
      <c r="X426" t="s">
        <v>14</v>
      </c>
      <c r="Y426" t="s">
        <v>15</v>
      </c>
      <c r="Z426">
        <v>2</v>
      </c>
      <c r="AA426" t="s">
        <v>23</v>
      </c>
      <c r="AB426" t="s">
        <v>31</v>
      </c>
      <c r="AC426">
        <v>32</v>
      </c>
      <c r="AD426" t="s">
        <v>44</v>
      </c>
      <c r="BL426">
        <v>17048</v>
      </c>
      <c r="BM426" t="s">
        <v>36</v>
      </c>
      <c r="BN426" t="s">
        <v>37</v>
      </c>
      <c r="BO426" s="4">
        <v>90000</v>
      </c>
      <c r="BP426" s="4">
        <v>90000</v>
      </c>
      <c r="BQ426">
        <v>1</v>
      </c>
      <c r="BR426" t="s">
        <v>28</v>
      </c>
      <c r="BS426" t="s">
        <v>15</v>
      </c>
      <c r="BT426">
        <v>36</v>
      </c>
    </row>
    <row r="427" spans="1:72" x14ac:dyDescent="0.25">
      <c r="A427">
        <v>23780</v>
      </c>
      <c r="B427" t="s">
        <v>36</v>
      </c>
      <c r="C427" t="s">
        <v>38</v>
      </c>
      <c r="D427" s="11">
        <v>40000</v>
      </c>
      <c r="E427">
        <v>2</v>
      </c>
      <c r="F427" t="s">
        <v>19</v>
      </c>
      <c r="G427" t="s">
        <v>20</v>
      </c>
      <c r="H427" t="s">
        <v>18</v>
      </c>
      <c r="I427">
        <v>2</v>
      </c>
      <c r="J427" t="s">
        <v>16</v>
      </c>
      <c r="K427" t="s">
        <v>17</v>
      </c>
      <c r="L427">
        <v>36</v>
      </c>
      <c r="M427" t="str">
        <f t="shared" si="6"/>
        <v>MIddleAge</v>
      </c>
      <c r="N427" t="s">
        <v>15</v>
      </c>
      <c r="R427">
        <v>14154</v>
      </c>
      <c r="S427" t="s">
        <v>35</v>
      </c>
      <c r="T427" t="s">
        <v>38</v>
      </c>
      <c r="U427" s="4">
        <v>30000</v>
      </c>
      <c r="V427">
        <v>0</v>
      </c>
      <c r="W427" t="s">
        <v>13</v>
      </c>
      <c r="X427" t="s">
        <v>20</v>
      </c>
      <c r="Y427" t="s">
        <v>15</v>
      </c>
      <c r="Z427">
        <v>0</v>
      </c>
      <c r="AA427" t="s">
        <v>16</v>
      </c>
      <c r="AB427" t="s">
        <v>17</v>
      </c>
      <c r="AC427">
        <v>35</v>
      </c>
      <c r="AD427" t="s">
        <v>44</v>
      </c>
      <c r="BL427">
        <v>15799</v>
      </c>
      <c r="BM427" t="s">
        <v>35</v>
      </c>
      <c r="BN427" t="s">
        <v>37</v>
      </c>
      <c r="BO427" s="4">
        <v>90000</v>
      </c>
      <c r="BP427" s="4">
        <v>90000</v>
      </c>
      <c r="BQ427">
        <v>1</v>
      </c>
      <c r="BR427" t="s">
        <v>21</v>
      </c>
      <c r="BS427" t="s">
        <v>15</v>
      </c>
      <c r="BT427">
        <v>47</v>
      </c>
    </row>
    <row r="428" spans="1:72" x14ac:dyDescent="0.25">
      <c r="A428">
        <v>23571</v>
      </c>
      <c r="B428" t="s">
        <v>35</v>
      </c>
      <c r="C428" t="s">
        <v>37</v>
      </c>
      <c r="D428" s="11">
        <v>40000</v>
      </c>
      <c r="E428">
        <v>2</v>
      </c>
      <c r="F428" t="s">
        <v>13</v>
      </c>
      <c r="G428" t="s">
        <v>28</v>
      </c>
      <c r="H428" t="s">
        <v>15</v>
      </c>
      <c r="I428">
        <v>2</v>
      </c>
      <c r="J428" t="s">
        <v>16</v>
      </c>
      <c r="K428" t="s">
        <v>24</v>
      </c>
      <c r="L428">
        <v>66</v>
      </c>
      <c r="M428" t="str">
        <f t="shared" si="6"/>
        <v>Old</v>
      </c>
      <c r="N428" t="s">
        <v>15</v>
      </c>
      <c r="R428">
        <v>14092</v>
      </c>
      <c r="S428" t="s">
        <v>36</v>
      </c>
      <c r="T428" t="s">
        <v>38</v>
      </c>
      <c r="U428" s="4">
        <v>30000</v>
      </c>
      <c r="V428">
        <v>0</v>
      </c>
      <c r="W428" t="s">
        <v>29</v>
      </c>
      <c r="X428" t="s">
        <v>20</v>
      </c>
      <c r="Y428" t="s">
        <v>15</v>
      </c>
      <c r="Z428">
        <v>2</v>
      </c>
      <c r="AA428" t="s">
        <v>23</v>
      </c>
      <c r="AB428" t="s">
        <v>31</v>
      </c>
      <c r="AC428">
        <v>28</v>
      </c>
      <c r="AD428" t="s">
        <v>43</v>
      </c>
      <c r="BL428">
        <v>29120</v>
      </c>
      <c r="BM428" t="s">
        <v>36</v>
      </c>
      <c r="BN428" t="s">
        <v>37</v>
      </c>
      <c r="BO428" s="4">
        <v>100000</v>
      </c>
      <c r="BP428" s="4">
        <v>100000</v>
      </c>
      <c r="BQ428">
        <v>1</v>
      </c>
      <c r="BR428" t="s">
        <v>28</v>
      </c>
      <c r="BS428" t="s">
        <v>15</v>
      </c>
      <c r="BT428">
        <v>48</v>
      </c>
    </row>
    <row r="429" spans="1:72" x14ac:dyDescent="0.25">
      <c r="A429">
        <v>22988</v>
      </c>
      <c r="B429" t="s">
        <v>35</v>
      </c>
      <c r="C429" t="s">
        <v>37</v>
      </c>
      <c r="D429" s="11">
        <v>40000</v>
      </c>
      <c r="E429">
        <v>2</v>
      </c>
      <c r="F429" t="s">
        <v>13</v>
      </c>
      <c r="G429" t="s">
        <v>28</v>
      </c>
      <c r="H429" t="s">
        <v>15</v>
      </c>
      <c r="I429">
        <v>2</v>
      </c>
      <c r="J429" t="s">
        <v>23</v>
      </c>
      <c r="K429" t="s">
        <v>24</v>
      </c>
      <c r="L429">
        <v>66</v>
      </c>
      <c r="M429" t="str">
        <f t="shared" si="6"/>
        <v>Old</v>
      </c>
      <c r="N429" t="s">
        <v>15</v>
      </c>
      <c r="R429">
        <v>14090</v>
      </c>
      <c r="S429" t="s">
        <v>35</v>
      </c>
      <c r="T429" t="s">
        <v>37</v>
      </c>
      <c r="U429" s="4">
        <v>30000</v>
      </c>
      <c r="V429">
        <v>0</v>
      </c>
      <c r="W429" t="s">
        <v>29</v>
      </c>
      <c r="X429" t="s">
        <v>20</v>
      </c>
      <c r="Y429" t="s">
        <v>18</v>
      </c>
      <c r="Z429">
        <v>2</v>
      </c>
      <c r="AA429" t="s">
        <v>16</v>
      </c>
      <c r="AB429" t="s">
        <v>31</v>
      </c>
      <c r="AC429">
        <v>28</v>
      </c>
      <c r="AD429" t="s">
        <v>43</v>
      </c>
      <c r="BL429">
        <v>29117</v>
      </c>
      <c r="BM429" t="s">
        <v>36</v>
      </c>
      <c r="BN429" t="s">
        <v>38</v>
      </c>
      <c r="BO429" s="4">
        <v>100000</v>
      </c>
      <c r="BP429" s="4">
        <v>100000</v>
      </c>
      <c r="BQ429">
        <v>1</v>
      </c>
      <c r="BR429" t="s">
        <v>28</v>
      </c>
      <c r="BS429" t="s">
        <v>18</v>
      </c>
      <c r="BT429">
        <v>48</v>
      </c>
    </row>
    <row r="430" spans="1:72" x14ac:dyDescent="0.25">
      <c r="A430">
        <v>21717</v>
      </c>
      <c r="B430" t="s">
        <v>35</v>
      </c>
      <c r="C430" t="s">
        <v>38</v>
      </c>
      <c r="D430" s="11">
        <v>40000</v>
      </c>
      <c r="E430">
        <v>2</v>
      </c>
      <c r="F430" t="s">
        <v>19</v>
      </c>
      <c r="G430" t="s">
        <v>20</v>
      </c>
      <c r="H430" t="s">
        <v>15</v>
      </c>
      <c r="I430">
        <v>1</v>
      </c>
      <c r="J430" t="s">
        <v>16</v>
      </c>
      <c r="K430" t="s">
        <v>31</v>
      </c>
      <c r="L430">
        <v>47</v>
      </c>
      <c r="M430" t="str">
        <f t="shared" si="6"/>
        <v>MIddleAge</v>
      </c>
      <c r="N430" t="s">
        <v>18</v>
      </c>
      <c r="R430">
        <v>14077</v>
      </c>
      <c r="S430" t="s">
        <v>36</v>
      </c>
      <c r="T430" t="s">
        <v>38</v>
      </c>
      <c r="U430" s="4">
        <v>30000</v>
      </c>
      <c r="V430">
        <v>0</v>
      </c>
      <c r="W430" t="s">
        <v>27</v>
      </c>
      <c r="X430" t="s">
        <v>14</v>
      </c>
      <c r="Y430" t="s">
        <v>15</v>
      </c>
      <c r="Z430">
        <v>2</v>
      </c>
      <c r="AA430" t="s">
        <v>23</v>
      </c>
      <c r="AB430" t="s">
        <v>31</v>
      </c>
      <c r="AC430">
        <v>30</v>
      </c>
      <c r="AD430" t="s">
        <v>43</v>
      </c>
      <c r="BL430">
        <v>27638</v>
      </c>
      <c r="BM430" t="s">
        <v>36</v>
      </c>
      <c r="BN430" t="s">
        <v>38</v>
      </c>
      <c r="BO430" s="4">
        <v>100000</v>
      </c>
      <c r="BP430" s="4">
        <v>100000</v>
      </c>
      <c r="BQ430">
        <v>1</v>
      </c>
      <c r="BR430" t="s">
        <v>21</v>
      </c>
      <c r="BS430" t="s">
        <v>18</v>
      </c>
      <c r="BT430">
        <v>44</v>
      </c>
    </row>
    <row r="431" spans="1:72" x14ac:dyDescent="0.25">
      <c r="A431">
        <v>20729</v>
      </c>
      <c r="B431" t="s">
        <v>35</v>
      </c>
      <c r="C431" t="s">
        <v>37</v>
      </c>
      <c r="D431" s="11">
        <v>40000</v>
      </c>
      <c r="E431">
        <v>2</v>
      </c>
      <c r="F431" t="s">
        <v>19</v>
      </c>
      <c r="G431" t="s">
        <v>20</v>
      </c>
      <c r="H431" t="s">
        <v>18</v>
      </c>
      <c r="I431">
        <v>1</v>
      </c>
      <c r="J431" t="s">
        <v>16</v>
      </c>
      <c r="K431" t="s">
        <v>17</v>
      </c>
      <c r="L431">
        <v>34</v>
      </c>
      <c r="M431" t="str">
        <f t="shared" si="6"/>
        <v>MIddleAge</v>
      </c>
      <c r="N431" t="s">
        <v>18</v>
      </c>
      <c r="R431">
        <v>13826</v>
      </c>
      <c r="S431" t="s">
        <v>36</v>
      </c>
      <c r="T431" t="s">
        <v>37</v>
      </c>
      <c r="U431" s="4">
        <v>30000</v>
      </c>
      <c r="V431">
        <v>0</v>
      </c>
      <c r="W431" t="s">
        <v>19</v>
      </c>
      <c r="X431" t="s">
        <v>20</v>
      </c>
      <c r="Y431" t="s">
        <v>18</v>
      </c>
      <c r="Z431">
        <v>1</v>
      </c>
      <c r="AA431" t="s">
        <v>16</v>
      </c>
      <c r="AB431" t="s">
        <v>17</v>
      </c>
      <c r="AC431">
        <v>28</v>
      </c>
      <c r="AD431" t="s">
        <v>43</v>
      </c>
      <c r="BL431">
        <v>27637</v>
      </c>
      <c r="BM431" t="s">
        <v>36</v>
      </c>
      <c r="BN431" t="s">
        <v>37</v>
      </c>
      <c r="BO431" s="4">
        <v>100000</v>
      </c>
      <c r="BP431" s="4">
        <v>100000</v>
      </c>
      <c r="BQ431">
        <v>1</v>
      </c>
      <c r="BR431" t="s">
        <v>21</v>
      </c>
      <c r="BS431" t="s">
        <v>18</v>
      </c>
      <c r="BT431">
        <v>44</v>
      </c>
    </row>
    <row r="432" spans="1:72" x14ac:dyDescent="0.25">
      <c r="A432">
        <v>20528</v>
      </c>
      <c r="B432" t="s">
        <v>35</v>
      </c>
      <c r="C432" t="s">
        <v>38</v>
      </c>
      <c r="D432" s="11">
        <v>40000</v>
      </c>
      <c r="E432">
        <v>2</v>
      </c>
      <c r="F432" t="s">
        <v>29</v>
      </c>
      <c r="G432" t="s">
        <v>14</v>
      </c>
      <c r="H432" t="s">
        <v>15</v>
      </c>
      <c r="I432">
        <v>2</v>
      </c>
      <c r="J432" t="s">
        <v>22</v>
      </c>
      <c r="K432" t="s">
        <v>31</v>
      </c>
      <c r="L432">
        <v>55</v>
      </c>
      <c r="M432" t="str">
        <f t="shared" si="6"/>
        <v>Old</v>
      </c>
      <c r="N432" t="s">
        <v>18</v>
      </c>
      <c r="R432">
        <v>13683</v>
      </c>
      <c r="S432" t="s">
        <v>36</v>
      </c>
      <c r="T432" t="s">
        <v>37</v>
      </c>
      <c r="U432" s="4">
        <v>30000</v>
      </c>
      <c r="V432">
        <v>0</v>
      </c>
      <c r="W432" t="s">
        <v>27</v>
      </c>
      <c r="X432" t="s">
        <v>25</v>
      </c>
      <c r="Y432" t="s">
        <v>18</v>
      </c>
      <c r="Z432">
        <v>1</v>
      </c>
      <c r="AA432" t="s">
        <v>22</v>
      </c>
      <c r="AB432" t="s">
        <v>17</v>
      </c>
      <c r="AC432">
        <v>32</v>
      </c>
      <c r="AD432" t="s">
        <v>44</v>
      </c>
      <c r="BL432">
        <v>25058</v>
      </c>
      <c r="BM432" t="s">
        <v>35</v>
      </c>
      <c r="BN432" t="s">
        <v>38</v>
      </c>
      <c r="BO432" s="4">
        <v>100000</v>
      </c>
      <c r="BP432" s="4">
        <v>100000</v>
      </c>
      <c r="BQ432">
        <v>1</v>
      </c>
      <c r="BR432" t="s">
        <v>28</v>
      </c>
      <c r="BS432" t="s">
        <v>15</v>
      </c>
      <c r="BT432">
        <v>47</v>
      </c>
    </row>
    <row r="433" spans="1:72" x14ac:dyDescent="0.25">
      <c r="A433">
        <v>20053</v>
      </c>
      <c r="B433" t="s">
        <v>36</v>
      </c>
      <c r="C433" t="s">
        <v>38</v>
      </c>
      <c r="D433" s="11">
        <v>40000</v>
      </c>
      <c r="E433">
        <v>2</v>
      </c>
      <c r="F433" t="s">
        <v>19</v>
      </c>
      <c r="G433" t="s">
        <v>20</v>
      </c>
      <c r="H433" t="s">
        <v>15</v>
      </c>
      <c r="I433">
        <v>0</v>
      </c>
      <c r="J433" t="s">
        <v>16</v>
      </c>
      <c r="K433" t="s">
        <v>17</v>
      </c>
      <c r="L433">
        <v>34</v>
      </c>
      <c r="M433" t="str">
        <f t="shared" si="6"/>
        <v>MIddleAge</v>
      </c>
      <c r="N433" t="s">
        <v>18</v>
      </c>
      <c r="R433">
        <v>12871</v>
      </c>
      <c r="S433" t="s">
        <v>36</v>
      </c>
      <c r="T433" t="s">
        <v>37</v>
      </c>
      <c r="U433" s="4">
        <v>30000</v>
      </c>
      <c r="V433">
        <v>0</v>
      </c>
      <c r="W433" t="s">
        <v>19</v>
      </c>
      <c r="X433" t="s">
        <v>20</v>
      </c>
      <c r="Y433" t="s">
        <v>18</v>
      </c>
      <c r="Z433">
        <v>1</v>
      </c>
      <c r="AA433" t="s">
        <v>22</v>
      </c>
      <c r="AB433" t="s">
        <v>17</v>
      </c>
      <c r="AC433">
        <v>29</v>
      </c>
      <c r="AD433" t="s">
        <v>43</v>
      </c>
      <c r="BL433">
        <v>24305</v>
      </c>
      <c r="BM433" t="s">
        <v>36</v>
      </c>
      <c r="BN433" t="s">
        <v>38</v>
      </c>
      <c r="BO433" s="4">
        <v>100000</v>
      </c>
      <c r="BP433" s="4">
        <v>100000</v>
      </c>
      <c r="BQ433">
        <v>1</v>
      </c>
      <c r="BR433" t="s">
        <v>28</v>
      </c>
      <c r="BS433" t="s">
        <v>18</v>
      </c>
      <c r="BT433">
        <v>46</v>
      </c>
    </row>
    <row r="434" spans="1:72" x14ac:dyDescent="0.25">
      <c r="A434">
        <v>19228</v>
      </c>
      <c r="B434" t="s">
        <v>35</v>
      </c>
      <c r="C434" t="s">
        <v>37</v>
      </c>
      <c r="D434" s="11">
        <v>40000</v>
      </c>
      <c r="E434">
        <v>2</v>
      </c>
      <c r="F434" t="s">
        <v>19</v>
      </c>
      <c r="G434" t="s">
        <v>20</v>
      </c>
      <c r="H434" t="s">
        <v>15</v>
      </c>
      <c r="I434">
        <v>1</v>
      </c>
      <c r="J434" t="s">
        <v>16</v>
      </c>
      <c r="K434" t="s">
        <v>31</v>
      </c>
      <c r="L434">
        <v>48</v>
      </c>
      <c r="M434" t="str">
        <f t="shared" si="6"/>
        <v>MIddleAge</v>
      </c>
      <c r="N434" t="s">
        <v>18</v>
      </c>
      <c r="R434">
        <v>12716</v>
      </c>
      <c r="S434" t="s">
        <v>36</v>
      </c>
      <c r="T434" t="s">
        <v>38</v>
      </c>
      <c r="U434" s="4">
        <v>30000</v>
      </c>
      <c r="V434">
        <v>0</v>
      </c>
      <c r="W434" t="s">
        <v>19</v>
      </c>
      <c r="X434" t="s">
        <v>20</v>
      </c>
      <c r="Y434" t="s">
        <v>15</v>
      </c>
      <c r="Z434">
        <v>1</v>
      </c>
      <c r="AA434" t="s">
        <v>22</v>
      </c>
      <c r="AB434" t="s">
        <v>17</v>
      </c>
      <c r="AC434">
        <v>32</v>
      </c>
      <c r="AD434" t="s">
        <v>44</v>
      </c>
      <c r="BL434">
        <v>13415</v>
      </c>
      <c r="BM434" t="s">
        <v>36</v>
      </c>
      <c r="BN434" t="s">
        <v>38</v>
      </c>
      <c r="BO434" s="4">
        <v>100000</v>
      </c>
      <c r="BP434" s="4">
        <v>100000</v>
      </c>
      <c r="BQ434">
        <v>1</v>
      </c>
      <c r="BR434" t="s">
        <v>28</v>
      </c>
      <c r="BS434" t="s">
        <v>15</v>
      </c>
      <c r="BT434">
        <v>73</v>
      </c>
    </row>
    <row r="435" spans="1:72" x14ac:dyDescent="0.25">
      <c r="A435">
        <v>19193</v>
      </c>
      <c r="B435" t="s">
        <v>36</v>
      </c>
      <c r="C435" t="s">
        <v>38</v>
      </c>
      <c r="D435" s="11">
        <v>40000</v>
      </c>
      <c r="E435">
        <v>2</v>
      </c>
      <c r="F435" t="s">
        <v>19</v>
      </c>
      <c r="G435" t="s">
        <v>20</v>
      </c>
      <c r="H435" t="s">
        <v>15</v>
      </c>
      <c r="I435">
        <v>0</v>
      </c>
      <c r="J435" t="s">
        <v>26</v>
      </c>
      <c r="K435" t="s">
        <v>17</v>
      </c>
      <c r="L435">
        <v>35</v>
      </c>
      <c r="M435" t="str">
        <f t="shared" si="6"/>
        <v>MIddleAge</v>
      </c>
      <c r="N435" t="s">
        <v>15</v>
      </c>
      <c r="R435">
        <v>12284</v>
      </c>
      <c r="S435" t="s">
        <v>35</v>
      </c>
      <c r="T435" t="s">
        <v>37</v>
      </c>
      <c r="U435" s="4">
        <v>30000</v>
      </c>
      <c r="V435">
        <v>0</v>
      </c>
      <c r="W435" t="s">
        <v>13</v>
      </c>
      <c r="X435" t="s">
        <v>20</v>
      </c>
      <c r="Y435" t="s">
        <v>18</v>
      </c>
      <c r="Z435">
        <v>0</v>
      </c>
      <c r="AA435" t="s">
        <v>16</v>
      </c>
      <c r="AB435" t="s">
        <v>17</v>
      </c>
      <c r="AC435">
        <v>36</v>
      </c>
      <c r="AD435" t="s">
        <v>44</v>
      </c>
      <c r="BL435">
        <v>11896</v>
      </c>
      <c r="BM435" t="s">
        <v>35</v>
      </c>
      <c r="BN435" t="s">
        <v>38</v>
      </c>
      <c r="BO435" s="4">
        <v>100000</v>
      </c>
      <c r="BP435" s="4">
        <v>100000</v>
      </c>
      <c r="BQ435">
        <v>1</v>
      </c>
      <c r="BR435" t="s">
        <v>28</v>
      </c>
      <c r="BS435" t="s">
        <v>15</v>
      </c>
      <c r="BT435">
        <v>36</v>
      </c>
    </row>
    <row r="436" spans="1:72" x14ac:dyDescent="0.25">
      <c r="A436">
        <v>18626</v>
      </c>
      <c r="B436" t="s">
        <v>36</v>
      </c>
      <c r="C436" t="s">
        <v>38</v>
      </c>
      <c r="D436" s="11">
        <v>40000</v>
      </c>
      <c r="E436">
        <v>2</v>
      </c>
      <c r="F436" t="s">
        <v>19</v>
      </c>
      <c r="G436" t="s">
        <v>20</v>
      </c>
      <c r="H436" t="s">
        <v>15</v>
      </c>
      <c r="I436">
        <v>0</v>
      </c>
      <c r="J436" t="s">
        <v>26</v>
      </c>
      <c r="K436" t="s">
        <v>17</v>
      </c>
      <c r="L436">
        <v>33</v>
      </c>
      <c r="M436" t="str">
        <f t="shared" si="6"/>
        <v>MIddleAge</v>
      </c>
      <c r="N436" t="s">
        <v>15</v>
      </c>
      <c r="R436">
        <v>29052</v>
      </c>
      <c r="S436" t="s">
        <v>36</v>
      </c>
      <c r="T436" t="s">
        <v>38</v>
      </c>
      <c r="U436" s="4">
        <v>40000</v>
      </c>
      <c r="V436">
        <v>0</v>
      </c>
      <c r="W436" t="s">
        <v>19</v>
      </c>
      <c r="X436" t="s">
        <v>14</v>
      </c>
      <c r="Y436" t="s">
        <v>15</v>
      </c>
      <c r="Z436">
        <v>1</v>
      </c>
      <c r="AA436" t="s">
        <v>23</v>
      </c>
      <c r="AB436" t="s">
        <v>31</v>
      </c>
      <c r="AC436">
        <v>27</v>
      </c>
      <c r="AD436" t="s">
        <v>43</v>
      </c>
      <c r="BL436">
        <v>29243</v>
      </c>
      <c r="BM436" t="s">
        <v>36</v>
      </c>
      <c r="BN436" t="s">
        <v>38</v>
      </c>
      <c r="BO436" s="4">
        <v>110000</v>
      </c>
      <c r="BP436" s="4">
        <v>110000</v>
      </c>
      <c r="BQ436">
        <v>1</v>
      </c>
      <c r="BR436" t="s">
        <v>28</v>
      </c>
      <c r="BS436" t="s">
        <v>15</v>
      </c>
      <c r="BT436">
        <v>43</v>
      </c>
    </row>
    <row r="437" spans="1:72" x14ac:dyDescent="0.25">
      <c r="A437">
        <v>17650</v>
      </c>
      <c r="B437" t="s">
        <v>36</v>
      </c>
      <c r="C437" t="s">
        <v>37</v>
      </c>
      <c r="D437" s="11">
        <v>40000</v>
      </c>
      <c r="E437">
        <v>2</v>
      </c>
      <c r="F437" t="s">
        <v>19</v>
      </c>
      <c r="G437" t="s">
        <v>20</v>
      </c>
      <c r="H437" t="s">
        <v>15</v>
      </c>
      <c r="I437">
        <v>2</v>
      </c>
      <c r="J437" t="s">
        <v>26</v>
      </c>
      <c r="K437" t="s">
        <v>17</v>
      </c>
      <c r="L437">
        <v>35</v>
      </c>
      <c r="M437" t="str">
        <f t="shared" si="6"/>
        <v>MIddleAge</v>
      </c>
      <c r="N437" t="s">
        <v>18</v>
      </c>
      <c r="R437">
        <v>28090</v>
      </c>
      <c r="S437" t="s">
        <v>35</v>
      </c>
      <c r="T437" t="s">
        <v>38</v>
      </c>
      <c r="U437" s="4">
        <v>40000</v>
      </c>
      <c r="V437">
        <v>0</v>
      </c>
      <c r="W437" t="s">
        <v>19</v>
      </c>
      <c r="X437" t="s">
        <v>14</v>
      </c>
      <c r="Y437" t="s">
        <v>15</v>
      </c>
      <c r="Z437">
        <v>1</v>
      </c>
      <c r="AA437" t="s">
        <v>23</v>
      </c>
      <c r="AB437" t="s">
        <v>31</v>
      </c>
      <c r="AC437">
        <v>27</v>
      </c>
      <c r="AD437" t="s">
        <v>43</v>
      </c>
      <c r="BL437">
        <v>25184</v>
      </c>
      <c r="BM437" t="s">
        <v>36</v>
      </c>
      <c r="BN437" t="s">
        <v>38</v>
      </c>
      <c r="BO437" s="4">
        <v>110000</v>
      </c>
      <c r="BP437" s="4">
        <v>110000</v>
      </c>
      <c r="BQ437">
        <v>1</v>
      </c>
      <c r="BR437" t="s">
        <v>21</v>
      </c>
      <c r="BS437" t="s">
        <v>15</v>
      </c>
      <c r="BT437">
        <v>45</v>
      </c>
    </row>
    <row r="438" spans="1:72" x14ac:dyDescent="0.25">
      <c r="A438">
        <v>16713</v>
      </c>
      <c r="B438" t="s">
        <v>35</v>
      </c>
      <c r="C438" t="s">
        <v>38</v>
      </c>
      <c r="D438" s="11">
        <v>40000</v>
      </c>
      <c r="E438">
        <v>2</v>
      </c>
      <c r="F438" t="s">
        <v>13</v>
      </c>
      <c r="G438" t="s">
        <v>28</v>
      </c>
      <c r="H438" t="s">
        <v>15</v>
      </c>
      <c r="I438">
        <v>1</v>
      </c>
      <c r="J438" t="s">
        <v>16</v>
      </c>
      <c r="K438" t="s">
        <v>24</v>
      </c>
      <c r="L438">
        <v>52</v>
      </c>
      <c r="M438" t="str">
        <f t="shared" si="6"/>
        <v>MIddleAge</v>
      </c>
      <c r="N438" t="s">
        <v>15</v>
      </c>
      <c r="R438">
        <v>28087</v>
      </c>
      <c r="S438" t="s">
        <v>36</v>
      </c>
      <c r="T438" t="s">
        <v>37</v>
      </c>
      <c r="U438" s="4">
        <v>40000</v>
      </c>
      <c r="V438">
        <v>0</v>
      </c>
      <c r="W438" t="s">
        <v>19</v>
      </c>
      <c r="X438" t="s">
        <v>14</v>
      </c>
      <c r="Y438" t="s">
        <v>18</v>
      </c>
      <c r="Z438">
        <v>1</v>
      </c>
      <c r="AA438" t="s">
        <v>26</v>
      </c>
      <c r="AB438" t="s">
        <v>31</v>
      </c>
      <c r="AC438">
        <v>27</v>
      </c>
      <c r="AD438" t="s">
        <v>43</v>
      </c>
      <c r="BL438">
        <v>15382</v>
      </c>
      <c r="BM438" t="s">
        <v>35</v>
      </c>
      <c r="BN438" t="s">
        <v>37</v>
      </c>
      <c r="BO438" s="4">
        <v>110000</v>
      </c>
      <c r="BP438" s="4">
        <v>110000</v>
      </c>
      <c r="BQ438">
        <v>1</v>
      </c>
      <c r="BR438" t="s">
        <v>28</v>
      </c>
      <c r="BS438" t="s">
        <v>15</v>
      </c>
      <c r="BT438">
        <v>44</v>
      </c>
    </row>
    <row r="439" spans="1:72" x14ac:dyDescent="0.25">
      <c r="A439">
        <v>15822</v>
      </c>
      <c r="B439" t="s">
        <v>35</v>
      </c>
      <c r="C439" t="s">
        <v>38</v>
      </c>
      <c r="D439" s="11">
        <v>40000</v>
      </c>
      <c r="E439">
        <v>2</v>
      </c>
      <c r="F439" t="s">
        <v>13</v>
      </c>
      <c r="G439" t="s">
        <v>28</v>
      </c>
      <c r="H439" t="s">
        <v>15</v>
      </c>
      <c r="I439">
        <v>2</v>
      </c>
      <c r="J439" t="s">
        <v>16</v>
      </c>
      <c r="K439" t="s">
        <v>24</v>
      </c>
      <c r="L439">
        <v>67</v>
      </c>
      <c r="M439" t="str">
        <f t="shared" si="6"/>
        <v>Old</v>
      </c>
      <c r="N439" t="s">
        <v>18</v>
      </c>
      <c r="R439">
        <v>27775</v>
      </c>
      <c r="S439" t="s">
        <v>36</v>
      </c>
      <c r="T439" t="s">
        <v>37</v>
      </c>
      <c r="U439" s="4">
        <v>40000</v>
      </c>
      <c r="V439">
        <v>0</v>
      </c>
      <c r="W439" t="s">
        <v>13</v>
      </c>
      <c r="X439" t="s">
        <v>20</v>
      </c>
      <c r="Y439" t="s">
        <v>18</v>
      </c>
      <c r="Z439">
        <v>0</v>
      </c>
      <c r="AA439" t="s">
        <v>16</v>
      </c>
      <c r="AB439" t="s">
        <v>17</v>
      </c>
      <c r="AC439">
        <v>38</v>
      </c>
      <c r="AD439" t="s">
        <v>44</v>
      </c>
      <c r="BL439">
        <v>13296</v>
      </c>
      <c r="BM439" t="s">
        <v>35</v>
      </c>
      <c r="BN439" t="s">
        <v>38</v>
      </c>
      <c r="BO439" s="4">
        <v>110000</v>
      </c>
      <c r="BP439" s="4">
        <v>110000</v>
      </c>
      <c r="BQ439">
        <v>1</v>
      </c>
      <c r="BR439" t="s">
        <v>28</v>
      </c>
      <c r="BS439" t="s">
        <v>15</v>
      </c>
      <c r="BT439">
        <v>45</v>
      </c>
    </row>
    <row r="440" spans="1:72" x14ac:dyDescent="0.25">
      <c r="A440">
        <v>15265</v>
      </c>
      <c r="B440" t="s">
        <v>36</v>
      </c>
      <c r="C440" t="s">
        <v>38</v>
      </c>
      <c r="D440" s="11">
        <v>40000</v>
      </c>
      <c r="E440">
        <v>2</v>
      </c>
      <c r="F440" t="s">
        <v>13</v>
      </c>
      <c r="G440" t="s">
        <v>28</v>
      </c>
      <c r="H440" t="s">
        <v>15</v>
      </c>
      <c r="I440">
        <v>2</v>
      </c>
      <c r="J440" t="s">
        <v>23</v>
      </c>
      <c r="K440" t="s">
        <v>24</v>
      </c>
      <c r="L440">
        <v>66</v>
      </c>
      <c r="M440" t="str">
        <f t="shared" si="6"/>
        <v>Old</v>
      </c>
      <c r="N440" t="s">
        <v>15</v>
      </c>
      <c r="R440">
        <v>27760</v>
      </c>
      <c r="S440" t="s">
        <v>36</v>
      </c>
      <c r="T440" t="s">
        <v>37</v>
      </c>
      <c r="U440" s="4">
        <v>40000</v>
      </c>
      <c r="V440">
        <v>0</v>
      </c>
      <c r="W440" t="s">
        <v>30</v>
      </c>
      <c r="X440" t="s">
        <v>20</v>
      </c>
      <c r="Y440" t="s">
        <v>18</v>
      </c>
      <c r="Z440">
        <v>0</v>
      </c>
      <c r="AA440" t="s">
        <v>16</v>
      </c>
      <c r="AB440" t="s">
        <v>17</v>
      </c>
      <c r="AC440">
        <v>37</v>
      </c>
      <c r="AD440" t="s">
        <v>44</v>
      </c>
      <c r="BL440">
        <v>16917</v>
      </c>
      <c r="BM440" t="s">
        <v>35</v>
      </c>
      <c r="BN440" t="s">
        <v>38</v>
      </c>
      <c r="BO440" s="4">
        <v>120000</v>
      </c>
      <c r="BP440" s="4">
        <v>120000</v>
      </c>
      <c r="BQ440">
        <v>1</v>
      </c>
      <c r="BR440" t="s">
        <v>28</v>
      </c>
      <c r="BS440" t="s">
        <v>15</v>
      </c>
      <c r="BT440">
        <v>38</v>
      </c>
    </row>
    <row r="441" spans="1:72" x14ac:dyDescent="0.25">
      <c r="A441">
        <v>14865</v>
      </c>
      <c r="B441" t="s">
        <v>36</v>
      </c>
      <c r="C441" t="s">
        <v>38</v>
      </c>
      <c r="D441" s="11">
        <v>40000</v>
      </c>
      <c r="E441">
        <v>2</v>
      </c>
      <c r="F441" t="s">
        <v>19</v>
      </c>
      <c r="G441" t="s">
        <v>20</v>
      </c>
      <c r="H441" t="s">
        <v>15</v>
      </c>
      <c r="I441">
        <v>2</v>
      </c>
      <c r="J441" t="s">
        <v>26</v>
      </c>
      <c r="K441" t="s">
        <v>17</v>
      </c>
      <c r="L441">
        <v>36</v>
      </c>
      <c r="M441" t="str">
        <f t="shared" si="6"/>
        <v>MIddleAge</v>
      </c>
      <c r="N441" t="s">
        <v>18</v>
      </c>
      <c r="R441">
        <v>27731</v>
      </c>
      <c r="S441" t="s">
        <v>35</v>
      </c>
      <c r="T441" t="s">
        <v>38</v>
      </c>
      <c r="U441" s="4">
        <v>40000</v>
      </c>
      <c r="V441">
        <v>0</v>
      </c>
      <c r="W441" t="s">
        <v>27</v>
      </c>
      <c r="X441" t="s">
        <v>14</v>
      </c>
      <c r="Y441" t="s">
        <v>15</v>
      </c>
      <c r="Z441">
        <v>2</v>
      </c>
      <c r="AA441" t="s">
        <v>23</v>
      </c>
      <c r="AB441" t="s">
        <v>31</v>
      </c>
      <c r="AC441">
        <v>27</v>
      </c>
      <c r="AD441" t="s">
        <v>43</v>
      </c>
      <c r="BL441">
        <v>13314</v>
      </c>
      <c r="BM441" t="s">
        <v>35</v>
      </c>
      <c r="BN441" t="s">
        <v>38</v>
      </c>
      <c r="BO441" s="4">
        <v>120000</v>
      </c>
      <c r="BP441" s="4">
        <v>120000</v>
      </c>
      <c r="BQ441">
        <v>1</v>
      </c>
      <c r="BR441" t="s">
        <v>21</v>
      </c>
      <c r="BS441" t="s">
        <v>15</v>
      </c>
      <c r="BT441">
        <v>46</v>
      </c>
    </row>
    <row r="442" spans="1:72" x14ac:dyDescent="0.25">
      <c r="A442">
        <v>14347</v>
      </c>
      <c r="B442" t="s">
        <v>36</v>
      </c>
      <c r="C442" t="s">
        <v>37</v>
      </c>
      <c r="D442" s="11">
        <v>40000</v>
      </c>
      <c r="E442">
        <v>2</v>
      </c>
      <c r="F442" t="s">
        <v>13</v>
      </c>
      <c r="G442" t="s">
        <v>28</v>
      </c>
      <c r="H442" t="s">
        <v>15</v>
      </c>
      <c r="I442">
        <v>2</v>
      </c>
      <c r="J442" t="s">
        <v>23</v>
      </c>
      <c r="K442" t="s">
        <v>24</v>
      </c>
      <c r="L442">
        <v>65</v>
      </c>
      <c r="M442" t="str">
        <f t="shared" si="6"/>
        <v>Old</v>
      </c>
      <c r="N442" t="s">
        <v>15</v>
      </c>
      <c r="R442">
        <v>26575</v>
      </c>
      <c r="S442" t="s">
        <v>36</v>
      </c>
      <c r="T442" t="s">
        <v>37</v>
      </c>
      <c r="U442" s="4">
        <v>40000</v>
      </c>
      <c r="V442">
        <v>0</v>
      </c>
      <c r="W442" t="s">
        <v>27</v>
      </c>
      <c r="X442" t="s">
        <v>14</v>
      </c>
      <c r="Y442" t="s">
        <v>18</v>
      </c>
      <c r="Z442">
        <v>2</v>
      </c>
      <c r="AA442" t="s">
        <v>26</v>
      </c>
      <c r="AB442" t="s">
        <v>31</v>
      </c>
      <c r="AC442">
        <v>31</v>
      </c>
      <c r="AD442" t="s">
        <v>44</v>
      </c>
      <c r="BL442">
        <v>13313</v>
      </c>
      <c r="BM442" t="s">
        <v>35</v>
      </c>
      <c r="BN442" t="s">
        <v>37</v>
      </c>
      <c r="BO442" s="4">
        <v>120000</v>
      </c>
      <c r="BP442" s="4">
        <v>120000</v>
      </c>
      <c r="BQ442">
        <v>1</v>
      </c>
      <c r="BR442" t="s">
        <v>21</v>
      </c>
      <c r="BS442" t="s">
        <v>18</v>
      </c>
      <c r="BT442">
        <v>45</v>
      </c>
    </row>
    <row r="443" spans="1:72" x14ac:dyDescent="0.25">
      <c r="A443">
        <v>12744</v>
      </c>
      <c r="B443" t="s">
        <v>36</v>
      </c>
      <c r="C443" t="s">
        <v>37</v>
      </c>
      <c r="D443" s="11">
        <v>40000</v>
      </c>
      <c r="E443">
        <v>2</v>
      </c>
      <c r="F443" t="s">
        <v>19</v>
      </c>
      <c r="G443" t="s">
        <v>20</v>
      </c>
      <c r="H443" t="s">
        <v>15</v>
      </c>
      <c r="I443">
        <v>0</v>
      </c>
      <c r="J443" t="s">
        <v>16</v>
      </c>
      <c r="K443" t="s">
        <v>17</v>
      </c>
      <c r="L443">
        <v>33</v>
      </c>
      <c r="M443" t="str">
        <f t="shared" si="6"/>
        <v>MIddleAge</v>
      </c>
      <c r="N443" t="s">
        <v>18</v>
      </c>
      <c r="R443">
        <v>25261</v>
      </c>
      <c r="S443" t="s">
        <v>35</v>
      </c>
      <c r="T443" t="s">
        <v>38</v>
      </c>
      <c r="U443" s="4">
        <v>40000</v>
      </c>
      <c r="V443">
        <v>0</v>
      </c>
      <c r="W443" t="s">
        <v>27</v>
      </c>
      <c r="X443" t="s">
        <v>14</v>
      </c>
      <c r="Y443" t="s">
        <v>15</v>
      </c>
      <c r="Z443">
        <v>2</v>
      </c>
      <c r="AA443" t="s">
        <v>23</v>
      </c>
      <c r="AB443" t="s">
        <v>31</v>
      </c>
      <c r="AC443">
        <v>27</v>
      </c>
      <c r="AD443" t="s">
        <v>43</v>
      </c>
      <c r="BL443">
        <v>13089</v>
      </c>
      <c r="BM443" t="s">
        <v>35</v>
      </c>
      <c r="BN443" t="s">
        <v>37</v>
      </c>
      <c r="BO443" s="4">
        <v>120000</v>
      </c>
      <c r="BP443" s="4">
        <v>120000</v>
      </c>
      <c r="BQ443">
        <v>1</v>
      </c>
      <c r="BR443" t="s">
        <v>28</v>
      </c>
      <c r="BS443" t="s">
        <v>15</v>
      </c>
      <c r="BT443">
        <v>46</v>
      </c>
    </row>
    <row r="444" spans="1:72" x14ac:dyDescent="0.25">
      <c r="A444">
        <v>11644</v>
      </c>
      <c r="B444" t="s">
        <v>36</v>
      </c>
      <c r="C444" t="s">
        <v>38</v>
      </c>
      <c r="D444" s="11">
        <v>40000</v>
      </c>
      <c r="E444">
        <v>2</v>
      </c>
      <c r="F444" t="s">
        <v>13</v>
      </c>
      <c r="G444" t="s">
        <v>14</v>
      </c>
      <c r="H444" t="s">
        <v>15</v>
      </c>
      <c r="I444">
        <v>0</v>
      </c>
      <c r="J444" t="s">
        <v>22</v>
      </c>
      <c r="K444" t="s">
        <v>31</v>
      </c>
      <c r="L444">
        <v>36</v>
      </c>
      <c r="M444" t="str">
        <f t="shared" si="6"/>
        <v>MIddleAge</v>
      </c>
      <c r="N444" t="s">
        <v>18</v>
      </c>
      <c r="R444">
        <v>25041</v>
      </c>
      <c r="S444" t="s">
        <v>36</v>
      </c>
      <c r="T444" t="s">
        <v>38</v>
      </c>
      <c r="U444" s="4">
        <v>40000</v>
      </c>
      <c r="V444">
        <v>0</v>
      </c>
      <c r="W444" t="s">
        <v>27</v>
      </c>
      <c r="X444" t="s">
        <v>14</v>
      </c>
      <c r="Y444" t="s">
        <v>15</v>
      </c>
      <c r="Z444">
        <v>2</v>
      </c>
      <c r="AA444" t="s">
        <v>23</v>
      </c>
      <c r="AB444" t="s">
        <v>31</v>
      </c>
      <c r="AC444">
        <v>31</v>
      </c>
      <c r="AD444" t="s">
        <v>44</v>
      </c>
      <c r="BL444">
        <v>29191</v>
      </c>
      <c r="BM444" t="s">
        <v>36</v>
      </c>
      <c r="BN444" t="s">
        <v>37</v>
      </c>
      <c r="BO444" s="4">
        <v>130000</v>
      </c>
      <c r="BP444" s="4">
        <v>130000</v>
      </c>
      <c r="BQ444">
        <v>1</v>
      </c>
      <c r="BR444" t="s">
        <v>28</v>
      </c>
      <c r="BS444" t="s">
        <v>18</v>
      </c>
      <c r="BT444">
        <v>36</v>
      </c>
    </row>
    <row r="445" spans="1:72" x14ac:dyDescent="0.25">
      <c r="A445">
        <v>11149</v>
      </c>
      <c r="B445" t="s">
        <v>35</v>
      </c>
      <c r="C445" t="s">
        <v>38</v>
      </c>
      <c r="D445" s="11">
        <v>40000</v>
      </c>
      <c r="E445">
        <v>2</v>
      </c>
      <c r="F445" t="s">
        <v>13</v>
      </c>
      <c r="G445" t="s">
        <v>28</v>
      </c>
      <c r="H445" t="s">
        <v>15</v>
      </c>
      <c r="I445">
        <v>2</v>
      </c>
      <c r="J445" t="s">
        <v>16</v>
      </c>
      <c r="K445" t="s">
        <v>24</v>
      </c>
      <c r="L445">
        <v>65</v>
      </c>
      <c r="M445" t="str">
        <f t="shared" si="6"/>
        <v>Old</v>
      </c>
      <c r="N445" t="s">
        <v>18</v>
      </c>
      <c r="R445">
        <v>24514</v>
      </c>
      <c r="S445" t="s">
        <v>35</v>
      </c>
      <c r="T445" t="s">
        <v>38</v>
      </c>
      <c r="U445" s="4">
        <v>40000</v>
      </c>
      <c r="V445">
        <v>0</v>
      </c>
      <c r="W445" t="s">
        <v>19</v>
      </c>
      <c r="X445" t="s">
        <v>14</v>
      </c>
      <c r="Y445" t="s">
        <v>15</v>
      </c>
      <c r="Z445">
        <v>1</v>
      </c>
      <c r="AA445" t="s">
        <v>23</v>
      </c>
      <c r="AB445" t="s">
        <v>31</v>
      </c>
      <c r="AC445">
        <v>30</v>
      </c>
      <c r="AD445" t="s">
        <v>43</v>
      </c>
      <c r="BL445">
        <v>28269</v>
      </c>
      <c r="BM445" t="s">
        <v>36</v>
      </c>
      <c r="BN445" t="s">
        <v>37</v>
      </c>
      <c r="BO445" s="4">
        <v>130000</v>
      </c>
      <c r="BP445" s="4">
        <v>130000</v>
      </c>
      <c r="BQ445">
        <v>1</v>
      </c>
      <c r="BR445" t="s">
        <v>28</v>
      </c>
      <c r="BS445" t="s">
        <v>18</v>
      </c>
      <c r="BT445">
        <v>45</v>
      </c>
    </row>
    <row r="446" spans="1:72" x14ac:dyDescent="0.25">
      <c r="A446">
        <v>28278</v>
      </c>
      <c r="B446" t="s">
        <v>35</v>
      </c>
      <c r="C446" t="s">
        <v>38</v>
      </c>
      <c r="D446" s="11">
        <v>50000</v>
      </c>
      <c r="E446">
        <v>2</v>
      </c>
      <c r="F446" t="s">
        <v>30</v>
      </c>
      <c r="G446" t="s">
        <v>28</v>
      </c>
      <c r="H446" t="s">
        <v>15</v>
      </c>
      <c r="I446">
        <v>2</v>
      </c>
      <c r="J446" t="s">
        <v>23</v>
      </c>
      <c r="K446" t="s">
        <v>31</v>
      </c>
      <c r="L446">
        <v>71</v>
      </c>
      <c r="M446" t="str">
        <f t="shared" si="6"/>
        <v>Old</v>
      </c>
      <c r="N446" t="s">
        <v>18</v>
      </c>
      <c r="R446">
        <v>24496</v>
      </c>
      <c r="S446" t="s">
        <v>36</v>
      </c>
      <c r="T446" t="s">
        <v>37</v>
      </c>
      <c r="U446" s="4">
        <v>40000</v>
      </c>
      <c r="V446">
        <v>0</v>
      </c>
      <c r="W446" t="s">
        <v>27</v>
      </c>
      <c r="X446" t="s">
        <v>14</v>
      </c>
      <c r="Y446" t="s">
        <v>18</v>
      </c>
      <c r="Z446">
        <v>2</v>
      </c>
      <c r="AA446" t="s">
        <v>16</v>
      </c>
      <c r="AB446" t="s">
        <v>31</v>
      </c>
      <c r="AC446">
        <v>28</v>
      </c>
      <c r="AD446" t="s">
        <v>43</v>
      </c>
      <c r="BL446">
        <v>24398</v>
      </c>
      <c r="BM446" t="s">
        <v>35</v>
      </c>
      <c r="BN446" t="s">
        <v>38</v>
      </c>
      <c r="BO446" s="4">
        <v>130000</v>
      </c>
      <c r="BP446" s="4">
        <v>130000</v>
      </c>
      <c r="BQ446">
        <v>1</v>
      </c>
      <c r="BR446" t="s">
        <v>28</v>
      </c>
      <c r="BS446" t="s">
        <v>15</v>
      </c>
      <c r="BT446">
        <v>41</v>
      </c>
    </row>
    <row r="447" spans="1:72" x14ac:dyDescent="0.25">
      <c r="A447">
        <v>25419</v>
      </c>
      <c r="B447" t="s">
        <v>36</v>
      </c>
      <c r="C447" t="s">
        <v>38</v>
      </c>
      <c r="D447" s="11">
        <v>50000</v>
      </c>
      <c r="E447">
        <v>2</v>
      </c>
      <c r="F447" t="s">
        <v>13</v>
      </c>
      <c r="G447" t="s">
        <v>14</v>
      </c>
      <c r="H447" t="s">
        <v>18</v>
      </c>
      <c r="I447">
        <v>1</v>
      </c>
      <c r="J447" t="s">
        <v>16</v>
      </c>
      <c r="K447" t="s">
        <v>31</v>
      </c>
      <c r="L447">
        <v>38</v>
      </c>
      <c r="M447" t="str">
        <f t="shared" si="6"/>
        <v>MIddleAge</v>
      </c>
      <c r="N447" t="s">
        <v>15</v>
      </c>
      <c r="R447">
        <v>23089</v>
      </c>
      <c r="S447" t="s">
        <v>35</v>
      </c>
      <c r="T447" t="s">
        <v>38</v>
      </c>
      <c r="U447" s="4">
        <v>40000</v>
      </c>
      <c r="V447">
        <v>0</v>
      </c>
      <c r="W447" t="s">
        <v>19</v>
      </c>
      <c r="X447" t="s">
        <v>14</v>
      </c>
      <c r="Y447" t="s">
        <v>15</v>
      </c>
      <c r="Z447">
        <v>1</v>
      </c>
      <c r="AA447" t="s">
        <v>23</v>
      </c>
      <c r="AB447" t="s">
        <v>31</v>
      </c>
      <c r="AC447">
        <v>28</v>
      </c>
      <c r="AD447" t="s">
        <v>43</v>
      </c>
      <c r="BL447">
        <v>23027</v>
      </c>
      <c r="BM447" t="s">
        <v>36</v>
      </c>
      <c r="BN447" t="s">
        <v>38</v>
      </c>
      <c r="BO447" s="4">
        <v>130000</v>
      </c>
      <c r="BP447" s="4">
        <v>130000</v>
      </c>
      <c r="BQ447">
        <v>1</v>
      </c>
      <c r="BR447" t="s">
        <v>28</v>
      </c>
      <c r="BS447" t="s">
        <v>18</v>
      </c>
      <c r="BT447">
        <v>44</v>
      </c>
    </row>
    <row r="448" spans="1:72" x14ac:dyDescent="0.25">
      <c r="A448">
        <v>21613</v>
      </c>
      <c r="B448" t="s">
        <v>36</v>
      </c>
      <c r="C448" t="s">
        <v>38</v>
      </c>
      <c r="D448" s="11">
        <v>50000</v>
      </c>
      <c r="E448">
        <v>2</v>
      </c>
      <c r="F448" t="s">
        <v>13</v>
      </c>
      <c r="G448" t="s">
        <v>14</v>
      </c>
      <c r="H448" t="s">
        <v>18</v>
      </c>
      <c r="I448">
        <v>1</v>
      </c>
      <c r="J448" t="s">
        <v>16</v>
      </c>
      <c r="K448" t="s">
        <v>31</v>
      </c>
      <c r="L448">
        <v>39</v>
      </c>
      <c r="M448" t="str">
        <f t="shared" si="6"/>
        <v>MIddleAge</v>
      </c>
      <c r="N448" t="s">
        <v>15</v>
      </c>
      <c r="R448">
        <v>22636</v>
      </c>
      <c r="S448" t="s">
        <v>36</v>
      </c>
      <c r="T448" t="s">
        <v>37</v>
      </c>
      <c r="U448" s="4">
        <v>40000</v>
      </c>
      <c r="V448">
        <v>0</v>
      </c>
      <c r="W448" t="s">
        <v>13</v>
      </c>
      <c r="X448" t="s">
        <v>20</v>
      </c>
      <c r="Y448" t="s">
        <v>18</v>
      </c>
      <c r="Z448">
        <v>0</v>
      </c>
      <c r="AA448" t="s">
        <v>16</v>
      </c>
      <c r="AB448" t="s">
        <v>17</v>
      </c>
      <c r="AC448">
        <v>38</v>
      </c>
      <c r="AD448" t="s">
        <v>44</v>
      </c>
      <c r="BL448">
        <v>22088</v>
      </c>
      <c r="BM448" t="s">
        <v>35</v>
      </c>
      <c r="BN448" t="s">
        <v>37</v>
      </c>
      <c r="BO448" s="4">
        <v>130000</v>
      </c>
      <c r="BP448" s="4">
        <v>130000</v>
      </c>
      <c r="BQ448">
        <v>1</v>
      </c>
      <c r="BR448" t="s">
        <v>28</v>
      </c>
      <c r="BS448" t="s">
        <v>15</v>
      </c>
      <c r="BT448">
        <v>45</v>
      </c>
    </row>
    <row r="449" spans="1:72" x14ac:dyDescent="0.25">
      <c r="A449">
        <v>20657</v>
      </c>
      <c r="B449" t="s">
        <v>36</v>
      </c>
      <c r="C449" t="s">
        <v>38</v>
      </c>
      <c r="D449" s="11">
        <v>50000</v>
      </c>
      <c r="E449">
        <v>2</v>
      </c>
      <c r="F449" t="s">
        <v>13</v>
      </c>
      <c r="G449" t="s">
        <v>14</v>
      </c>
      <c r="H449" t="s">
        <v>15</v>
      </c>
      <c r="I449">
        <v>0</v>
      </c>
      <c r="J449" t="s">
        <v>22</v>
      </c>
      <c r="K449" t="s">
        <v>31</v>
      </c>
      <c r="L449">
        <v>37</v>
      </c>
      <c r="M449" t="str">
        <f t="shared" si="6"/>
        <v>MIddleAge</v>
      </c>
      <c r="N449" t="s">
        <v>15</v>
      </c>
      <c r="R449">
        <v>22464</v>
      </c>
      <c r="S449" t="s">
        <v>35</v>
      </c>
      <c r="T449" t="s">
        <v>38</v>
      </c>
      <c r="U449" s="4">
        <v>40000</v>
      </c>
      <c r="V449">
        <v>0</v>
      </c>
      <c r="W449" t="s">
        <v>30</v>
      </c>
      <c r="X449" t="s">
        <v>20</v>
      </c>
      <c r="Y449" t="s">
        <v>15</v>
      </c>
      <c r="Z449">
        <v>0</v>
      </c>
      <c r="AA449" t="s">
        <v>16</v>
      </c>
      <c r="AB449" t="s">
        <v>17</v>
      </c>
      <c r="AC449">
        <v>37</v>
      </c>
      <c r="AD449" t="s">
        <v>44</v>
      </c>
      <c r="BL449">
        <v>20339</v>
      </c>
      <c r="BM449" t="s">
        <v>35</v>
      </c>
      <c r="BN449" t="s">
        <v>37</v>
      </c>
      <c r="BO449" s="4">
        <v>130000</v>
      </c>
      <c r="BP449" s="4">
        <v>130000</v>
      </c>
      <c r="BQ449">
        <v>1</v>
      </c>
      <c r="BR449" t="s">
        <v>28</v>
      </c>
      <c r="BS449" t="s">
        <v>15</v>
      </c>
      <c r="BT449">
        <v>44</v>
      </c>
    </row>
    <row r="450" spans="1:72" x14ac:dyDescent="0.25">
      <c r="A450">
        <v>20361</v>
      </c>
      <c r="B450" t="s">
        <v>35</v>
      </c>
      <c r="C450" t="s">
        <v>38</v>
      </c>
      <c r="D450" s="11">
        <v>50000</v>
      </c>
      <c r="E450">
        <v>2</v>
      </c>
      <c r="F450" t="s">
        <v>30</v>
      </c>
      <c r="G450" t="s">
        <v>28</v>
      </c>
      <c r="H450" t="s">
        <v>15</v>
      </c>
      <c r="I450">
        <v>2</v>
      </c>
      <c r="J450" t="s">
        <v>23</v>
      </c>
      <c r="K450" t="s">
        <v>31</v>
      </c>
      <c r="L450">
        <v>69</v>
      </c>
      <c r="M450" t="str">
        <f t="shared" ref="M450:M513" si="7">IF(L450&gt; 54, "Old",IF(L450&gt;= 31, "MIddleAge",IF(L450&lt;31, "Adolescent", "Adult")))</f>
        <v>Old</v>
      </c>
      <c r="N450" t="s">
        <v>18</v>
      </c>
      <c r="R450">
        <v>22010</v>
      </c>
      <c r="S450" t="s">
        <v>36</v>
      </c>
      <c r="T450" t="s">
        <v>38</v>
      </c>
      <c r="U450" s="4">
        <v>40000</v>
      </c>
      <c r="V450">
        <v>0</v>
      </c>
      <c r="W450" t="s">
        <v>27</v>
      </c>
      <c r="X450" t="s">
        <v>14</v>
      </c>
      <c r="Y450" t="s">
        <v>15</v>
      </c>
      <c r="Z450">
        <v>2</v>
      </c>
      <c r="AA450" t="s">
        <v>23</v>
      </c>
      <c r="AB450" t="s">
        <v>31</v>
      </c>
      <c r="AC450">
        <v>31</v>
      </c>
      <c r="AD450" t="s">
        <v>44</v>
      </c>
      <c r="BL450">
        <v>16867</v>
      </c>
      <c r="BM450" t="s">
        <v>36</v>
      </c>
      <c r="BN450" t="s">
        <v>37</v>
      </c>
      <c r="BO450" s="4">
        <v>130000</v>
      </c>
      <c r="BP450" s="4">
        <v>130000</v>
      </c>
      <c r="BQ450">
        <v>1</v>
      </c>
      <c r="BR450" t="s">
        <v>28</v>
      </c>
      <c r="BS450" t="s">
        <v>18</v>
      </c>
      <c r="BT450">
        <v>45</v>
      </c>
    </row>
    <row r="451" spans="1:72" x14ac:dyDescent="0.25">
      <c r="A451">
        <v>19133</v>
      </c>
      <c r="B451" t="s">
        <v>36</v>
      </c>
      <c r="C451" t="s">
        <v>38</v>
      </c>
      <c r="D451" s="11">
        <v>50000</v>
      </c>
      <c r="E451">
        <v>2</v>
      </c>
      <c r="F451" t="s">
        <v>13</v>
      </c>
      <c r="G451" t="s">
        <v>14</v>
      </c>
      <c r="H451" t="s">
        <v>15</v>
      </c>
      <c r="I451">
        <v>1</v>
      </c>
      <c r="J451" t="s">
        <v>22</v>
      </c>
      <c r="K451" t="s">
        <v>31</v>
      </c>
      <c r="L451">
        <v>38</v>
      </c>
      <c r="M451" t="str">
        <f t="shared" si="7"/>
        <v>MIddleAge</v>
      </c>
      <c r="N451" t="s">
        <v>15</v>
      </c>
      <c r="R451">
        <v>19634</v>
      </c>
      <c r="S451" t="s">
        <v>35</v>
      </c>
      <c r="T451" t="s">
        <v>38</v>
      </c>
      <c r="U451" s="4">
        <v>40000</v>
      </c>
      <c r="V451">
        <v>0</v>
      </c>
      <c r="W451" t="s">
        <v>27</v>
      </c>
      <c r="X451" t="s">
        <v>14</v>
      </c>
      <c r="Y451" t="s">
        <v>15</v>
      </c>
      <c r="Z451">
        <v>1</v>
      </c>
      <c r="AA451" t="s">
        <v>23</v>
      </c>
      <c r="AB451" t="s">
        <v>31</v>
      </c>
      <c r="AC451">
        <v>31</v>
      </c>
      <c r="AD451" t="s">
        <v>44</v>
      </c>
      <c r="BL451">
        <v>14443</v>
      </c>
      <c r="BM451" t="s">
        <v>35</v>
      </c>
      <c r="BN451" t="s">
        <v>38</v>
      </c>
      <c r="BO451" s="4">
        <v>130000</v>
      </c>
      <c r="BP451" s="4">
        <v>130000</v>
      </c>
      <c r="BQ451">
        <v>1</v>
      </c>
      <c r="BR451" t="s">
        <v>28</v>
      </c>
      <c r="BS451" t="s">
        <v>15</v>
      </c>
      <c r="BT451">
        <v>40</v>
      </c>
    </row>
    <row r="452" spans="1:72" x14ac:dyDescent="0.25">
      <c r="A452">
        <v>17352</v>
      </c>
      <c r="B452" t="s">
        <v>35</v>
      </c>
      <c r="C452" t="s">
        <v>38</v>
      </c>
      <c r="D452" s="11">
        <v>50000</v>
      </c>
      <c r="E452">
        <v>2</v>
      </c>
      <c r="F452" t="s">
        <v>30</v>
      </c>
      <c r="G452" t="s">
        <v>28</v>
      </c>
      <c r="H452" t="s">
        <v>15</v>
      </c>
      <c r="I452">
        <v>1</v>
      </c>
      <c r="J452" t="s">
        <v>23</v>
      </c>
      <c r="K452" t="s">
        <v>24</v>
      </c>
      <c r="L452">
        <v>64</v>
      </c>
      <c r="M452" t="str">
        <f t="shared" si="7"/>
        <v>Old</v>
      </c>
      <c r="N452" t="s">
        <v>15</v>
      </c>
      <c r="R452">
        <v>19477</v>
      </c>
      <c r="S452" t="s">
        <v>35</v>
      </c>
      <c r="T452" t="s">
        <v>38</v>
      </c>
      <c r="U452" s="4">
        <v>40000</v>
      </c>
      <c r="V452">
        <v>0</v>
      </c>
      <c r="W452" t="s">
        <v>13</v>
      </c>
      <c r="X452" t="s">
        <v>21</v>
      </c>
      <c r="Y452" t="s">
        <v>15</v>
      </c>
      <c r="Z452">
        <v>0</v>
      </c>
      <c r="AA452" t="s">
        <v>16</v>
      </c>
      <c r="AB452" t="s">
        <v>17</v>
      </c>
      <c r="AC452">
        <v>40</v>
      </c>
      <c r="AD452" t="s">
        <v>44</v>
      </c>
      <c r="BL452">
        <v>23818</v>
      </c>
      <c r="BM452" t="s">
        <v>35</v>
      </c>
      <c r="BN452" t="s">
        <v>37</v>
      </c>
      <c r="BO452" s="4">
        <v>50000</v>
      </c>
      <c r="BP452" s="4">
        <v>50000</v>
      </c>
      <c r="BQ452">
        <v>0</v>
      </c>
      <c r="BR452" t="s">
        <v>14</v>
      </c>
      <c r="BS452" t="s">
        <v>15</v>
      </c>
      <c r="BT452">
        <v>33</v>
      </c>
    </row>
    <row r="453" spans="1:72" x14ac:dyDescent="0.25">
      <c r="A453">
        <v>29181</v>
      </c>
      <c r="B453" t="s">
        <v>36</v>
      </c>
      <c r="C453" t="s">
        <v>37</v>
      </c>
      <c r="D453" s="11">
        <v>60000</v>
      </c>
      <c r="E453">
        <v>2</v>
      </c>
      <c r="F453" t="s">
        <v>13</v>
      </c>
      <c r="G453" t="s">
        <v>21</v>
      </c>
      <c r="H453" t="s">
        <v>18</v>
      </c>
      <c r="I453">
        <v>1</v>
      </c>
      <c r="J453" t="s">
        <v>16</v>
      </c>
      <c r="K453" t="s">
        <v>24</v>
      </c>
      <c r="L453">
        <v>38</v>
      </c>
      <c r="M453" t="str">
        <f t="shared" si="7"/>
        <v>MIddleAge</v>
      </c>
      <c r="N453" t="s">
        <v>15</v>
      </c>
      <c r="R453">
        <v>19475</v>
      </c>
      <c r="S453" t="s">
        <v>35</v>
      </c>
      <c r="T453" t="s">
        <v>37</v>
      </c>
      <c r="U453" s="4">
        <v>40000</v>
      </c>
      <c r="V453">
        <v>0</v>
      </c>
      <c r="W453" t="s">
        <v>13</v>
      </c>
      <c r="X453" t="s">
        <v>21</v>
      </c>
      <c r="Y453" t="s">
        <v>18</v>
      </c>
      <c r="Z453">
        <v>0</v>
      </c>
      <c r="AA453" t="s">
        <v>16</v>
      </c>
      <c r="AB453" t="s">
        <v>17</v>
      </c>
      <c r="AC453">
        <v>40</v>
      </c>
      <c r="AD453" t="s">
        <v>44</v>
      </c>
      <c r="BL453">
        <v>22330</v>
      </c>
      <c r="BM453" t="s">
        <v>35</v>
      </c>
      <c r="BN453" t="s">
        <v>38</v>
      </c>
      <c r="BO453" s="4">
        <v>50000</v>
      </c>
      <c r="BP453" s="4">
        <v>50000</v>
      </c>
      <c r="BQ453">
        <v>0</v>
      </c>
      <c r="BR453" t="s">
        <v>14</v>
      </c>
      <c r="BS453" t="s">
        <v>15</v>
      </c>
      <c r="BT453">
        <v>32</v>
      </c>
    </row>
    <row r="454" spans="1:72" x14ac:dyDescent="0.25">
      <c r="A454">
        <v>28657</v>
      </c>
      <c r="B454" t="s">
        <v>36</v>
      </c>
      <c r="C454" t="s">
        <v>38</v>
      </c>
      <c r="D454" s="11">
        <v>60000</v>
      </c>
      <c r="E454">
        <v>2</v>
      </c>
      <c r="F454" t="s">
        <v>13</v>
      </c>
      <c r="G454" t="s">
        <v>14</v>
      </c>
      <c r="H454" t="s">
        <v>15</v>
      </c>
      <c r="I454">
        <v>0</v>
      </c>
      <c r="J454" t="s">
        <v>22</v>
      </c>
      <c r="K454" t="s">
        <v>31</v>
      </c>
      <c r="L454">
        <v>36</v>
      </c>
      <c r="M454" t="str">
        <f t="shared" si="7"/>
        <v>MIddleAge</v>
      </c>
      <c r="N454" t="s">
        <v>15</v>
      </c>
      <c r="R454">
        <v>19441</v>
      </c>
      <c r="S454" t="s">
        <v>35</v>
      </c>
      <c r="T454" t="s">
        <v>38</v>
      </c>
      <c r="U454" s="4">
        <v>40000</v>
      </c>
      <c r="V454">
        <v>0</v>
      </c>
      <c r="W454" t="s">
        <v>30</v>
      </c>
      <c r="X454" t="s">
        <v>20</v>
      </c>
      <c r="Y454" t="s">
        <v>15</v>
      </c>
      <c r="Z454">
        <v>0</v>
      </c>
      <c r="AA454" t="s">
        <v>16</v>
      </c>
      <c r="AB454" t="s">
        <v>17</v>
      </c>
      <c r="AC454">
        <v>25</v>
      </c>
      <c r="AD454" t="s">
        <v>43</v>
      </c>
      <c r="BL454">
        <v>21039</v>
      </c>
      <c r="BM454" t="s">
        <v>36</v>
      </c>
      <c r="BN454" t="s">
        <v>37</v>
      </c>
      <c r="BO454" s="4">
        <v>50000</v>
      </c>
      <c r="BP454" s="4">
        <v>50000</v>
      </c>
      <c r="BQ454">
        <v>0</v>
      </c>
      <c r="BR454" t="s">
        <v>14</v>
      </c>
      <c r="BS454" t="s">
        <v>18</v>
      </c>
      <c r="BT454">
        <v>37</v>
      </c>
    </row>
    <row r="455" spans="1:72" x14ac:dyDescent="0.25">
      <c r="A455">
        <v>28052</v>
      </c>
      <c r="B455" t="s">
        <v>35</v>
      </c>
      <c r="C455" t="s">
        <v>38</v>
      </c>
      <c r="D455" s="11">
        <v>60000</v>
      </c>
      <c r="E455">
        <v>2</v>
      </c>
      <c r="F455" t="s">
        <v>27</v>
      </c>
      <c r="G455" t="s">
        <v>21</v>
      </c>
      <c r="H455" t="s">
        <v>15</v>
      </c>
      <c r="I455">
        <v>2</v>
      </c>
      <c r="J455" t="s">
        <v>42</v>
      </c>
      <c r="K455" t="s">
        <v>31</v>
      </c>
      <c r="L455">
        <v>55</v>
      </c>
      <c r="M455" t="str">
        <f t="shared" si="7"/>
        <v>Old</v>
      </c>
      <c r="N455" t="s">
        <v>18</v>
      </c>
      <c r="R455">
        <v>18363</v>
      </c>
      <c r="S455" t="s">
        <v>35</v>
      </c>
      <c r="T455" t="s">
        <v>38</v>
      </c>
      <c r="U455" s="4">
        <v>40000</v>
      </c>
      <c r="V455">
        <v>0</v>
      </c>
      <c r="W455" t="s">
        <v>27</v>
      </c>
      <c r="X455" t="s">
        <v>14</v>
      </c>
      <c r="Y455" t="s">
        <v>15</v>
      </c>
      <c r="Z455">
        <v>2</v>
      </c>
      <c r="AA455" t="s">
        <v>23</v>
      </c>
      <c r="AB455" t="s">
        <v>31</v>
      </c>
      <c r="AC455">
        <v>28</v>
      </c>
      <c r="AD455" t="s">
        <v>43</v>
      </c>
      <c r="BL455">
        <v>19442</v>
      </c>
      <c r="BM455" t="s">
        <v>36</v>
      </c>
      <c r="BN455" t="s">
        <v>38</v>
      </c>
      <c r="BO455" s="4">
        <v>50000</v>
      </c>
      <c r="BP455" s="4">
        <v>50000</v>
      </c>
      <c r="BQ455">
        <v>0</v>
      </c>
      <c r="BR455" t="s">
        <v>14</v>
      </c>
      <c r="BS455" t="s">
        <v>15</v>
      </c>
      <c r="BT455">
        <v>37</v>
      </c>
    </row>
    <row r="456" spans="1:72" x14ac:dyDescent="0.25">
      <c r="A456">
        <v>28043</v>
      </c>
      <c r="B456" t="s">
        <v>35</v>
      </c>
      <c r="C456" t="s">
        <v>37</v>
      </c>
      <c r="D456" s="11">
        <v>60000</v>
      </c>
      <c r="E456">
        <v>2</v>
      </c>
      <c r="F456" t="s">
        <v>13</v>
      </c>
      <c r="G456" t="s">
        <v>28</v>
      </c>
      <c r="H456" t="s">
        <v>15</v>
      </c>
      <c r="I456">
        <v>0</v>
      </c>
      <c r="J456" t="s">
        <v>42</v>
      </c>
      <c r="K456" t="s">
        <v>31</v>
      </c>
      <c r="L456">
        <v>56</v>
      </c>
      <c r="M456" t="str">
        <f t="shared" si="7"/>
        <v>Old</v>
      </c>
      <c r="N456" t="s">
        <v>18</v>
      </c>
      <c r="R456">
        <v>17978</v>
      </c>
      <c r="S456" t="s">
        <v>35</v>
      </c>
      <c r="T456" t="s">
        <v>38</v>
      </c>
      <c r="U456" s="4">
        <v>40000</v>
      </c>
      <c r="V456">
        <v>0</v>
      </c>
      <c r="W456" t="s">
        <v>30</v>
      </c>
      <c r="X456" t="s">
        <v>20</v>
      </c>
      <c r="Y456" t="s">
        <v>15</v>
      </c>
      <c r="Z456">
        <v>0</v>
      </c>
      <c r="AA456" t="s">
        <v>16</v>
      </c>
      <c r="AB456" t="s">
        <v>17</v>
      </c>
      <c r="AC456">
        <v>37</v>
      </c>
      <c r="AD456" t="s">
        <v>44</v>
      </c>
      <c r="BL456">
        <v>19299</v>
      </c>
      <c r="BM456" t="s">
        <v>35</v>
      </c>
      <c r="BN456" t="s">
        <v>37</v>
      </c>
      <c r="BO456" s="4">
        <v>50000</v>
      </c>
      <c r="BP456" s="4">
        <v>50000</v>
      </c>
      <c r="BQ456">
        <v>0</v>
      </c>
      <c r="BR456" t="s">
        <v>14</v>
      </c>
      <c r="BS456" t="s">
        <v>15</v>
      </c>
      <c r="BT456">
        <v>36</v>
      </c>
    </row>
    <row r="457" spans="1:72" x14ac:dyDescent="0.25">
      <c r="A457">
        <v>26663</v>
      </c>
      <c r="B457" t="s">
        <v>36</v>
      </c>
      <c r="C457" t="s">
        <v>37</v>
      </c>
      <c r="D457" s="11">
        <v>60000</v>
      </c>
      <c r="E457">
        <v>2</v>
      </c>
      <c r="F457" t="s">
        <v>13</v>
      </c>
      <c r="G457" t="s">
        <v>21</v>
      </c>
      <c r="H457" t="s">
        <v>18</v>
      </c>
      <c r="I457">
        <v>1</v>
      </c>
      <c r="J457" t="s">
        <v>16</v>
      </c>
      <c r="K457" t="s">
        <v>24</v>
      </c>
      <c r="L457">
        <v>39</v>
      </c>
      <c r="M457" t="str">
        <f t="shared" si="7"/>
        <v>MIddleAge</v>
      </c>
      <c r="N457" t="s">
        <v>15</v>
      </c>
      <c r="R457">
        <v>17964</v>
      </c>
      <c r="S457" t="s">
        <v>35</v>
      </c>
      <c r="T457" t="s">
        <v>38</v>
      </c>
      <c r="U457" s="4">
        <v>40000</v>
      </c>
      <c r="V457">
        <v>0</v>
      </c>
      <c r="W457" t="s">
        <v>30</v>
      </c>
      <c r="X457" t="s">
        <v>20</v>
      </c>
      <c r="Y457" t="s">
        <v>15</v>
      </c>
      <c r="Z457">
        <v>0</v>
      </c>
      <c r="AA457" t="s">
        <v>16</v>
      </c>
      <c r="AB457" t="s">
        <v>17</v>
      </c>
      <c r="AC457">
        <v>37</v>
      </c>
      <c r="AD457" t="s">
        <v>44</v>
      </c>
      <c r="BL457">
        <v>19235</v>
      </c>
      <c r="BM457" t="s">
        <v>35</v>
      </c>
      <c r="BN457" t="s">
        <v>37</v>
      </c>
      <c r="BO457" s="4">
        <v>50000</v>
      </c>
      <c r="BP457" s="4">
        <v>50000</v>
      </c>
      <c r="BQ457">
        <v>0</v>
      </c>
      <c r="BR457" t="s">
        <v>14</v>
      </c>
      <c r="BS457" t="s">
        <v>15</v>
      </c>
      <c r="BT457">
        <v>34</v>
      </c>
    </row>
    <row r="458" spans="1:72" x14ac:dyDescent="0.25">
      <c r="A458">
        <v>26305</v>
      </c>
      <c r="B458" t="s">
        <v>36</v>
      </c>
      <c r="C458" t="s">
        <v>37</v>
      </c>
      <c r="D458" s="11">
        <v>60000</v>
      </c>
      <c r="E458">
        <v>2</v>
      </c>
      <c r="F458" t="s">
        <v>13</v>
      </c>
      <c r="G458" t="s">
        <v>14</v>
      </c>
      <c r="H458" t="s">
        <v>18</v>
      </c>
      <c r="I458">
        <v>0</v>
      </c>
      <c r="J458" t="s">
        <v>16</v>
      </c>
      <c r="K458" t="s">
        <v>31</v>
      </c>
      <c r="L458">
        <v>36</v>
      </c>
      <c r="M458" t="str">
        <f t="shared" si="7"/>
        <v>MIddleAge</v>
      </c>
      <c r="N458" t="s">
        <v>15</v>
      </c>
      <c r="R458">
        <v>17926</v>
      </c>
      <c r="S458" t="s">
        <v>36</v>
      </c>
      <c r="T458" t="s">
        <v>37</v>
      </c>
      <c r="U458" s="4">
        <v>40000</v>
      </c>
      <c r="V458">
        <v>0</v>
      </c>
      <c r="W458" t="s">
        <v>13</v>
      </c>
      <c r="X458" t="s">
        <v>20</v>
      </c>
      <c r="Y458" t="s">
        <v>18</v>
      </c>
      <c r="Z458">
        <v>0</v>
      </c>
      <c r="AA458" t="s">
        <v>16</v>
      </c>
      <c r="AB458" t="s">
        <v>24</v>
      </c>
      <c r="AC458">
        <v>28</v>
      </c>
      <c r="AD458" t="s">
        <v>43</v>
      </c>
      <c r="BL458">
        <v>17025</v>
      </c>
      <c r="BM458" t="s">
        <v>36</v>
      </c>
      <c r="BN458" t="s">
        <v>38</v>
      </c>
      <c r="BO458" s="4">
        <v>50000</v>
      </c>
      <c r="BP458" s="4">
        <v>50000</v>
      </c>
      <c r="BQ458">
        <v>0</v>
      </c>
      <c r="BR458" t="s">
        <v>14</v>
      </c>
      <c r="BS458" t="s">
        <v>18</v>
      </c>
      <c r="BT458">
        <v>39</v>
      </c>
    </row>
    <row r="459" spans="1:72" x14ac:dyDescent="0.25">
      <c r="A459">
        <v>25886</v>
      </c>
      <c r="B459" t="s">
        <v>35</v>
      </c>
      <c r="C459" t="s">
        <v>37</v>
      </c>
      <c r="D459" s="11">
        <v>60000</v>
      </c>
      <c r="E459">
        <v>2</v>
      </c>
      <c r="F459" t="s">
        <v>19</v>
      </c>
      <c r="G459" t="s">
        <v>21</v>
      </c>
      <c r="H459" t="s">
        <v>15</v>
      </c>
      <c r="I459">
        <v>2</v>
      </c>
      <c r="J459" t="s">
        <v>22</v>
      </c>
      <c r="K459" t="s">
        <v>31</v>
      </c>
      <c r="L459">
        <v>56</v>
      </c>
      <c r="M459" t="str">
        <f t="shared" si="7"/>
        <v>Old</v>
      </c>
      <c r="N459" t="s">
        <v>15</v>
      </c>
      <c r="R459">
        <v>17337</v>
      </c>
      <c r="S459" t="s">
        <v>36</v>
      </c>
      <c r="T459" t="s">
        <v>38</v>
      </c>
      <c r="U459" s="4">
        <v>40000</v>
      </c>
      <c r="V459">
        <v>0</v>
      </c>
      <c r="W459" t="s">
        <v>27</v>
      </c>
      <c r="X459" t="s">
        <v>14</v>
      </c>
      <c r="Y459" t="s">
        <v>15</v>
      </c>
      <c r="Z459">
        <v>1</v>
      </c>
      <c r="AA459" t="s">
        <v>23</v>
      </c>
      <c r="AB459" t="s">
        <v>31</v>
      </c>
      <c r="AC459">
        <v>31</v>
      </c>
      <c r="AD459" t="s">
        <v>44</v>
      </c>
      <c r="BL459">
        <v>16209</v>
      </c>
      <c r="BM459" t="s">
        <v>36</v>
      </c>
      <c r="BN459" t="s">
        <v>37</v>
      </c>
      <c r="BO459" s="4">
        <v>50000</v>
      </c>
      <c r="BP459" s="4">
        <v>50000</v>
      </c>
      <c r="BQ459">
        <v>0</v>
      </c>
      <c r="BR459" t="s">
        <v>14</v>
      </c>
      <c r="BS459" t="s">
        <v>15</v>
      </c>
      <c r="BT459">
        <v>36</v>
      </c>
    </row>
    <row r="460" spans="1:72" x14ac:dyDescent="0.25">
      <c r="A460">
        <v>25148</v>
      </c>
      <c r="B460" t="s">
        <v>35</v>
      </c>
      <c r="C460" t="s">
        <v>38</v>
      </c>
      <c r="D460" s="11">
        <v>60000</v>
      </c>
      <c r="E460">
        <v>2</v>
      </c>
      <c r="F460" t="s">
        <v>27</v>
      </c>
      <c r="G460" t="s">
        <v>21</v>
      </c>
      <c r="H460" t="s">
        <v>18</v>
      </c>
      <c r="I460">
        <v>2</v>
      </c>
      <c r="J460" t="s">
        <v>26</v>
      </c>
      <c r="K460" t="s">
        <v>31</v>
      </c>
      <c r="L460">
        <v>48</v>
      </c>
      <c r="M460" t="str">
        <f t="shared" si="7"/>
        <v>MIddleAge</v>
      </c>
      <c r="N460" t="s">
        <v>15</v>
      </c>
      <c r="R460">
        <v>16020</v>
      </c>
      <c r="S460" t="s">
        <v>35</v>
      </c>
      <c r="T460" t="s">
        <v>38</v>
      </c>
      <c r="U460" s="4">
        <v>40000</v>
      </c>
      <c r="V460">
        <v>0</v>
      </c>
      <c r="W460" t="s">
        <v>27</v>
      </c>
      <c r="X460" t="s">
        <v>14</v>
      </c>
      <c r="Y460" t="s">
        <v>15</v>
      </c>
      <c r="Z460">
        <v>2</v>
      </c>
      <c r="AA460" t="s">
        <v>23</v>
      </c>
      <c r="AB460" t="s">
        <v>31</v>
      </c>
      <c r="AC460">
        <v>28</v>
      </c>
      <c r="AD460" t="s">
        <v>43</v>
      </c>
      <c r="BL460">
        <v>15862</v>
      </c>
      <c r="BM460" t="s">
        <v>36</v>
      </c>
      <c r="BN460" t="s">
        <v>37</v>
      </c>
      <c r="BO460" s="4">
        <v>50000</v>
      </c>
      <c r="BP460" s="4">
        <v>50000</v>
      </c>
      <c r="BQ460">
        <v>0</v>
      </c>
      <c r="BR460" t="s">
        <v>14</v>
      </c>
      <c r="BS460" t="s">
        <v>15</v>
      </c>
      <c r="BT460">
        <v>33</v>
      </c>
    </row>
    <row r="461" spans="1:72" x14ac:dyDescent="0.25">
      <c r="A461">
        <v>24981</v>
      </c>
      <c r="B461" t="s">
        <v>35</v>
      </c>
      <c r="C461" t="s">
        <v>38</v>
      </c>
      <c r="D461" s="11">
        <v>60000</v>
      </c>
      <c r="E461">
        <v>2</v>
      </c>
      <c r="F461" t="s">
        <v>19</v>
      </c>
      <c r="G461" t="s">
        <v>21</v>
      </c>
      <c r="H461" t="s">
        <v>15</v>
      </c>
      <c r="I461">
        <v>2</v>
      </c>
      <c r="J461" t="s">
        <v>42</v>
      </c>
      <c r="K461" t="s">
        <v>31</v>
      </c>
      <c r="L461">
        <v>56</v>
      </c>
      <c r="M461" t="str">
        <f t="shared" si="7"/>
        <v>Old</v>
      </c>
      <c r="N461" t="s">
        <v>18</v>
      </c>
      <c r="R461">
        <v>15275</v>
      </c>
      <c r="S461" t="s">
        <v>35</v>
      </c>
      <c r="T461" t="s">
        <v>38</v>
      </c>
      <c r="U461" s="4">
        <v>40000</v>
      </c>
      <c r="V461">
        <v>0</v>
      </c>
      <c r="W461" t="s">
        <v>19</v>
      </c>
      <c r="X461" t="s">
        <v>14</v>
      </c>
      <c r="Y461" t="s">
        <v>15</v>
      </c>
      <c r="Z461">
        <v>1</v>
      </c>
      <c r="AA461" t="s">
        <v>23</v>
      </c>
      <c r="AB461" t="s">
        <v>31</v>
      </c>
      <c r="AC461">
        <v>29</v>
      </c>
      <c r="AD461" t="s">
        <v>43</v>
      </c>
      <c r="BL461">
        <v>14164</v>
      </c>
      <c r="BM461" t="s">
        <v>36</v>
      </c>
      <c r="BN461" t="s">
        <v>37</v>
      </c>
      <c r="BO461" s="4">
        <v>50000</v>
      </c>
      <c r="BP461" s="4">
        <v>50000</v>
      </c>
      <c r="BQ461">
        <v>0</v>
      </c>
      <c r="BR461" t="s">
        <v>14</v>
      </c>
      <c r="BS461" t="s">
        <v>15</v>
      </c>
      <c r="BT461">
        <v>36</v>
      </c>
    </row>
    <row r="462" spans="1:72" x14ac:dyDescent="0.25">
      <c r="A462">
        <v>24979</v>
      </c>
      <c r="B462" t="s">
        <v>35</v>
      </c>
      <c r="C462" t="s">
        <v>37</v>
      </c>
      <c r="D462" s="11">
        <v>60000</v>
      </c>
      <c r="E462">
        <v>2</v>
      </c>
      <c r="F462" t="s">
        <v>19</v>
      </c>
      <c r="G462" t="s">
        <v>21</v>
      </c>
      <c r="H462" t="s">
        <v>15</v>
      </c>
      <c r="I462">
        <v>2</v>
      </c>
      <c r="J462" t="s">
        <v>22</v>
      </c>
      <c r="K462" t="s">
        <v>31</v>
      </c>
      <c r="L462">
        <v>57</v>
      </c>
      <c r="M462" t="str">
        <f t="shared" si="7"/>
        <v>Old</v>
      </c>
      <c r="N462" t="s">
        <v>15</v>
      </c>
      <c r="R462">
        <v>15255</v>
      </c>
      <c r="S462" t="s">
        <v>35</v>
      </c>
      <c r="T462" t="s">
        <v>38</v>
      </c>
      <c r="U462" s="4">
        <v>40000</v>
      </c>
      <c r="V462">
        <v>0</v>
      </c>
      <c r="W462" t="s">
        <v>27</v>
      </c>
      <c r="X462" t="s">
        <v>14</v>
      </c>
      <c r="Y462" t="s">
        <v>15</v>
      </c>
      <c r="Z462">
        <v>2</v>
      </c>
      <c r="AA462" t="s">
        <v>23</v>
      </c>
      <c r="AB462" t="s">
        <v>31</v>
      </c>
      <c r="AC462">
        <v>28</v>
      </c>
      <c r="AD462" t="s">
        <v>43</v>
      </c>
      <c r="BL462">
        <v>11622</v>
      </c>
      <c r="BM462" t="s">
        <v>35</v>
      </c>
      <c r="BN462" t="s">
        <v>38</v>
      </c>
      <c r="BO462" s="4">
        <v>50000</v>
      </c>
      <c r="BP462" s="4">
        <v>50000</v>
      </c>
      <c r="BQ462">
        <v>0</v>
      </c>
      <c r="BR462" t="s">
        <v>14</v>
      </c>
      <c r="BS462" t="s">
        <v>15</v>
      </c>
      <c r="BT462">
        <v>32</v>
      </c>
    </row>
    <row r="463" spans="1:72" x14ac:dyDescent="0.25">
      <c r="A463">
        <v>23731</v>
      </c>
      <c r="B463" t="s">
        <v>35</v>
      </c>
      <c r="C463" t="s">
        <v>38</v>
      </c>
      <c r="D463" s="11">
        <v>60000</v>
      </c>
      <c r="E463" s="1">
        <v>2</v>
      </c>
      <c r="F463" t="s">
        <v>27</v>
      </c>
      <c r="G463" t="s">
        <v>21</v>
      </c>
      <c r="H463" t="s">
        <v>15</v>
      </c>
      <c r="I463">
        <v>2</v>
      </c>
      <c r="J463" t="s">
        <v>22</v>
      </c>
      <c r="K463" t="s">
        <v>31</v>
      </c>
      <c r="L463">
        <v>54</v>
      </c>
      <c r="M463" t="str">
        <f t="shared" si="7"/>
        <v>MIddleAge</v>
      </c>
      <c r="N463" t="s">
        <v>15</v>
      </c>
      <c r="R463">
        <v>14939</v>
      </c>
      <c r="S463" t="s">
        <v>36</v>
      </c>
      <c r="T463" t="s">
        <v>38</v>
      </c>
      <c r="U463" s="4">
        <v>40000</v>
      </c>
      <c r="V463">
        <v>0</v>
      </c>
      <c r="W463" t="s">
        <v>13</v>
      </c>
      <c r="X463" t="s">
        <v>20</v>
      </c>
      <c r="Y463" t="s">
        <v>15</v>
      </c>
      <c r="Z463">
        <v>0</v>
      </c>
      <c r="AA463" t="s">
        <v>16</v>
      </c>
      <c r="AB463" t="s">
        <v>17</v>
      </c>
      <c r="AC463">
        <v>39</v>
      </c>
      <c r="AD463" t="s">
        <v>44</v>
      </c>
      <c r="BL463">
        <v>11619</v>
      </c>
      <c r="BM463" t="s">
        <v>36</v>
      </c>
      <c r="BN463" t="s">
        <v>37</v>
      </c>
      <c r="BO463" s="4">
        <v>50000</v>
      </c>
      <c r="BP463" s="4">
        <v>50000</v>
      </c>
      <c r="BQ463">
        <v>0</v>
      </c>
      <c r="BR463" t="s">
        <v>14</v>
      </c>
      <c r="BS463" t="s">
        <v>15</v>
      </c>
      <c r="BT463">
        <v>33</v>
      </c>
    </row>
    <row r="464" spans="1:72" x14ac:dyDescent="0.25">
      <c r="A464">
        <v>23459</v>
      </c>
      <c r="B464" t="s">
        <v>35</v>
      </c>
      <c r="C464" t="s">
        <v>38</v>
      </c>
      <c r="D464" s="11">
        <v>60000</v>
      </c>
      <c r="E464">
        <v>2</v>
      </c>
      <c r="F464" t="s">
        <v>27</v>
      </c>
      <c r="G464" t="s">
        <v>21</v>
      </c>
      <c r="H464" t="s">
        <v>15</v>
      </c>
      <c r="I464">
        <v>2</v>
      </c>
      <c r="J464" t="s">
        <v>23</v>
      </c>
      <c r="K464" t="s">
        <v>31</v>
      </c>
      <c r="L464">
        <v>50</v>
      </c>
      <c r="M464" t="str">
        <f t="shared" si="7"/>
        <v>MIddleAge</v>
      </c>
      <c r="N464" t="s">
        <v>18</v>
      </c>
      <c r="R464">
        <v>13151</v>
      </c>
      <c r="S464" t="s">
        <v>36</v>
      </c>
      <c r="T464" t="s">
        <v>38</v>
      </c>
      <c r="U464" s="4">
        <v>40000</v>
      </c>
      <c r="V464">
        <v>0</v>
      </c>
      <c r="W464" t="s">
        <v>27</v>
      </c>
      <c r="X464" t="s">
        <v>14</v>
      </c>
      <c r="Y464" t="s">
        <v>15</v>
      </c>
      <c r="Z464">
        <v>2</v>
      </c>
      <c r="AA464" t="s">
        <v>23</v>
      </c>
      <c r="AB464" t="s">
        <v>31</v>
      </c>
      <c r="AC464">
        <v>27</v>
      </c>
      <c r="AD464" t="s">
        <v>43</v>
      </c>
      <c r="BL464">
        <v>29112</v>
      </c>
      <c r="BM464" t="s">
        <v>36</v>
      </c>
      <c r="BN464" t="s">
        <v>38</v>
      </c>
      <c r="BO464" s="4">
        <v>60000</v>
      </c>
      <c r="BP464" s="4">
        <v>60000</v>
      </c>
      <c r="BQ464">
        <v>0</v>
      </c>
      <c r="BR464" t="s">
        <v>21</v>
      </c>
      <c r="BS464" t="s">
        <v>18</v>
      </c>
      <c r="BT464">
        <v>30</v>
      </c>
    </row>
    <row r="465" spans="1:72" x14ac:dyDescent="0.25">
      <c r="A465">
        <v>23449</v>
      </c>
      <c r="B465" t="s">
        <v>35</v>
      </c>
      <c r="C465" t="s">
        <v>38</v>
      </c>
      <c r="D465" s="11">
        <v>60000</v>
      </c>
      <c r="E465">
        <v>2</v>
      </c>
      <c r="F465" t="s">
        <v>27</v>
      </c>
      <c r="G465" t="s">
        <v>21</v>
      </c>
      <c r="H465" t="s">
        <v>15</v>
      </c>
      <c r="I465">
        <v>2</v>
      </c>
      <c r="J465" t="s">
        <v>23</v>
      </c>
      <c r="K465" t="s">
        <v>31</v>
      </c>
      <c r="L465">
        <v>48</v>
      </c>
      <c r="M465" t="str">
        <f t="shared" si="7"/>
        <v>MIddleAge</v>
      </c>
      <c r="N465" t="s">
        <v>18</v>
      </c>
      <c r="R465">
        <v>12821</v>
      </c>
      <c r="S465" t="s">
        <v>35</v>
      </c>
      <c r="T465" t="s">
        <v>38</v>
      </c>
      <c r="U465" s="4">
        <v>40000</v>
      </c>
      <c r="V465">
        <v>0</v>
      </c>
      <c r="W465" t="s">
        <v>13</v>
      </c>
      <c r="X465" t="s">
        <v>20</v>
      </c>
      <c r="Y465" t="s">
        <v>15</v>
      </c>
      <c r="Z465">
        <v>0</v>
      </c>
      <c r="AA465" t="s">
        <v>16</v>
      </c>
      <c r="AB465" t="s">
        <v>17</v>
      </c>
      <c r="AC465">
        <v>39</v>
      </c>
      <c r="AD465" t="s">
        <v>44</v>
      </c>
      <c r="BL465">
        <v>29037</v>
      </c>
      <c r="BM465" t="s">
        <v>35</v>
      </c>
      <c r="BN465" t="s">
        <v>38</v>
      </c>
      <c r="BO465" s="4">
        <v>60000</v>
      </c>
      <c r="BP465" s="4">
        <v>60000</v>
      </c>
      <c r="BQ465">
        <v>0</v>
      </c>
      <c r="BR465" t="s">
        <v>21</v>
      </c>
      <c r="BS465" t="s">
        <v>18</v>
      </c>
      <c r="BT465">
        <v>39</v>
      </c>
    </row>
    <row r="466" spans="1:72" x14ac:dyDescent="0.25">
      <c r="A466">
        <v>22227</v>
      </c>
      <c r="B466" t="s">
        <v>35</v>
      </c>
      <c r="C466" t="s">
        <v>37</v>
      </c>
      <c r="D466" s="11">
        <v>60000</v>
      </c>
      <c r="E466">
        <v>2</v>
      </c>
      <c r="F466" t="s">
        <v>27</v>
      </c>
      <c r="G466" t="s">
        <v>21</v>
      </c>
      <c r="H466" t="s">
        <v>15</v>
      </c>
      <c r="I466">
        <v>2</v>
      </c>
      <c r="J466" t="s">
        <v>23</v>
      </c>
      <c r="K466" t="s">
        <v>31</v>
      </c>
      <c r="L466">
        <v>50</v>
      </c>
      <c r="M466" t="str">
        <f t="shared" si="7"/>
        <v>MIddleAge</v>
      </c>
      <c r="N466" t="s">
        <v>18</v>
      </c>
      <c r="R466">
        <v>12808</v>
      </c>
      <c r="S466" t="s">
        <v>35</v>
      </c>
      <c r="T466" t="s">
        <v>38</v>
      </c>
      <c r="U466" s="4">
        <v>40000</v>
      </c>
      <c r="V466">
        <v>0</v>
      </c>
      <c r="W466" t="s">
        <v>13</v>
      </c>
      <c r="X466" t="s">
        <v>20</v>
      </c>
      <c r="Y466" t="s">
        <v>15</v>
      </c>
      <c r="Z466">
        <v>0</v>
      </c>
      <c r="AA466" t="s">
        <v>16</v>
      </c>
      <c r="AB466" t="s">
        <v>17</v>
      </c>
      <c r="AC466">
        <v>38</v>
      </c>
      <c r="AD466" t="s">
        <v>44</v>
      </c>
      <c r="BL466">
        <v>26625</v>
      </c>
      <c r="BM466" t="s">
        <v>36</v>
      </c>
      <c r="BN466" t="s">
        <v>37</v>
      </c>
      <c r="BO466" s="4">
        <v>60000</v>
      </c>
      <c r="BP466" s="4">
        <v>60000</v>
      </c>
      <c r="BQ466">
        <v>0</v>
      </c>
      <c r="BR466" t="s">
        <v>21</v>
      </c>
      <c r="BS466" t="s">
        <v>15</v>
      </c>
      <c r="BT466">
        <v>38</v>
      </c>
    </row>
    <row r="467" spans="1:72" x14ac:dyDescent="0.25">
      <c r="A467">
        <v>22221</v>
      </c>
      <c r="B467" t="s">
        <v>35</v>
      </c>
      <c r="C467" t="s">
        <v>38</v>
      </c>
      <c r="D467" s="11">
        <v>60000</v>
      </c>
      <c r="E467">
        <v>2</v>
      </c>
      <c r="F467" t="s">
        <v>27</v>
      </c>
      <c r="G467" t="s">
        <v>21</v>
      </c>
      <c r="H467" t="s">
        <v>18</v>
      </c>
      <c r="I467">
        <v>2</v>
      </c>
      <c r="J467" t="s">
        <v>26</v>
      </c>
      <c r="K467" t="s">
        <v>31</v>
      </c>
      <c r="L467">
        <v>48</v>
      </c>
      <c r="M467" t="str">
        <f t="shared" si="7"/>
        <v>MIddleAge</v>
      </c>
      <c r="N467" t="s">
        <v>15</v>
      </c>
      <c r="R467">
        <v>12033</v>
      </c>
      <c r="S467" t="s">
        <v>36</v>
      </c>
      <c r="T467" t="s">
        <v>37</v>
      </c>
      <c r="U467" s="4">
        <v>40000</v>
      </c>
      <c r="V467">
        <v>0</v>
      </c>
      <c r="W467" t="s">
        <v>27</v>
      </c>
      <c r="X467" t="s">
        <v>14</v>
      </c>
      <c r="Y467" t="s">
        <v>18</v>
      </c>
      <c r="Z467">
        <v>2</v>
      </c>
      <c r="AA467" t="s">
        <v>16</v>
      </c>
      <c r="AB467" t="s">
        <v>31</v>
      </c>
      <c r="AC467">
        <v>27</v>
      </c>
      <c r="AD467" t="s">
        <v>43</v>
      </c>
      <c r="BL467">
        <v>26582</v>
      </c>
      <c r="BM467" t="s">
        <v>35</v>
      </c>
      <c r="BN467" t="s">
        <v>38</v>
      </c>
      <c r="BO467" s="4">
        <v>60000</v>
      </c>
      <c r="BP467" s="4">
        <v>60000</v>
      </c>
      <c r="BQ467">
        <v>0</v>
      </c>
      <c r="BR467" t="s">
        <v>14</v>
      </c>
      <c r="BS467" t="s">
        <v>15</v>
      </c>
      <c r="BT467">
        <v>33</v>
      </c>
    </row>
    <row r="468" spans="1:72" x14ac:dyDescent="0.25">
      <c r="A468">
        <v>22220</v>
      </c>
      <c r="B468" t="s">
        <v>35</v>
      </c>
      <c r="C468" t="s">
        <v>38</v>
      </c>
      <c r="D468" s="11">
        <v>60000</v>
      </c>
      <c r="E468">
        <v>2</v>
      </c>
      <c r="F468" t="s">
        <v>27</v>
      </c>
      <c r="G468" t="s">
        <v>21</v>
      </c>
      <c r="H468" t="s">
        <v>18</v>
      </c>
      <c r="I468">
        <v>2</v>
      </c>
      <c r="J468" t="s">
        <v>26</v>
      </c>
      <c r="K468" t="s">
        <v>31</v>
      </c>
      <c r="L468">
        <v>49</v>
      </c>
      <c r="M468" t="str">
        <f t="shared" si="7"/>
        <v>MIddleAge</v>
      </c>
      <c r="N468" t="s">
        <v>15</v>
      </c>
      <c r="R468">
        <v>11143</v>
      </c>
      <c r="S468" t="s">
        <v>35</v>
      </c>
      <c r="T468" t="s">
        <v>38</v>
      </c>
      <c r="U468" s="4">
        <v>40000</v>
      </c>
      <c r="V468">
        <v>0</v>
      </c>
      <c r="W468" t="s">
        <v>27</v>
      </c>
      <c r="X468" t="s">
        <v>14</v>
      </c>
      <c r="Y468" t="s">
        <v>15</v>
      </c>
      <c r="Z468">
        <v>2</v>
      </c>
      <c r="AA468" t="s">
        <v>23</v>
      </c>
      <c r="AB468" t="s">
        <v>31</v>
      </c>
      <c r="AC468">
        <v>29</v>
      </c>
      <c r="AD468" t="s">
        <v>43</v>
      </c>
      <c r="BL468">
        <v>26576</v>
      </c>
      <c r="BM468" t="s">
        <v>35</v>
      </c>
      <c r="BN468" t="s">
        <v>37</v>
      </c>
      <c r="BO468" s="4">
        <v>60000</v>
      </c>
      <c r="BP468" s="4">
        <v>60000</v>
      </c>
      <c r="BQ468">
        <v>0</v>
      </c>
      <c r="BR468" t="s">
        <v>14</v>
      </c>
      <c r="BS468" t="s">
        <v>15</v>
      </c>
      <c r="BT468">
        <v>31</v>
      </c>
    </row>
    <row r="469" spans="1:72" x14ac:dyDescent="0.25">
      <c r="A469">
        <v>22219</v>
      </c>
      <c r="B469" t="s">
        <v>35</v>
      </c>
      <c r="C469" t="s">
        <v>37</v>
      </c>
      <c r="D469" s="11">
        <v>60000</v>
      </c>
      <c r="E469">
        <v>2</v>
      </c>
      <c r="F469" t="s">
        <v>27</v>
      </c>
      <c r="G469" t="s">
        <v>21</v>
      </c>
      <c r="H469" t="s">
        <v>15</v>
      </c>
      <c r="I469">
        <v>2</v>
      </c>
      <c r="J469" t="s">
        <v>23</v>
      </c>
      <c r="K469" t="s">
        <v>31</v>
      </c>
      <c r="L469">
        <v>49</v>
      </c>
      <c r="M469" t="str">
        <f t="shared" si="7"/>
        <v>MIddleAge</v>
      </c>
      <c r="N469" t="s">
        <v>18</v>
      </c>
      <c r="R469">
        <v>22330</v>
      </c>
      <c r="S469" t="s">
        <v>35</v>
      </c>
      <c r="T469" t="s">
        <v>38</v>
      </c>
      <c r="U469" s="4">
        <v>50000</v>
      </c>
      <c r="V469">
        <v>0</v>
      </c>
      <c r="W469" t="s">
        <v>30</v>
      </c>
      <c r="X469" t="s">
        <v>14</v>
      </c>
      <c r="Y469" t="s">
        <v>15</v>
      </c>
      <c r="Z469">
        <v>0</v>
      </c>
      <c r="AA469" t="s">
        <v>26</v>
      </c>
      <c r="AB469" t="s">
        <v>31</v>
      </c>
      <c r="AC469">
        <v>32</v>
      </c>
      <c r="AD469" t="s">
        <v>44</v>
      </c>
      <c r="BL469">
        <v>25954</v>
      </c>
      <c r="BM469" t="s">
        <v>35</v>
      </c>
      <c r="BN469" t="s">
        <v>38</v>
      </c>
      <c r="BO469" s="4">
        <v>60000</v>
      </c>
      <c r="BP469" s="4">
        <v>60000</v>
      </c>
      <c r="BQ469">
        <v>0</v>
      </c>
      <c r="BR469" t="s">
        <v>14</v>
      </c>
      <c r="BS469" t="s">
        <v>18</v>
      </c>
      <c r="BT469">
        <v>31</v>
      </c>
    </row>
    <row r="470" spans="1:72" x14ac:dyDescent="0.25">
      <c r="A470">
        <v>21306</v>
      </c>
      <c r="B470" t="s">
        <v>36</v>
      </c>
      <c r="C470" t="s">
        <v>38</v>
      </c>
      <c r="D470" s="11">
        <v>60000</v>
      </c>
      <c r="E470">
        <v>2</v>
      </c>
      <c r="F470" t="s">
        <v>27</v>
      </c>
      <c r="G470" t="s">
        <v>21</v>
      </c>
      <c r="H470" t="s">
        <v>15</v>
      </c>
      <c r="I470">
        <v>2</v>
      </c>
      <c r="J470" t="s">
        <v>23</v>
      </c>
      <c r="K470" t="s">
        <v>31</v>
      </c>
      <c r="L470">
        <v>51</v>
      </c>
      <c r="M470" t="str">
        <f t="shared" si="7"/>
        <v>MIddleAge</v>
      </c>
      <c r="N470" t="s">
        <v>18</v>
      </c>
      <c r="R470">
        <v>21039</v>
      </c>
      <c r="S470" t="s">
        <v>36</v>
      </c>
      <c r="T470" t="s">
        <v>37</v>
      </c>
      <c r="U470" s="4">
        <v>50000</v>
      </c>
      <c r="V470">
        <v>0</v>
      </c>
      <c r="W470" t="s">
        <v>30</v>
      </c>
      <c r="X470" t="s">
        <v>14</v>
      </c>
      <c r="Y470" t="s">
        <v>18</v>
      </c>
      <c r="Z470">
        <v>0</v>
      </c>
      <c r="AA470" t="s">
        <v>16</v>
      </c>
      <c r="AB470" t="s">
        <v>17</v>
      </c>
      <c r="AC470">
        <v>37</v>
      </c>
      <c r="AD470" t="s">
        <v>44</v>
      </c>
      <c r="BL470">
        <v>25909</v>
      </c>
      <c r="BM470" t="s">
        <v>35</v>
      </c>
      <c r="BN470" t="s">
        <v>38</v>
      </c>
      <c r="BO470" s="4">
        <v>60000</v>
      </c>
      <c r="BP470" s="4">
        <v>60000</v>
      </c>
      <c r="BQ470">
        <v>0</v>
      </c>
      <c r="BR470" t="s">
        <v>14</v>
      </c>
      <c r="BS470" t="s">
        <v>15</v>
      </c>
      <c r="BT470">
        <v>27</v>
      </c>
    </row>
    <row r="471" spans="1:72" x14ac:dyDescent="0.25">
      <c r="A471">
        <v>19884</v>
      </c>
      <c r="B471" t="s">
        <v>35</v>
      </c>
      <c r="C471" t="s">
        <v>38</v>
      </c>
      <c r="D471" s="11">
        <v>60000</v>
      </c>
      <c r="E471">
        <v>2</v>
      </c>
      <c r="F471" t="s">
        <v>27</v>
      </c>
      <c r="G471" t="s">
        <v>21</v>
      </c>
      <c r="H471" t="s">
        <v>15</v>
      </c>
      <c r="I471">
        <v>2</v>
      </c>
      <c r="J471" t="s">
        <v>22</v>
      </c>
      <c r="K471" t="s">
        <v>31</v>
      </c>
      <c r="L471">
        <v>55</v>
      </c>
      <c r="M471" t="str">
        <f t="shared" si="7"/>
        <v>Old</v>
      </c>
      <c r="N471" t="s">
        <v>15</v>
      </c>
      <c r="R471">
        <v>19442</v>
      </c>
      <c r="S471" t="s">
        <v>36</v>
      </c>
      <c r="T471" t="s">
        <v>38</v>
      </c>
      <c r="U471" s="4">
        <v>50000</v>
      </c>
      <c r="V471">
        <v>0</v>
      </c>
      <c r="W471" t="s">
        <v>30</v>
      </c>
      <c r="X471" t="s">
        <v>14</v>
      </c>
      <c r="Y471" t="s">
        <v>15</v>
      </c>
      <c r="Z471">
        <v>0</v>
      </c>
      <c r="AA471" t="s">
        <v>16</v>
      </c>
      <c r="AB471" t="s">
        <v>17</v>
      </c>
      <c r="AC471">
        <v>37</v>
      </c>
      <c r="AD471" t="s">
        <v>44</v>
      </c>
      <c r="BL471">
        <v>25908</v>
      </c>
      <c r="BM471" t="s">
        <v>35</v>
      </c>
      <c r="BN471" t="s">
        <v>37</v>
      </c>
      <c r="BO471" s="4">
        <v>60000</v>
      </c>
      <c r="BP471" s="4">
        <v>60000</v>
      </c>
      <c r="BQ471">
        <v>0</v>
      </c>
      <c r="BR471" t="s">
        <v>14</v>
      </c>
      <c r="BS471" t="s">
        <v>18</v>
      </c>
      <c r="BT471">
        <v>27</v>
      </c>
    </row>
    <row r="472" spans="1:72" x14ac:dyDescent="0.25">
      <c r="A472">
        <v>19562</v>
      </c>
      <c r="B472" t="s">
        <v>36</v>
      </c>
      <c r="C472" t="s">
        <v>37</v>
      </c>
      <c r="D472" s="11">
        <v>60000</v>
      </c>
      <c r="E472">
        <v>2</v>
      </c>
      <c r="F472" t="s">
        <v>13</v>
      </c>
      <c r="G472" t="s">
        <v>21</v>
      </c>
      <c r="H472" t="s">
        <v>15</v>
      </c>
      <c r="I472">
        <v>1</v>
      </c>
      <c r="J472" t="s">
        <v>22</v>
      </c>
      <c r="K472" t="s">
        <v>24</v>
      </c>
      <c r="L472">
        <v>37</v>
      </c>
      <c r="M472" t="str">
        <f t="shared" si="7"/>
        <v>MIddleAge</v>
      </c>
      <c r="N472" t="s">
        <v>15</v>
      </c>
      <c r="R472">
        <v>11622</v>
      </c>
      <c r="S472" t="s">
        <v>35</v>
      </c>
      <c r="T472" t="s">
        <v>38</v>
      </c>
      <c r="U472" s="4">
        <v>50000</v>
      </c>
      <c r="V472">
        <v>0</v>
      </c>
      <c r="W472" t="s">
        <v>30</v>
      </c>
      <c r="X472" t="s">
        <v>14</v>
      </c>
      <c r="Y472" t="s">
        <v>15</v>
      </c>
      <c r="Z472">
        <v>0</v>
      </c>
      <c r="AA472" t="s">
        <v>16</v>
      </c>
      <c r="AB472" t="s">
        <v>31</v>
      </c>
      <c r="AC472">
        <v>32</v>
      </c>
      <c r="AD472" t="s">
        <v>44</v>
      </c>
      <c r="BL472">
        <v>24584</v>
      </c>
      <c r="BM472" t="s">
        <v>36</v>
      </c>
      <c r="BN472" t="s">
        <v>38</v>
      </c>
      <c r="BO472" s="4">
        <v>60000</v>
      </c>
      <c r="BP472" s="4">
        <v>60000</v>
      </c>
      <c r="BQ472">
        <v>0</v>
      </c>
      <c r="BR472" t="s">
        <v>21</v>
      </c>
      <c r="BS472" t="s">
        <v>18</v>
      </c>
      <c r="BT472">
        <v>31</v>
      </c>
    </row>
    <row r="473" spans="1:72" x14ac:dyDescent="0.25">
      <c r="A473">
        <v>19002</v>
      </c>
      <c r="B473" t="s">
        <v>35</v>
      </c>
      <c r="C473" t="s">
        <v>37</v>
      </c>
      <c r="D473" s="11">
        <v>60000</v>
      </c>
      <c r="E473">
        <v>2</v>
      </c>
      <c r="F473" t="s">
        <v>19</v>
      </c>
      <c r="G473" t="s">
        <v>21</v>
      </c>
      <c r="H473" t="s">
        <v>15</v>
      </c>
      <c r="I473">
        <v>1</v>
      </c>
      <c r="J473" t="s">
        <v>22</v>
      </c>
      <c r="K473" t="s">
        <v>31</v>
      </c>
      <c r="L473">
        <v>57</v>
      </c>
      <c r="M473" t="str">
        <f t="shared" si="7"/>
        <v>Old</v>
      </c>
      <c r="N473" t="s">
        <v>15</v>
      </c>
      <c r="R473">
        <v>26582</v>
      </c>
      <c r="S473" t="s">
        <v>35</v>
      </c>
      <c r="T473" t="s">
        <v>38</v>
      </c>
      <c r="U473" s="4">
        <v>60000</v>
      </c>
      <c r="V473">
        <v>0</v>
      </c>
      <c r="W473" t="s">
        <v>19</v>
      </c>
      <c r="X473" t="s">
        <v>14</v>
      </c>
      <c r="Y473" t="s">
        <v>15</v>
      </c>
      <c r="Z473">
        <v>2</v>
      </c>
      <c r="AA473" t="s">
        <v>23</v>
      </c>
      <c r="AB473" t="s">
        <v>31</v>
      </c>
      <c r="AC473">
        <v>33</v>
      </c>
      <c r="AD473" t="s">
        <v>44</v>
      </c>
      <c r="BL473">
        <v>23358</v>
      </c>
      <c r="BM473" t="s">
        <v>35</v>
      </c>
      <c r="BN473" t="s">
        <v>38</v>
      </c>
      <c r="BO473" s="4">
        <v>60000</v>
      </c>
      <c r="BP473" s="4">
        <v>60000</v>
      </c>
      <c r="BQ473">
        <v>0</v>
      </c>
      <c r="BR473" t="s">
        <v>21</v>
      </c>
      <c r="BS473" t="s">
        <v>15</v>
      </c>
      <c r="BT473">
        <v>32</v>
      </c>
    </row>
    <row r="474" spans="1:72" x14ac:dyDescent="0.25">
      <c r="A474">
        <v>18858</v>
      </c>
      <c r="B474" t="s">
        <v>36</v>
      </c>
      <c r="C474" t="s">
        <v>38</v>
      </c>
      <c r="D474" s="11">
        <v>60000</v>
      </c>
      <c r="E474">
        <v>2</v>
      </c>
      <c r="F474" t="s">
        <v>29</v>
      </c>
      <c r="G474" t="s">
        <v>14</v>
      </c>
      <c r="H474" t="s">
        <v>15</v>
      </c>
      <c r="I474">
        <v>2</v>
      </c>
      <c r="J474" t="s">
        <v>23</v>
      </c>
      <c r="K474" t="s">
        <v>31</v>
      </c>
      <c r="L474">
        <v>52</v>
      </c>
      <c r="M474" t="str">
        <f t="shared" si="7"/>
        <v>MIddleAge</v>
      </c>
      <c r="N474" t="s">
        <v>15</v>
      </c>
      <c r="R474">
        <v>25909</v>
      </c>
      <c r="S474" t="s">
        <v>35</v>
      </c>
      <c r="T474" t="s">
        <v>38</v>
      </c>
      <c r="U474" s="4">
        <v>60000</v>
      </c>
      <c r="V474">
        <v>0</v>
      </c>
      <c r="W474" t="s">
        <v>19</v>
      </c>
      <c r="X474" t="s">
        <v>14</v>
      </c>
      <c r="Y474" t="s">
        <v>15</v>
      </c>
      <c r="Z474">
        <v>1</v>
      </c>
      <c r="AA474" t="s">
        <v>23</v>
      </c>
      <c r="AB474" t="s">
        <v>31</v>
      </c>
      <c r="AC474">
        <v>27</v>
      </c>
      <c r="AD474" t="s">
        <v>43</v>
      </c>
      <c r="BL474">
        <v>22211</v>
      </c>
      <c r="BM474" t="s">
        <v>35</v>
      </c>
      <c r="BN474" t="s">
        <v>38</v>
      </c>
      <c r="BO474" s="4">
        <v>60000</v>
      </c>
      <c r="BP474" s="4">
        <v>60000</v>
      </c>
      <c r="BQ474">
        <v>0</v>
      </c>
      <c r="BR474" t="s">
        <v>21</v>
      </c>
      <c r="BS474" t="s">
        <v>15</v>
      </c>
      <c r="BT474">
        <v>32</v>
      </c>
    </row>
    <row r="475" spans="1:72" x14ac:dyDescent="0.25">
      <c r="A475">
        <v>18847</v>
      </c>
      <c r="B475" t="s">
        <v>35</v>
      </c>
      <c r="C475" t="s">
        <v>37</v>
      </c>
      <c r="D475" s="11">
        <v>60000</v>
      </c>
      <c r="E475">
        <v>2</v>
      </c>
      <c r="F475" t="s">
        <v>30</v>
      </c>
      <c r="G475" t="s">
        <v>28</v>
      </c>
      <c r="H475" t="s">
        <v>15</v>
      </c>
      <c r="I475">
        <v>2</v>
      </c>
      <c r="J475" t="s">
        <v>23</v>
      </c>
      <c r="K475" t="s">
        <v>31</v>
      </c>
      <c r="L475">
        <v>70</v>
      </c>
      <c r="M475" t="str">
        <f t="shared" si="7"/>
        <v>Old</v>
      </c>
      <c r="N475" t="s">
        <v>18</v>
      </c>
      <c r="R475">
        <v>25908</v>
      </c>
      <c r="S475" t="s">
        <v>35</v>
      </c>
      <c r="T475" t="s">
        <v>37</v>
      </c>
      <c r="U475" s="4">
        <v>60000</v>
      </c>
      <c r="V475">
        <v>0</v>
      </c>
      <c r="W475" t="s">
        <v>19</v>
      </c>
      <c r="X475" t="s">
        <v>14</v>
      </c>
      <c r="Y475" t="s">
        <v>18</v>
      </c>
      <c r="Z475">
        <v>1</v>
      </c>
      <c r="AA475" t="s">
        <v>26</v>
      </c>
      <c r="AB475" t="s">
        <v>31</v>
      </c>
      <c r="AC475">
        <v>27</v>
      </c>
      <c r="AD475" t="s">
        <v>43</v>
      </c>
      <c r="BL475">
        <v>21695</v>
      </c>
      <c r="BM475" t="s">
        <v>35</v>
      </c>
      <c r="BN475" t="s">
        <v>38</v>
      </c>
      <c r="BO475" s="4">
        <v>60000</v>
      </c>
      <c r="BP475" s="4">
        <v>60000</v>
      </c>
      <c r="BQ475">
        <v>0</v>
      </c>
      <c r="BR475" t="s">
        <v>14</v>
      </c>
      <c r="BS475" t="s">
        <v>15</v>
      </c>
      <c r="BT475">
        <v>39</v>
      </c>
    </row>
    <row r="476" spans="1:72" x14ac:dyDescent="0.25">
      <c r="A476">
        <v>18580</v>
      </c>
      <c r="B476" t="s">
        <v>35</v>
      </c>
      <c r="C476" t="s">
        <v>37</v>
      </c>
      <c r="D476" s="11">
        <v>60000</v>
      </c>
      <c r="E476">
        <v>2</v>
      </c>
      <c r="F476" t="s">
        <v>30</v>
      </c>
      <c r="G476" t="s">
        <v>21</v>
      </c>
      <c r="H476" t="s">
        <v>15</v>
      </c>
      <c r="I476">
        <v>0</v>
      </c>
      <c r="J476" t="s">
        <v>22</v>
      </c>
      <c r="K476" t="s">
        <v>31</v>
      </c>
      <c r="L476">
        <v>40</v>
      </c>
      <c r="M476" t="str">
        <f t="shared" si="7"/>
        <v>MIddleAge</v>
      </c>
      <c r="N476" t="s">
        <v>15</v>
      </c>
      <c r="R476">
        <v>23358</v>
      </c>
      <c r="S476" t="s">
        <v>35</v>
      </c>
      <c r="T476" t="s">
        <v>38</v>
      </c>
      <c r="U476" s="4">
        <v>60000</v>
      </c>
      <c r="V476">
        <v>0</v>
      </c>
      <c r="W476" t="s">
        <v>27</v>
      </c>
      <c r="X476" t="s">
        <v>21</v>
      </c>
      <c r="Y476" t="s">
        <v>15</v>
      </c>
      <c r="Z476">
        <v>2</v>
      </c>
      <c r="AA476" t="s">
        <v>23</v>
      </c>
      <c r="AB476" t="s">
        <v>31</v>
      </c>
      <c r="AC476">
        <v>32</v>
      </c>
      <c r="AD476" t="s">
        <v>44</v>
      </c>
      <c r="BL476">
        <v>21693</v>
      </c>
      <c r="BM476" t="s">
        <v>36</v>
      </c>
      <c r="BN476" t="s">
        <v>37</v>
      </c>
      <c r="BO476" s="4">
        <v>60000</v>
      </c>
      <c r="BP476" s="4">
        <v>60000</v>
      </c>
      <c r="BQ476">
        <v>0</v>
      </c>
      <c r="BR476" t="s">
        <v>14</v>
      </c>
      <c r="BS476" t="s">
        <v>18</v>
      </c>
      <c r="BT476">
        <v>40</v>
      </c>
    </row>
    <row r="477" spans="1:72" x14ac:dyDescent="0.25">
      <c r="A477">
        <v>18411</v>
      </c>
      <c r="B477" t="s">
        <v>35</v>
      </c>
      <c r="C477" t="s">
        <v>38</v>
      </c>
      <c r="D477" s="11">
        <v>60000</v>
      </c>
      <c r="E477">
        <v>2</v>
      </c>
      <c r="F477" t="s">
        <v>27</v>
      </c>
      <c r="G477" t="s">
        <v>21</v>
      </c>
      <c r="H477" t="s">
        <v>18</v>
      </c>
      <c r="I477">
        <v>2</v>
      </c>
      <c r="J477" t="s">
        <v>23</v>
      </c>
      <c r="K477" t="s">
        <v>31</v>
      </c>
      <c r="L477">
        <v>51</v>
      </c>
      <c r="M477" t="str">
        <f t="shared" si="7"/>
        <v>MIddleAge</v>
      </c>
      <c r="N477" t="s">
        <v>18</v>
      </c>
      <c r="R477">
        <v>22211</v>
      </c>
      <c r="S477" t="s">
        <v>35</v>
      </c>
      <c r="T477" t="s">
        <v>38</v>
      </c>
      <c r="U477" s="4">
        <v>60000</v>
      </c>
      <c r="V477">
        <v>0</v>
      </c>
      <c r="W477" t="s">
        <v>19</v>
      </c>
      <c r="X477" t="s">
        <v>21</v>
      </c>
      <c r="Y477" t="s">
        <v>15</v>
      </c>
      <c r="Z477">
        <v>2</v>
      </c>
      <c r="AA477" t="s">
        <v>23</v>
      </c>
      <c r="AB477" t="s">
        <v>31</v>
      </c>
      <c r="AC477">
        <v>32</v>
      </c>
      <c r="AD477" t="s">
        <v>44</v>
      </c>
      <c r="BL477">
        <v>21417</v>
      </c>
      <c r="BM477" t="s">
        <v>36</v>
      </c>
      <c r="BN477" t="s">
        <v>37</v>
      </c>
      <c r="BO477" s="4">
        <v>60000</v>
      </c>
      <c r="BP477" s="4">
        <v>60000</v>
      </c>
      <c r="BQ477">
        <v>0</v>
      </c>
      <c r="BR477" t="s">
        <v>21</v>
      </c>
      <c r="BS477" t="s">
        <v>18</v>
      </c>
      <c r="BT477">
        <v>32</v>
      </c>
    </row>
    <row r="478" spans="1:72" x14ac:dyDescent="0.25">
      <c r="A478">
        <v>18105</v>
      </c>
      <c r="B478" t="s">
        <v>35</v>
      </c>
      <c r="C478" t="s">
        <v>37</v>
      </c>
      <c r="D478" s="11">
        <v>60000</v>
      </c>
      <c r="E478">
        <v>2</v>
      </c>
      <c r="F478" t="s">
        <v>19</v>
      </c>
      <c r="G478" t="s">
        <v>21</v>
      </c>
      <c r="H478" t="s">
        <v>15</v>
      </c>
      <c r="I478">
        <v>1</v>
      </c>
      <c r="J478" t="s">
        <v>42</v>
      </c>
      <c r="K478" t="s">
        <v>31</v>
      </c>
      <c r="L478">
        <v>55</v>
      </c>
      <c r="M478" t="str">
        <f t="shared" si="7"/>
        <v>Old</v>
      </c>
      <c r="N478" t="s">
        <v>18</v>
      </c>
      <c r="R478">
        <v>21695</v>
      </c>
      <c r="S478" t="s">
        <v>35</v>
      </c>
      <c r="T478" t="s">
        <v>38</v>
      </c>
      <c r="U478" s="4">
        <v>60000</v>
      </c>
      <c r="V478">
        <v>0</v>
      </c>
      <c r="W478" t="s">
        <v>30</v>
      </c>
      <c r="X478" t="s">
        <v>14</v>
      </c>
      <c r="Y478" t="s">
        <v>15</v>
      </c>
      <c r="Z478">
        <v>0</v>
      </c>
      <c r="AA478" t="s">
        <v>26</v>
      </c>
      <c r="AB478" t="s">
        <v>31</v>
      </c>
      <c r="AC478">
        <v>39</v>
      </c>
      <c r="AD478" t="s">
        <v>44</v>
      </c>
      <c r="BL478">
        <v>20414</v>
      </c>
      <c r="BM478" t="s">
        <v>35</v>
      </c>
      <c r="BN478" t="s">
        <v>37</v>
      </c>
      <c r="BO478" s="4">
        <v>60000</v>
      </c>
      <c r="BP478" s="4">
        <v>60000</v>
      </c>
      <c r="BQ478">
        <v>0</v>
      </c>
      <c r="BR478" t="s">
        <v>14</v>
      </c>
      <c r="BS478" t="s">
        <v>15</v>
      </c>
      <c r="BT478">
        <v>29</v>
      </c>
    </row>
    <row r="479" spans="1:72" x14ac:dyDescent="0.25">
      <c r="A479">
        <v>17531</v>
      </c>
      <c r="B479" t="s">
        <v>35</v>
      </c>
      <c r="C479" t="s">
        <v>38</v>
      </c>
      <c r="D479" s="11">
        <v>60000</v>
      </c>
      <c r="E479">
        <v>2</v>
      </c>
      <c r="F479" t="s">
        <v>27</v>
      </c>
      <c r="G479" t="s">
        <v>21</v>
      </c>
      <c r="H479" t="s">
        <v>18</v>
      </c>
      <c r="I479">
        <v>2</v>
      </c>
      <c r="J479" t="s">
        <v>23</v>
      </c>
      <c r="K479" t="s">
        <v>31</v>
      </c>
      <c r="L479">
        <v>50</v>
      </c>
      <c r="M479" t="str">
        <f t="shared" si="7"/>
        <v>MIddleAge</v>
      </c>
      <c r="N479" t="s">
        <v>18</v>
      </c>
      <c r="R479">
        <v>21693</v>
      </c>
      <c r="S479" t="s">
        <v>36</v>
      </c>
      <c r="T479" t="s">
        <v>37</v>
      </c>
      <c r="U479" s="4">
        <v>60000</v>
      </c>
      <c r="V479">
        <v>0</v>
      </c>
      <c r="W479" t="s">
        <v>30</v>
      </c>
      <c r="X479" t="s">
        <v>14</v>
      </c>
      <c r="Y479" t="s">
        <v>18</v>
      </c>
      <c r="Z479">
        <v>0</v>
      </c>
      <c r="AA479" t="s">
        <v>16</v>
      </c>
      <c r="AB479" t="s">
        <v>31</v>
      </c>
      <c r="AC479">
        <v>40</v>
      </c>
      <c r="AD479" t="s">
        <v>44</v>
      </c>
      <c r="BL479">
        <v>20310</v>
      </c>
      <c r="BM479" t="s">
        <v>36</v>
      </c>
      <c r="BN479" t="s">
        <v>38</v>
      </c>
      <c r="BO479" s="4">
        <v>60000</v>
      </c>
      <c r="BP479" s="4">
        <v>60000</v>
      </c>
      <c r="BQ479">
        <v>0</v>
      </c>
      <c r="BR479" t="s">
        <v>14</v>
      </c>
      <c r="BS479" t="s">
        <v>15</v>
      </c>
      <c r="BT479">
        <v>27</v>
      </c>
    </row>
    <row r="480" spans="1:72" x14ac:dyDescent="0.25">
      <c r="A480">
        <v>17436</v>
      </c>
      <c r="B480" t="s">
        <v>35</v>
      </c>
      <c r="C480" t="s">
        <v>38</v>
      </c>
      <c r="D480" s="11">
        <v>60000</v>
      </c>
      <c r="E480">
        <v>2</v>
      </c>
      <c r="F480" t="s">
        <v>27</v>
      </c>
      <c r="G480" t="s">
        <v>21</v>
      </c>
      <c r="H480" t="s">
        <v>18</v>
      </c>
      <c r="I480">
        <v>2</v>
      </c>
      <c r="J480" t="s">
        <v>26</v>
      </c>
      <c r="K480" t="s">
        <v>31</v>
      </c>
      <c r="L480">
        <v>51</v>
      </c>
      <c r="M480" t="str">
        <f t="shared" si="7"/>
        <v>MIddleAge</v>
      </c>
      <c r="N480" t="s">
        <v>18</v>
      </c>
      <c r="R480">
        <v>21417</v>
      </c>
      <c r="S480" t="s">
        <v>36</v>
      </c>
      <c r="T480" t="s">
        <v>37</v>
      </c>
      <c r="U480" s="4">
        <v>60000</v>
      </c>
      <c r="V480">
        <v>0</v>
      </c>
      <c r="W480" t="s">
        <v>19</v>
      </c>
      <c r="X480" t="s">
        <v>21</v>
      </c>
      <c r="Y480" t="s">
        <v>18</v>
      </c>
      <c r="Z480">
        <v>2</v>
      </c>
      <c r="AA480" t="s">
        <v>26</v>
      </c>
      <c r="AB480" t="s">
        <v>31</v>
      </c>
      <c r="AC480">
        <v>32</v>
      </c>
      <c r="AD480" t="s">
        <v>44</v>
      </c>
      <c r="BL480">
        <v>20296</v>
      </c>
      <c r="BM480" t="s">
        <v>36</v>
      </c>
      <c r="BN480" t="s">
        <v>37</v>
      </c>
      <c r="BO480" s="4">
        <v>60000</v>
      </c>
      <c r="BP480" s="4">
        <v>60000</v>
      </c>
      <c r="BQ480">
        <v>0</v>
      </c>
      <c r="BR480" t="s">
        <v>14</v>
      </c>
      <c r="BS480" t="s">
        <v>18</v>
      </c>
      <c r="BT480">
        <v>33</v>
      </c>
    </row>
    <row r="481" spans="1:72" x14ac:dyDescent="0.25">
      <c r="A481">
        <v>16813</v>
      </c>
      <c r="B481" t="s">
        <v>35</v>
      </c>
      <c r="C481" t="s">
        <v>38</v>
      </c>
      <c r="D481" s="11">
        <v>60000</v>
      </c>
      <c r="E481">
        <v>2</v>
      </c>
      <c r="F481" t="s">
        <v>19</v>
      </c>
      <c r="G481" t="s">
        <v>21</v>
      </c>
      <c r="H481" t="s">
        <v>15</v>
      </c>
      <c r="I481">
        <v>2</v>
      </c>
      <c r="J481" t="s">
        <v>42</v>
      </c>
      <c r="K481" t="s">
        <v>31</v>
      </c>
      <c r="L481">
        <v>55</v>
      </c>
      <c r="M481" t="str">
        <f t="shared" si="7"/>
        <v>Old</v>
      </c>
      <c r="N481" t="s">
        <v>18</v>
      </c>
      <c r="R481">
        <v>20310</v>
      </c>
      <c r="S481" t="s">
        <v>36</v>
      </c>
      <c r="T481" t="s">
        <v>38</v>
      </c>
      <c r="U481" s="4">
        <v>60000</v>
      </c>
      <c r="V481">
        <v>0</v>
      </c>
      <c r="W481" t="s">
        <v>19</v>
      </c>
      <c r="X481" t="s">
        <v>14</v>
      </c>
      <c r="Y481" t="s">
        <v>15</v>
      </c>
      <c r="Z481">
        <v>1</v>
      </c>
      <c r="AA481" t="s">
        <v>23</v>
      </c>
      <c r="AB481" t="s">
        <v>31</v>
      </c>
      <c r="AC481">
        <v>27</v>
      </c>
      <c r="AD481" t="s">
        <v>43</v>
      </c>
      <c r="BL481">
        <v>19758</v>
      </c>
      <c r="BM481" t="s">
        <v>36</v>
      </c>
      <c r="BN481" t="s">
        <v>38</v>
      </c>
      <c r="BO481" s="4">
        <v>60000</v>
      </c>
      <c r="BP481" s="4">
        <v>60000</v>
      </c>
      <c r="BQ481">
        <v>0</v>
      </c>
      <c r="BR481" t="s">
        <v>14</v>
      </c>
      <c r="BS481" t="s">
        <v>18</v>
      </c>
      <c r="BT481">
        <v>29</v>
      </c>
    </row>
    <row r="482" spans="1:72" x14ac:dyDescent="0.25">
      <c r="A482">
        <v>16163</v>
      </c>
      <c r="B482" t="s">
        <v>36</v>
      </c>
      <c r="C482" t="s">
        <v>38</v>
      </c>
      <c r="D482" s="11">
        <v>60000</v>
      </c>
      <c r="E482">
        <v>2</v>
      </c>
      <c r="F482" t="s">
        <v>13</v>
      </c>
      <c r="G482" t="s">
        <v>21</v>
      </c>
      <c r="H482" t="s">
        <v>15</v>
      </c>
      <c r="I482">
        <v>1</v>
      </c>
      <c r="J482" t="s">
        <v>22</v>
      </c>
      <c r="K482" t="s">
        <v>24</v>
      </c>
      <c r="L482">
        <v>38</v>
      </c>
      <c r="M482" t="str">
        <f t="shared" si="7"/>
        <v>MIddleAge</v>
      </c>
      <c r="N482" t="s">
        <v>15</v>
      </c>
      <c r="R482">
        <v>20296</v>
      </c>
      <c r="S482" t="s">
        <v>36</v>
      </c>
      <c r="T482" t="s">
        <v>37</v>
      </c>
      <c r="U482" s="4">
        <v>60000</v>
      </c>
      <c r="V482">
        <v>0</v>
      </c>
      <c r="W482" t="s">
        <v>19</v>
      </c>
      <c r="X482" t="s">
        <v>14</v>
      </c>
      <c r="Y482" t="s">
        <v>18</v>
      </c>
      <c r="Z482">
        <v>1</v>
      </c>
      <c r="AA482" t="s">
        <v>26</v>
      </c>
      <c r="AB482" t="s">
        <v>31</v>
      </c>
      <c r="AC482">
        <v>33</v>
      </c>
      <c r="AD482" t="s">
        <v>44</v>
      </c>
      <c r="BL482">
        <v>18577</v>
      </c>
      <c r="BM482" t="s">
        <v>35</v>
      </c>
      <c r="BN482" t="s">
        <v>37</v>
      </c>
      <c r="BO482" s="4">
        <v>60000</v>
      </c>
      <c r="BP482" s="4">
        <v>60000</v>
      </c>
      <c r="BQ482">
        <v>0</v>
      </c>
      <c r="BR482" t="s">
        <v>21</v>
      </c>
      <c r="BS482" t="s">
        <v>15</v>
      </c>
      <c r="BT482">
        <v>40</v>
      </c>
    </row>
    <row r="483" spans="1:72" x14ac:dyDescent="0.25">
      <c r="A483">
        <v>15895</v>
      </c>
      <c r="B483" t="s">
        <v>36</v>
      </c>
      <c r="C483" t="s">
        <v>37</v>
      </c>
      <c r="D483" s="11">
        <v>60000</v>
      </c>
      <c r="E483">
        <v>2</v>
      </c>
      <c r="F483" t="s">
        <v>13</v>
      </c>
      <c r="G483" t="s">
        <v>28</v>
      </c>
      <c r="H483" t="s">
        <v>15</v>
      </c>
      <c r="I483">
        <v>0</v>
      </c>
      <c r="J483" t="s">
        <v>42</v>
      </c>
      <c r="K483" t="s">
        <v>31</v>
      </c>
      <c r="L483">
        <v>58</v>
      </c>
      <c r="M483" t="str">
        <f t="shared" si="7"/>
        <v>Old</v>
      </c>
      <c r="N483" t="s">
        <v>18</v>
      </c>
      <c r="R483">
        <v>16751</v>
      </c>
      <c r="S483" t="s">
        <v>35</v>
      </c>
      <c r="T483" t="s">
        <v>38</v>
      </c>
      <c r="U483" s="4">
        <v>60000</v>
      </c>
      <c r="V483">
        <v>0</v>
      </c>
      <c r="W483" t="s">
        <v>19</v>
      </c>
      <c r="X483" t="s">
        <v>14</v>
      </c>
      <c r="Y483" t="s">
        <v>15</v>
      </c>
      <c r="Z483">
        <v>1</v>
      </c>
      <c r="AA483" t="s">
        <v>23</v>
      </c>
      <c r="AB483" t="s">
        <v>31</v>
      </c>
      <c r="AC483">
        <v>32</v>
      </c>
      <c r="AD483" t="s">
        <v>44</v>
      </c>
      <c r="BL483">
        <v>18572</v>
      </c>
      <c r="BM483" t="s">
        <v>35</v>
      </c>
      <c r="BN483" t="s">
        <v>37</v>
      </c>
      <c r="BO483" s="4">
        <v>60000</v>
      </c>
      <c r="BP483" s="4">
        <v>60000</v>
      </c>
      <c r="BQ483">
        <v>0</v>
      </c>
      <c r="BR483" t="s">
        <v>21</v>
      </c>
      <c r="BS483" t="s">
        <v>15</v>
      </c>
      <c r="BT483">
        <v>39</v>
      </c>
    </row>
    <row r="484" spans="1:72" x14ac:dyDescent="0.25">
      <c r="A484">
        <v>15580</v>
      </c>
      <c r="B484" t="s">
        <v>35</v>
      </c>
      <c r="C484" t="s">
        <v>38</v>
      </c>
      <c r="D484" s="11">
        <v>60000</v>
      </c>
      <c r="E484">
        <v>2</v>
      </c>
      <c r="F484" t="s">
        <v>13</v>
      </c>
      <c r="G484" t="s">
        <v>21</v>
      </c>
      <c r="H484" t="s">
        <v>15</v>
      </c>
      <c r="I484">
        <v>1</v>
      </c>
      <c r="J484" t="s">
        <v>22</v>
      </c>
      <c r="K484" t="s">
        <v>24</v>
      </c>
      <c r="L484">
        <v>38</v>
      </c>
      <c r="M484" t="str">
        <f t="shared" si="7"/>
        <v>MIddleAge</v>
      </c>
      <c r="N484" t="s">
        <v>15</v>
      </c>
      <c r="R484">
        <v>11941</v>
      </c>
      <c r="S484" t="s">
        <v>36</v>
      </c>
      <c r="T484" t="s">
        <v>38</v>
      </c>
      <c r="U484" s="4">
        <v>60000</v>
      </c>
      <c r="V484">
        <v>0</v>
      </c>
      <c r="W484" t="s">
        <v>19</v>
      </c>
      <c r="X484" t="s">
        <v>14</v>
      </c>
      <c r="Y484" t="s">
        <v>15</v>
      </c>
      <c r="Z484">
        <v>0</v>
      </c>
      <c r="AA484" t="s">
        <v>23</v>
      </c>
      <c r="AB484" t="s">
        <v>31</v>
      </c>
      <c r="AC484">
        <v>29</v>
      </c>
      <c r="AD484" t="s">
        <v>43</v>
      </c>
      <c r="BL484">
        <v>17519</v>
      </c>
      <c r="BM484" t="s">
        <v>35</v>
      </c>
      <c r="BN484" t="s">
        <v>37</v>
      </c>
      <c r="BO484" s="4">
        <v>60000</v>
      </c>
      <c r="BP484" s="4">
        <v>60000</v>
      </c>
      <c r="BQ484">
        <v>0</v>
      </c>
      <c r="BR484" t="s">
        <v>21</v>
      </c>
      <c r="BS484" t="s">
        <v>15</v>
      </c>
      <c r="BT484">
        <v>32</v>
      </c>
    </row>
    <row r="485" spans="1:72" x14ac:dyDescent="0.25">
      <c r="A485">
        <v>14389</v>
      </c>
      <c r="B485" t="s">
        <v>35</v>
      </c>
      <c r="C485" t="s">
        <v>38</v>
      </c>
      <c r="D485" s="11">
        <v>60000</v>
      </c>
      <c r="E485">
        <v>2</v>
      </c>
      <c r="F485" t="s">
        <v>13</v>
      </c>
      <c r="G485" t="s">
        <v>28</v>
      </c>
      <c r="H485" t="s">
        <v>15</v>
      </c>
      <c r="I485">
        <v>0</v>
      </c>
      <c r="J485" t="s">
        <v>22</v>
      </c>
      <c r="K485" t="s">
        <v>31</v>
      </c>
      <c r="L485">
        <v>59</v>
      </c>
      <c r="M485" t="str">
        <f t="shared" si="7"/>
        <v>Old</v>
      </c>
      <c r="N485" t="s">
        <v>18</v>
      </c>
      <c r="R485">
        <v>11165</v>
      </c>
      <c r="S485" t="s">
        <v>35</v>
      </c>
      <c r="T485" t="s">
        <v>37</v>
      </c>
      <c r="U485" s="4">
        <v>60000</v>
      </c>
      <c r="V485">
        <v>0</v>
      </c>
      <c r="W485" t="s">
        <v>19</v>
      </c>
      <c r="X485" t="s">
        <v>14</v>
      </c>
      <c r="Y485" t="s">
        <v>18</v>
      </c>
      <c r="Z485">
        <v>1</v>
      </c>
      <c r="AA485" t="s">
        <v>26</v>
      </c>
      <c r="AB485" t="s">
        <v>31</v>
      </c>
      <c r="AC485">
        <v>33</v>
      </c>
      <c r="AD485" t="s">
        <v>44</v>
      </c>
      <c r="BL485">
        <v>16751</v>
      </c>
      <c r="BM485" t="s">
        <v>35</v>
      </c>
      <c r="BN485" t="s">
        <v>38</v>
      </c>
      <c r="BO485" s="4">
        <v>60000</v>
      </c>
      <c r="BP485" s="4">
        <v>60000</v>
      </c>
      <c r="BQ485">
        <v>0</v>
      </c>
      <c r="BR485" t="s">
        <v>14</v>
      </c>
      <c r="BS485" t="s">
        <v>15</v>
      </c>
      <c r="BT485">
        <v>32</v>
      </c>
    </row>
    <row r="486" spans="1:72" x14ac:dyDescent="0.25">
      <c r="A486">
        <v>13388</v>
      </c>
      <c r="B486" t="s">
        <v>36</v>
      </c>
      <c r="C486" t="s">
        <v>38</v>
      </c>
      <c r="D486" s="11">
        <v>60000</v>
      </c>
      <c r="E486">
        <v>2</v>
      </c>
      <c r="F486" t="s">
        <v>19</v>
      </c>
      <c r="G486" t="s">
        <v>21</v>
      </c>
      <c r="H486" t="s">
        <v>15</v>
      </c>
      <c r="I486">
        <v>1</v>
      </c>
      <c r="J486" t="s">
        <v>42</v>
      </c>
      <c r="K486" t="s">
        <v>31</v>
      </c>
      <c r="L486">
        <v>56</v>
      </c>
      <c r="M486" t="str">
        <f t="shared" si="7"/>
        <v>Old</v>
      </c>
      <c r="N486" t="s">
        <v>18</v>
      </c>
      <c r="R486">
        <v>27540</v>
      </c>
      <c r="S486" t="s">
        <v>36</v>
      </c>
      <c r="T486" t="s">
        <v>37</v>
      </c>
      <c r="U486" s="4">
        <v>70000</v>
      </c>
      <c r="V486">
        <v>0</v>
      </c>
      <c r="W486" t="s">
        <v>13</v>
      </c>
      <c r="X486" t="s">
        <v>21</v>
      </c>
      <c r="Y486" t="s">
        <v>18</v>
      </c>
      <c r="Z486">
        <v>1</v>
      </c>
      <c r="AA486" t="s">
        <v>16</v>
      </c>
      <c r="AB486" t="s">
        <v>31</v>
      </c>
      <c r="AC486">
        <v>37</v>
      </c>
      <c r="AD486" t="s">
        <v>44</v>
      </c>
      <c r="BL486">
        <v>16337</v>
      </c>
      <c r="BM486" t="s">
        <v>35</v>
      </c>
      <c r="BN486" t="s">
        <v>38</v>
      </c>
      <c r="BO486" s="4">
        <v>60000</v>
      </c>
      <c r="BP486" s="4">
        <v>60000</v>
      </c>
      <c r="BQ486">
        <v>0</v>
      </c>
      <c r="BR486" t="s">
        <v>14</v>
      </c>
      <c r="BS486" t="s">
        <v>18</v>
      </c>
      <c r="BT486">
        <v>29</v>
      </c>
    </row>
    <row r="487" spans="1:72" x14ac:dyDescent="0.25">
      <c r="A487">
        <v>13233</v>
      </c>
      <c r="B487" t="s">
        <v>35</v>
      </c>
      <c r="C487" t="s">
        <v>38</v>
      </c>
      <c r="D487" s="11">
        <v>60000</v>
      </c>
      <c r="E487">
        <v>2</v>
      </c>
      <c r="F487" t="s">
        <v>19</v>
      </c>
      <c r="G487" t="s">
        <v>21</v>
      </c>
      <c r="H487" t="s">
        <v>15</v>
      </c>
      <c r="I487">
        <v>1</v>
      </c>
      <c r="J487" t="s">
        <v>42</v>
      </c>
      <c r="K487" t="s">
        <v>31</v>
      </c>
      <c r="L487">
        <v>57</v>
      </c>
      <c r="M487" t="str">
        <f t="shared" si="7"/>
        <v>Old</v>
      </c>
      <c r="N487" t="s">
        <v>15</v>
      </c>
      <c r="R487">
        <v>26150</v>
      </c>
      <c r="S487" t="s">
        <v>36</v>
      </c>
      <c r="T487" t="s">
        <v>37</v>
      </c>
      <c r="U487" s="4">
        <v>70000</v>
      </c>
      <c r="V487">
        <v>0</v>
      </c>
      <c r="W487" t="s">
        <v>13</v>
      </c>
      <c r="X487" t="s">
        <v>21</v>
      </c>
      <c r="Y487" t="s">
        <v>18</v>
      </c>
      <c r="Z487">
        <v>1</v>
      </c>
      <c r="AA487" t="s">
        <v>16</v>
      </c>
      <c r="AB487" t="s">
        <v>24</v>
      </c>
      <c r="AC487">
        <v>41</v>
      </c>
      <c r="AD487" t="s">
        <v>44</v>
      </c>
      <c r="BL487">
        <v>16217</v>
      </c>
      <c r="BM487" t="s">
        <v>36</v>
      </c>
      <c r="BN487" t="s">
        <v>37</v>
      </c>
      <c r="BO487" s="4">
        <v>60000</v>
      </c>
      <c r="BP487" s="4">
        <v>60000</v>
      </c>
      <c r="BQ487">
        <v>0</v>
      </c>
      <c r="BR487" t="s">
        <v>14</v>
      </c>
      <c r="BS487" t="s">
        <v>15</v>
      </c>
      <c r="BT487">
        <v>39</v>
      </c>
    </row>
    <row r="488" spans="1:72" x14ac:dyDescent="0.25">
      <c r="A488">
        <v>12993</v>
      </c>
      <c r="B488" t="s">
        <v>35</v>
      </c>
      <c r="C488" t="s">
        <v>38</v>
      </c>
      <c r="D488" s="11">
        <v>60000</v>
      </c>
      <c r="E488">
        <v>2</v>
      </c>
      <c r="F488" t="s">
        <v>13</v>
      </c>
      <c r="G488" t="s">
        <v>21</v>
      </c>
      <c r="H488" t="s">
        <v>15</v>
      </c>
      <c r="I488">
        <v>1</v>
      </c>
      <c r="J488" t="s">
        <v>22</v>
      </c>
      <c r="K488" t="s">
        <v>24</v>
      </c>
      <c r="L488">
        <v>37</v>
      </c>
      <c r="M488" t="str">
        <f t="shared" si="7"/>
        <v>MIddleAge</v>
      </c>
      <c r="N488" t="s">
        <v>18</v>
      </c>
      <c r="R488">
        <v>25943</v>
      </c>
      <c r="S488" t="s">
        <v>36</v>
      </c>
      <c r="T488" t="s">
        <v>37</v>
      </c>
      <c r="U488" s="4">
        <v>70000</v>
      </c>
      <c r="V488">
        <v>0</v>
      </c>
      <c r="W488" t="s">
        <v>19</v>
      </c>
      <c r="X488" t="s">
        <v>14</v>
      </c>
      <c r="Y488" t="s">
        <v>18</v>
      </c>
      <c r="Z488">
        <v>2</v>
      </c>
      <c r="AA488" t="s">
        <v>16</v>
      </c>
      <c r="AB488" t="s">
        <v>31</v>
      </c>
      <c r="AC488">
        <v>27</v>
      </c>
      <c r="AD488" t="s">
        <v>43</v>
      </c>
      <c r="BL488">
        <v>14592</v>
      </c>
      <c r="BM488" t="s">
        <v>35</v>
      </c>
      <c r="BN488" t="s">
        <v>37</v>
      </c>
      <c r="BO488" s="4">
        <v>60000</v>
      </c>
      <c r="BP488" s="4">
        <v>60000</v>
      </c>
      <c r="BQ488">
        <v>0</v>
      </c>
      <c r="BR488" t="s">
        <v>21</v>
      </c>
      <c r="BS488" t="s">
        <v>15</v>
      </c>
      <c r="BT488">
        <v>40</v>
      </c>
    </row>
    <row r="489" spans="1:72" x14ac:dyDescent="0.25">
      <c r="A489">
        <v>12192</v>
      </c>
      <c r="B489" t="s">
        <v>36</v>
      </c>
      <c r="C489" t="s">
        <v>37</v>
      </c>
      <c r="D489" s="11">
        <v>60000</v>
      </c>
      <c r="E489">
        <v>2</v>
      </c>
      <c r="F489" t="s">
        <v>29</v>
      </c>
      <c r="G489" t="s">
        <v>14</v>
      </c>
      <c r="H489" t="s">
        <v>18</v>
      </c>
      <c r="I489">
        <v>2</v>
      </c>
      <c r="J489" t="s">
        <v>26</v>
      </c>
      <c r="K489" t="s">
        <v>31</v>
      </c>
      <c r="L489">
        <v>51</v>
      </c>
      <c r="M489" t="str">
        <f t="shared" si="7"/>
        <v>MIddleAge</v>
      </c>
      <c r="N489" t="s">
        <v>18</v>
      </c>
      <c r="R489">
        <v>24381</v>
      </c>
      <c r="S489" t="s">
        <v>36</v>
      </c>
      <c r="T489" t="s">
        <v>38</v>
      </c>
      <c r="U489" s="4">
        <v>70000</v>
      </c>
      <c r="V489">
        <v>0</v>
      </c>
      <c r="W489" t="s">
        <v>13</v>
      </c>
      <c r="X489" t="s">
        <v>21</v>
      </c>
      <c r="Y489" t="s">
        <v>15</v>
      </c>
      <c r="Z489">
        <v>1</v>
      </c>
      <c r="AA489" t="s">
        <v>23</v>
      </c>
      <c r="AB489" t="s">
        <v>24</v>
      </c>
      <c r="AC489">
        <v>41</v>
      </c>
      <c r="AD489" t="s">
        <v>44</v>
      </c>
      <c r="BL489">
        <v>14284</v>
      </c>
      <c r="BM489" t="s">
        <v>36</v>
      </c>
      <c r="BN489" t="s">
        <v>38</v>
      </c>
      <c r="BO489" s="4">
        <v>60000</v>
      </c>
      <c r="BP489" s="4">
        <v>60000</v>
      </c>
      <c r="BQ489">
        <v>0</v>
      </c>
      <c r="BR489" t="s">
        <v>21</v>
      </c>
      <c r="BS489" t="s">
        <v>18</v>
      </c>
      <c r="BT489">
        <v>32</v>
      </c>
    </row>
    <row r="490" spans="1:72" x14ac:dyDescent="0.25">
      <c r="A490">
        <v>12100</v>
      </c>
      <c r="B490" t="s">
        <v>36</v>
      </c>
      <c r="C490" t="s">
        <v>38</v>
      </c>
      <c r="D490" s="11">
        <v>60000</v>
      </c>
      <c r="E490">
        <v>2</v>
      </c>
      <c r="F490" t="s">
        <v>13</v>
      </c>
      <c r="G490" t="s">
        <v>28</v>
      </c>
      <c r="H490" t="s">
        <v>15</v>
      </c>
      <c r="I490">
        <v>0</v>
      </c>
      <c r="J490" t="s">
        <v>42</v>
      </c>
      <c r="K490" t="s">
        <v>31</v>
      </c>
      <c r="L490">
        <v>57</v>
      </c>
      <c r="M490" t="str">
        <f t="shared" si="7"/>
        <v>Old</v>
      </c>
      <c r="N490" t="s">
        <v>18</v>
      </c>
      <c r="R490">
        <v>23432</v>
      </c>
      <c r="S490" t="s">
        <v>36</v>
      </c>
      <c r="T490" t="s">
        <v>38</v>
      </c>
      <c r="U490" s="4">
        <v>70000</v>
      </c>
      <c r="V490">
        <v>0</v>
      </c>
      <c r="W490" t="s">
        <v>13</v>
      </c>
      <c r="X490" t="s">
        <v>21</v>
      </c>
      <c r="Y490" t="s">
        <v>15</v>
      </c>
      <c r="Z490">
        <v>1</v>
      </c>
      <c r="AA490" t="s">
        <v>23</v>
      </c>
      <c r="AB490" t="s">
        <v>24</v>
      </c>
      <c r="AC490">
        <v>37</v>
      </c>
      <c r="AD490" t="s">
        <v>44</v>
      </c>
      <c r="BL490">
        <v>13073</v>
      </c>
      <c r="BM490" t="s">
        <v>35</v>
      </c>
      <c r="BN490" t="s">
        <v>37</v>
      </c>
      <c r="BO490" s="4">
        <v>60000</v>
      </c>
      <c r="BP490" s="4">
        <v>60000</v>
      </c>
      <c r="BQ490">
        <v>0</v>
      </c>
      <c r="BR490" t="s">
        <v>21</v>
      </c>
      <c r="BS490" t="s">
        <v>15</v>
      </c>
      <c r="BT490">
        <v>30</v>
      </c>
    </row>
    <row r="491" spans="1:72" x14ac:dyDescent="0.25">
      <c r="A491">
        <v>11897</v>
      </c>
      <c r="B491" t="s">
        <v>36</v>
      </c>
      <c r="C491" t="s">
        <v>38</v>
      </c>
      <c r="D491" s="11">
        <v>60000</v>
      </c>
      <c r="E491">
        <v>2</v>
      </c>
      <c r="F491" t="s">
        <v>13</v>
      </c>
      <c r="G491" t="s">
        <v>21</v>
      </c>
      <c r="H491" t="s">
        <v>18</v>
      </c>
      <c r="I491">
        <v>1</v>
      </c>
      <c r="J491" t="s">
        <v>16</v>
      </c>
      <c r="K491" t="s">
        <v>24</v>
      </c>
      <c r="L491">
        <v>37</v>
      </c>
      <c r="M491" t="str">
        <f t="shared" si="7"/>
        <v>MIddleAge</v>
      </c>
      <c r="N491" t="s">
        <v>15</v>
      </c>
      <c r="R491">
        <v>22294</v>
      </c>
      <c r="S491" t="s">
        <v>36</v>
      </c>
      <c r="T491" t="s">
        <v>37</v>
      </c>
      <c r="U491" s="4">
        <v>70000</v>
      </c>
      <c r="V491">
        <v>0</v>
      </c>
      <c r="W491" t="s">
        <v>13</v>
      </c>
      <c r="X491" t="s">
        <v>21</v>
      </c>
      <c r="Y491" t="s">
        <v>18</v>
      </c>
      <c r="Z491">
        <v>1</v>
      </c>
      <c r="AA491" t="s">
        <v>22</v>
      </c>
      <c r="AB491" t="s">
        <v>31</v>
      </c>
      <c r="AC491">
        <v>37</v>
      </c>
      <c r="AD491" t="s">
        <v>44</v>
      </c>
      <c r="BL491">
        <v>12666</v>
      </c>
      <c r="BM491" t="s">
        <v>36</v>
      </c>
      <c r="BN491" t="s">
        <v>38</v>
      </c>
      <c r="BO491" s="4">
        <v>60000</v>
      </c>
      <c r="BP491" s="4">
        <v>60000</v>
      </c>
      <c r="BQ491">
        <v>0</v>
      </c>
      <c r="BR491" t="s">
        <v>21</v>
      </c>
      <c r="BS491" t="s">
        <v>18</v>
      </c>
      <c r="BT491">
        <v>31</v>
      </c>
    </row>
    <row r="492" spans="1:72" x14ac:dyDescent="0.25">
      <c r="A492">
        <v>11809</v>
      </c>
      <c r="B492" t="s">
        <v>35</v>
      </c>
      <c r="C492" t="s">
        <v>38</v>
      </c>
      <c r="D492" s="11">
        <v>60000</v>
      </c>
      <c r="E492">
        <v>2</v>
      </c>
      <c r="F492" t="s">
        <v>13</v>
      </c>
      <c r="G492" t="s">
        <v>14</v>
      </c>
      <c r="H492" t="s">
        <v>15</v>
      </c>
      <c r="I492">
        <v>0</v>
      </c>
      <c r="J492" t="s">
        <v>16</v>
      </c>
      <c r="K492" t="s">
        <v>31</v>
      </c>
      <c r="L492">
        <v>38</v>
      </c>
      <c r="M492" t="str">
        <f t="shared" si="7"/>
        <v>MIddleAge</v>
      </c>
      <c r="N492" t="s">
        <v>15</v>
      </c>
      <c r="R492">
        <v>19164</v>
      </c>
      <c r="S492" t="s">
        <v>36</v>
      </c>
      <c r="T492" t="s">
        <v>37</v>
      </c>
      <c r="U492" s="4">
        <v>70000</v>
      </c>
      <c r="V492">
        <v>0</v>
      </c>
      <c r="W492" t="s">
        <v>13</v>
      </c>
      <c r="X492" t="s">
        <v>21</v>
      </c>
      <c r="Y492" t="s">
        <v>18</v>
      </c>
      <c r="Z492">
        <v>1</v>
      </c>
      <c r="AA492" t="s">
        <v>22</v>
      </c>
      <c r="AB492" t="s">
        <v>31</v>
      </c>
      <c r="AC492">
        <v>38</v>
      </c>
      <c r="AD492" t="s">
        <v>44</v>
      </c>
      <c r="BL492">
        <v>11941</v>
      </c>
      <c r="BM492" t="s">
        <v>36</v>
      </c>
      <c r="BN492" t="s">
        <v>38</v>
      </c>
      <c r="BO492" s="4">
        <v>60000</v>
      </c>
      <c r="BP492" s="4">
        <v>60000</v>
      </c>
      <c r="BQ492">
        <v>0</v>
      </c>
      <c r="BR492" t="s">
        <v>14</v>
      </c>
      <c r="BS492" t="s">
        <v>15</v>
      </c>
      <c r="BT492">
        <v>29</v>
      </c>
    </row>
    <row r="493" spans="1:72" x14ac:dyDescent="0.25">
      <c r="A493">
        <v>11225</v>
      </c>
      <c r="B493" t="s">
        <v>35</v>
      </c>
      <c r="C493" t="s">
        <v>37</v>
      </c>
      <c r="D493" s="11">
        <v>60000</v>
      </c>
      <c r="E493">
        <v>2</v>
      </c>
      <c r="F493" t="s">
        <v>19</v>
      </c>
      <c r="G493" t="s">
        <v>21</v>
      </c>
      <c r="H493" t="s">
        <v>15</v>
      </c>
      <c r="I493">
        <v>1</v>
      </c>
      <c r="J493" t="s">
        <v>42</v>
      </c>
      <c r="K493" t="s">
        <v>31</v>
      </c>
      <c r="L493">
        <v>55</v>
      </c>
      <c r="M493" t="str">
        <f t="shared" si="7"/>
        <v>Old</v>
      </c>
      <c r="N493" t="s">
        <v>18</v>
      </c>
      <c r="R493">
        <v>18949</v>
      </c>
      <c r="S493" t="s">
        <v>36</v>
      </c>
      <c r="T493" t="s">
        <v>38</v>
      </c>
      <c r="U493" s="4">
        <v>70000</v>
      </c>
      <c r="V493">
        <v>0</v>
      </c>
      <c r="W493" t="s">
        <v>30</v>
      </c>
      <c r="X493" t="s">
        <v>28</v>
      </c>
      <c r="Y493" t="s">
        <v>15</v>
      </c>
      <c r="Z493">
        <v>2</v>
      </c>
      <c r="AA493" t="s">
        <v>23</v>
      </c>
      <c r="AB493" t="s">
        <v>31</v>
      </c>
      <c r="AC493">
        <v>74</v>
      </c>
      <c r="AD493" t="s">
        <v>45</v>
      </c>
      <c r="BL493">
        <v>11699</v>
      </c>
      <c r="BM493" t="s">
        <v>36</v>
      </c>
      <c r="BN493" t="s">
        <v>38</v>
      </c>
      <c r="BO493" s="4">
        <v>60000</v>
      </c>
      <c r="BP493" s="4">
        <v>60000</v>
      </c>
      <c r="BQ493">
        <v>0</v>
      </c>
      <c r="BR493" t="s">
        <v>14</v>
      </c>
      <c r="BS493" t="s">
        <v>18</v>
      </c>
      <c r="BT493">
        <v>30</v>
      </c>
    </row>
    <row r="494" spans="1:72" x14ac:dyDescent="0.25">
      <c r="A494">
        <v>11219</v>
      </c>
      <c r="B494" t="s">
        <v>35</v>
      </c>
      <c r="C494" t="s">
        <v>38</v>
      </c>
      <c r="D494" s="11">
        <v>60000</v>
      </c>
      <c r="E494">
        <v>2</v>
      </c>
      <c r="F494" t="s">
        <v>27</v>
      </c>
      <c r="G494" t="s">
        <v>21</v>
      </c>
      <c r="H494" t="s">
        <v>15</v>
      </c>
      <c r="I494">
        <v>2</v>
      </c>
      <c r="J494" t="s">
        <v>42</v>
      </c>
      <c r="K494" t="s">
        <v>31</v>
      </c>
      <c r="L494">
        <v>55</v>
      </c>
      <c r="M494" t="str">
        <f t="shared" si="7"/>
        <v>Old</v>
      </c>
      <c r="N494" t="s">
        <v>18</v>
      </c>
      <c r="R494">
        <v>17319</v>
      </c>
      <c r="S494" t="s">
        <v>36</v>
      </c>
      <c r="T494" t="s">
        <v>37</v>
      </c>
      <c r="U494" s="4">
        <v>70000</v>
      </c>
      <c r="V494">
        <v>0</v>
      </c>
      <c r="W494" t="s">
        <v>13</v>
      </c>
      <c r="X494" t="s">
        <v>21</v>
      </c>
      <c r="Y494" t="s">
        <v>18</v>
      </c>
      <c r="Z494">
        <v>1</v>
      </c>
      <c r="AA494" t="s">
        <v>23</v>
      </c>
      <c r="AB494" t="s">
        <v>24</v>
      </c>
      <c r="AC494">
        <v>42</v>
      </c>
      <c r="AD494" t="s">
        <v>44</v>
      </c>
      <c r="BL494">
        <v>11165</v>
      </c>
      <c r="BM494" t="s">
        <v>35</v>
      </c>
      <c r="BN494" t="s">
        <v>37</v>
      </c>
      <c r="BO494" s="4">
        <v>60000</v>
      </c>
      <c r="BP494" s="4">
        <v>60000</v>
      </c>
      <c r="BQ494">
        <v>0</v>
      </c>
      <c r="BR494" t="s">
        <v>14</v>
      </c>
      <c r="BS494" t="s">
        <v>18</v>
      </c>
      <c r="BT494">
        <v>33</v>
      </c>
    </row>
    <row r="495" spans="1:72" x14ac:dyDescent="0.25">
      <c r="A495">
        <v>11147</v>
      </c>
      <c r="B495" t="s">
        <v>35</v>
      </c>
      <c r="C495" t="s">
        <v>38</v>
      </c>
      <c r="D495" s="11">
        <v>60000</v>
      </c>
      <c r="E495">
        <v>2</v>
      </c>
      <c r="F495" t="s">
        <v>30</v>
      </c>
      <c r="G495" t="s">
        <v>28</v>
      </c>
      <c r="H495" t="s">
        <v>15</v>
      </c>
      <c r="I495">
        <v>1</v>
      </c>
      <c r="J495" t="s">
        <v>16</v>
      </c>
      <c r="K495" t="s">
        <v>24</v>
      </c>
      <c r="L495">
        <v>67</v>
      </c>
      <c r="M495" t="str">
        <f t="shared" si="7"/>
        <v>Old</v>
      </c>
      <c r="N495" t="s">
        <v>15</v>
      </c>
      <c r="R495">
        <v>14682</v>
      </c>
      <c r="S495" t="s">
        <v>36</v>
      </c>
      <c r="T495" t="s">
        <v>37</v>
      </c>
      <c r="U495" s="4">
        <v>70000</v>
      </c>
      <c r="V495">
        <v>0</v>
      </c>
      <c r="W495" t="s">
        <v>13</v>
      </c>
      <c r="X495" t="s">
        <v>21</v>
      </c>
      <c r="Y495" t="s">
        <v>18</v>
      </c>
      <c r="Z495">
        <v>1</v>
      </c>
      <c r="AA495" t="s">
        <v>23</v>
      </c>
      <c r="AB495" t="s">
        <v>24</v>
      </c>
      <c r="AC495">
        <v>38</v>
      </c>
      <c r="AD495" t="s">
        <v>44</v>
      </c>
      <c r="BL495">
        <v>28323</v>
      </c>
      <c r="BM495" t="s">
        <v>36</v>
      </c>
      <c r="BN495" t="s">
        <v>38</v>
      </c>
      <c r="BO495" s="4">
        <v>70000</v>
      </c>
      <c r="BP495" s="4">
        <v>70000</v>
      </c>
      <c r="BQ495">
        <v>0</v>
      </c>
      <c r="BR495" t="s">
        <v>21</v>
      </c>
      <c r="BS495" t="s">
        <v>18</v>
      </c>
      <c r="BT495">
        <v>43</v>
      </c>
    </row>
    <row r="496" spans="1:72" x14ac:dyDescent="0.25">
      <c r="A496">
        <v>29030</v>
      </c>
      <c r="B496" t="s">
        <v>35</v>
      </c>
      <c r="C496" t="s">
        <v>38</v>
      </c>
      <c r="D496" s="11">
        <v>70000</v>
      </c>
      <c r="E496">
        <v>2</v>
      </c>
      <c r="F496" t="s">
        <v>29</v>
      </c>
      <c r="G496" t="s">
        <v>14</v>
      </c>
      <c r="H496" t="s">
        <v>15</v>
      </c>
      <c r="I496">
        <v>2</v>
      </c>
      <c r="J496" t="s">
        <v>42</v>
      </c>
      <c r="K496" t="s">
        <v>31</v>
      </c>
      <c r="L496">
        <v>54</v>
      </c>
      <c r="M496" t="str">
        <f t="shared" si="7"/>
        <v>MIddleAge</v>
      </c>
      <c r="N496" t="s">
        <v>18</v>
      </c>
      <c r="R496">
        <v>14063</v>
      </c>
      <c r="S496" t="s">
        <v>36</v>
      </c>
      <c r="T496" t="s">
        <v>37</v>
      </c>
      <c r="U496" s="4">
        <v>70000</v>
      </c>
      <c r="V496">
        <v>0</v>
      </c>
      <c r="W496" t="s">
        <v>13</v>
      </c>
      <c r="X496" t="s">
        <v>21</v>
      </c>
      <c r="Y496" t="s">
        <v>18</v>
      </c>
      <c r="Z496">
        <v>1</v>
      </c>
      <c r="AA496" t="s">
        <v>16</v>
      </c>
      <c r="AB496" t="s">
        <v>24</v>
      </c>
      <c r="AC496">
        <v>42</v>
      </c>
      <c r="AD496" t="s">
        <v>44</v>
      </c>
      <c r="BL496">
        <v>27540</v>
      </c>
      <c r="BM496" t="s">
        <v>36</v>
      </c>
      <c r="BN496" t="s">
        <v>37</v>
      </c>
      <c r="BO496" s="4">
        <v>70000</v>
      </c>
      <c r="BP496" s="4">
        <v>70000</v>
      </c>
      <c r="BQ496">
        <v>0</v>
      </c>
      <c r="BR496" t="s">
        <v>21</v>
      </c>
      <c r="BS496" t="s">
        <v>18</v>
      </c>
      <c r="BT496">
        <v>37</v>
      </c>
    </row>
    <row r="497" spans="1:72" x14ac:dyDescent="0.25">
      <c r="A497">
        <v>28667</v>
      </c>
      <c r="B497" t="s">
        <v>36</v>
      </c>
      <c r="C497" t="s">
        <v>38</v>
      </c>
      <c r="D497" s="11">
        <v>70000</v>
      </c>
      <c r="E497">
        <v>2</v>
      </c>
      <c r="F497" t="s">
        <v>13</v>
      </c>
      <c r="G497" t="s">
        <v>14</v>
      </c>
      <c r="H497" t="s">
        <v>18</v>
      </c>
      <c r="I497">
        <v>1</v>
      </c>
      <c r="J497" t="s">
        <v>16</v>
      </c>
      <c r="K497" t="s">
        <v>31</v>
      </c>
      <c r="L497">
        <v>37</v>
      </c>
      <c r="M497" t="str">
        <f t="shared" si="7"/>
        <v>MIddleAge</v>
      </c>
      <c r="N497" t="s">
        <v>15</v>
      </c>
      <c r="R497">
        <v>27969</v>
      </c>
      <c r="S497" t="s">
        <v>35</v>
      </c>
      <c r="T497" t="s">
        <v>38</v>
      </c>
      <c r="U497" s="4">
        <v>80000</v>
      </c>
      <c r="V497">
        <v>0</v>
      </c>
      <c r="W497" t="s">
        <v>13</v>
      </c>
      <c r="X497" t="s">
        <v>21</v>
      </c>
      <c r="Y497" t="s">
        <v>15</v>
      </c>
      <c r="Z497">
        <v>2</v>
      </c>
      <c r="AA497" t="s">
        <v>42</v>
      </c>
      <c r="AB497" t="s">
        <v>24</v>
      </c>
      <c r="AC497">
        <v>29</v>
      </c>
      <c r="AD497" t="s">
        <v>43</v>
      </c>
      <c r="BL497">
        <v>26150</v>
      </c>
      <c r="BM497" t="s">
        <v>36</v>
      </c>
      <c r="BN497" t="s">
        <v>37</v>
      </c>
      <c r="BO497" s="4">
        <v>70000</v>
      </c>
      <c r="BP497" s="4">
        <v>70000</v>
      </c>
      <c r="BQ497">
        <v>0</v>
      </c>
      <c r="BR497" t="s">
        <v>21</v>
      </c>
      <c r="BS497" t="s">
        <v>18</v>
      </c>
      <c r="BT497">
        <v>41</v>
      </c>
    </row>
    <row r="498" spans="1:72" x14ac:dyDescent="0.25">
      <c r="A498">
        <v>28056</v>
      </c>
      <c r="B498" t="s">
        <v>35</v>
      </c>
      <c r="C498" t="s">
        <v>38</v>
      </c>
      <c r="D498" s="11">
        <v>70000</v>
      </c>
      <c r="E498">
        <v>2</v>
      </c>
      <c r="F498" t="s">
        <v>29</v>
      </c>
      <c r="G498" t="s">
        <v>14</v>
      </c>
      <c r="H498" t="s">
        <v>15</v>
      </c>
      <c r="I498">
        <v>2</v>
      </c>
      <c r="J498" t="s">
        <v>42</v>
      </c>
      <c r="K498" t="s">
        <v>31</v>
      </c>
      <c r="L498">
        <v>53</v>
      </c>
      <c r="M498" t="str">
        <f t="shared" si="7"/>
        <v>MIddleAge</v>
      </c>
      <c r="N498" t="s">
        <v>18</v>
      </c>
      <c r="R498">
        <v>27198</v>
      </c>
      <c r="S498" t="s">
        <v>36</v>
      </c>
      <c r="T498" t="s">
        <v>37</v>
      </c>
      <c r="U498" s="4">
        <v>80000</v>
      </c>
      <c r="V498">
        <v>0</v>
      </c>
      <c r="W498" t="s">
        <v>30</v>
      </c>
      <c r="X498" t="s">
        <v>14</v>
      </c>
      <c r="Y498" t="s">
        <v>18</v>
      </c>
      <c r="Z498">
        <v>0</v>
      </c>
      <c r="AA498" t="s">
        <v>16</v>
      </c>
      <c r="AB498" t="s">
        <v>31</v>
      </c>
      <c r="AC498">
        <v>40</v>
      </c>
      <c r="AD498" t="s">
        <v>44</v>
      </c>
      <c r="BL498">
        <v>25983</v>
      </c>
      <c r="BM498" t="s">
        <v>35</v>
      </c>
      <c r="BN498" t="s">
        <v>38</v>
      </c>
      <c r="BO498" s="4">
        <v>70000</v>
      </c>
      <c r="BP498" s="4">
        <v>70000</v>
      </c>
      <c r="BQ498">
        <v>0</v>
      </c>
      <c r="BR498" t="s">
        <v>21</v>
      </c>
      <c r="BS498" t="s">
        <v>18</v>
      </c>
      <c r="BT498">
        <v>43</v>
      </c>
    </row>
    <row r="499" spans="1:72" x14ac:dyDescent="0.25">
      <c r="A499">
        <v>28031</v>
      </c>
      <c r="B499" t="s">
        <v>36</v>
      </c>
      <c r="C499" t="s">
        <v>37</v>
      </c>
      <c r="D499" s="11">
        <v>70000</v>
      </c>
      <c r="E499">
        <v>2</v>
      </c>
      <c r="F499" t="s">
        <v>13</v>
      </c>
      <c r="G499" t="s">
        <v>28</v>
      </c>
      <c r="H499" t="s">
        <v>18</v>
      </c>
      <c r="I499">
        <v>1</v>
      </c>
      <c r="J499" t="s">
        <v>22</v>
      </c>
      <c r="K499" t="s">
        <v>31</v>
      </c>
      <c r="L499">
        <v>59</v>
      </c>
      <c r="M499" t="str">
        <f t="shared" si="7"/>
        <v>Old</v>
      </c>
      <c r="N499" t="s">
        <v>15</v>
      </c>
      <c r="R499">
        <v>24093</v>
      </c>
      <c r="S499" t="s">
        <v>36</v>
      </c>
      <c r="T499" t="s">
        <v>37</v>
      </c>
      <c r="U499" s="4">
        <v>80000</v>
      </c>
      <c r="V499">
        <v>0</v>
      </c>
      <c r="W499" t="s">
        <v>30</v>
      </c>
      <c r="X499" t="s">
        <v>14</v>
      </c>
      <c r="Y499" t="s">
        <v>18</v>
      </c>
      <c r="Z499">
        <v>0</v>
      </c>
      <c r="AA499" t="s">
        <v>16</v>
      </c>
      <c r="AB499" t="s">
        <v>17</v>
      </c>
      <c r="AC499">
        <v>40</v>
      </c>
      <c r="AD499" t="s">
        <v>44</v>
      </c>
      <c r="BL499">
        <v>25943</v>
      </c>
      <c r="BM499" t="s">
        <v>36</v>
      </c>
      <c r="BN499" t="s">
        <v>37</v>
      </c>
      <c r="BO499" s="4">
        <v>70000</v>
      </c>
      <c r="BP499" s="4">
        <v>70000</v>
      </c>
      <c r="BQ499">
        <v>0</v>
      </c>
      <c r="BR499" t="s">
        <v>14</v>
      </c>
      <c r="BS499" t="s">
        <v>18</v>
      </c>
      <c r="BT499">
        <v>27</v>
      </c>
    </row>
    <row r="500" spans="1:72" x14ac:dyDescent="0.25">
      <c r="A500">
        <v>27279</v>
      </c>
      <c r="B500" t="s">
        <v>36</v>
      </c>
      <c r="C500" t="s">
        <v>37</v>
      </c>
      <c r="D500" s="11">
        <v>70000</v>
      </c>
      <c r="E500">
        <v>2</v>
      </c>
      <c r="F500" t="s">
        <v>13</v>
      </c>
      <c r="G500" t="s">
        <v>14</v>
      </c>
      <c r="H500" t="s">
        <v>15</v>
      </c>
      <c r="I500">
        <v>0</v>
      </c>
      <c r="J500" t="s">
        <v>22</v>
      </c>
      <c r="K500" t="s">
        <v>31</v>
      </c>
      <c r="L500">
        <v>38</v>
      </c>
      <c r="M500" t="str">
        <f t="shared" si="7"/>
        <v>MIddleAge</v>
      </c>
      <c r="N500" t="s">
        <v>15</v>
      </c>
      <c r="R500">
        <v>22046</v>
      </c>
      <c r="S500" t="s">
        <v>36</v>
      </c>
      <c r="T500" t="s">
        <v>37</v>
      </c>
      <c r="U500" s="4">
        <v>80000</v>
      </c>
      <c r="V500">
        <v>0</v>
      </c>
      <c r="W500" t="s">
        <v>13</v>
      </c>
      <c r="X500" t="s">
        <v>28</v>
      </c>
      <c r="Y500" t="s">
        <v>18</v>
      </c>
      <c r="Z500">
        <v>1</v>
      </c>
      <c r="AA500" t="s">
        <v>16</v>
      </c>
      <c r="AB500" t="s">
        <v>31</v>
      </c>
      <c r="AC500">
        <v>38</v>
      </c>
      <c r="AD500" t="s">
        <v>44</v>
      </c>
      <c r="BL500">
        <v>24381</v>
      </c>
      <c r="BM500" t="s">
        <v>36</v>
      </c>
      <c r="BN500" t="s">
        <v>38</v>
      </c>
      <c r="BO500" s="4">
        <v>70000</v>
      </c>
      <c r="BP500" s="4">
        <v>70000</v>
      </c>
      <c r="BQ500">
        <v>0</v>
      </c>
      <c r="BR500" t="s">
        <v>21</v>
      </c>
      <c r="BS500" t="s">
        <v>15</v>
      </c>
      <c r="BT500">
        <v>41</v>
      </c>
    </row>
    <row r="501" spans="1:72" x14ac:dyDescent="0.25">
      <c r="A501">
        <v>26490</v>
      </c>
      <c r="B501" t="s">
        <v>36</v>
      </c>
      <c r="C501" t="s">
        <v>38</v>
      </c>
      <c r="D501" s="11">
        <v>70000</v>
      </c>
      <c r="E501">
        <v>2</v>
      </c>
      <c r="F501" t="s">
        <v>13</v>
      </c>
      <c r="G501" t="s">
        <v>28</v>
      </c>
      <c r="H501" t="s">
        <v>18</v>
      </c>
      <c r="I501">
        <v>1</v>
      </c>
      <c r="J501" t="s">
        <v>22</v>
      </c>
      <c r="K501" t="s">
        <v>31</v>
      </c>
      <c r="L501">
        <v>59</v>
      </c>
      <c r="M501" t="str">
        <f t="shared" si="7"/>
        <v>Old</v>
      </c>
      <c r="N501" t="s">
        <v>15</v>
      </c>
      <c r="R501">
        <v>21554</v>
      </c>
      <c r="S501" t="s">
        <v>36</v>
      </c>
      <c r="T501" t="s">
        <v>37</v>
      </c>
      <c r="U501" s="4">
        <v>80000</v>
      </c>
      <c r="V501">
        <v>0</v>
      </c>
      <c r="W501" t="s">
        <v>13</v>
      </c>
      <c r="X501" t="s">
        <v>21</v>
      </c>
      <c r="Y501" t="s">
        <v>18</v>
      </c>
      <c r="Z501">
        <v>3</v>
      </c>
      <c r="AA501" t="s">
        <v>42</v>
      </c>
      <c r="AB501" t="s">
        <v>24</v>
      </c>
      <c r="AC501">
        <v>33</v>
      </c>
      <c r="AD501" t="s">
        <v>44</v>
      </c>
      <c r="BL501">
        <v>23432</v>
      </c>
      <c r="BM501" t="s">
        <v>36</v>
      </c>
      <c r="BN501" t="s">
        <v>38</v>
      </c>
      <c r="BO501" s="4">
        <v>70000</v>
      </c>
      <c r="BP501" s="4">
        <v>70000</v>
      </c>
      <c r="BQ501">
        <v>0</v>
      </c>
      <c r="BR501" t="s">
        <v>21</v>
      </c>
      <c r="BS501" t="s">
        <v>15</v>
      </c>
      <c r="BT501">
        <v>37</v>
      </c>
    </row>
    <row r="502" spans="1:72" x14ac:dyDescent="0.25">
      <c r="A502">
        <v>25899</v>
      </c>
      <c r="B502" t="s">
        <v>35</v>
      </c>
      <c r="C502" t="s">
        <v>37</v>
      </c>
      <c r="D502" s="11">
        <v>70000</v>
      </c>
      <c r="E502">
        <v>2</v>
      </c>
      <c r="F502" t="s">
        <v>27</v>
      </c>
      <c r="G502" t="s">
        <v>21</v>
      </c>
      <c r="H502" t="s">
        <v>15</v>
      </c>
      <c r="I502">
        <v>2</v>
      </c>
      <c r="J502" t="s">
        <v>42</v>
      </c>
      <c r="K502" t="s">
        <v>31</v>
      </c>
      <c r="L502">
        <v>53</v>
      </c>
      <c r="M502" t="str">
        <f t="shared" si="7"/>
        <v>MIddleAge</v>
      </c>
      <c r="N502" t="s">
        <v>18</v>
      </c>
      <c r="R502">
        <v>17238</v>
      </c>
      <c r="S502" t="s">
        <v>36</v>
      </c>
      <c r="T502" t="s">
        <v>38</v>
      </c>
      <c r="U502" s="4">
        <v>80000</v>
      </c>
      <c r="V502">
        <v>0</v>
      </c>
      <c r="W502" t="s">
        <v>13</v>
      </c>
      <c r="X502" t="s">
        <v>21</v>
      </c>
      <c r="Y502" t="s">
        <v>15</v>
      </c>
      <c r="Z502">
        <v>3</v>
      </c>
      <c r="AA502" t="s">
        <v>42</v>
      </c>
      <c r="AB502" t="s">
        <v>24</v>
      </c>
      <c r="AC502">
        <v>32</v>
      </c>
      <c r="AD502" t="s">
        <v>44</v>
      </c>
      <c r="BL502">
        <v>22296</v>
      </c>
      <c r="BM502" t="s">
        <v>35</v>
      </c>
      <c r="BN502" t="s">
        <v>38</v>
      </c>
      <c r="BO502" s="4">
        <v>70000</v>
      </c>
      <c r="BP502" s="4">
        <v>70000</v>
      </c>
      <c r="BQ502">
        <v>0</v>
      </c>
      <c r="BR502" t="s">
        <v>21</v>
      </c>
      <c r="BS502" t="s">
        <v>18</v>
      </c>
      <c r="BT502">
        <v>38</v>
      </c>
    </row>
    <row r="503" spans="1:72" x14ac:dyDescent="0.25">
      <c r="A503">
        <v>25898</v>
      </c>
      <c r="B503" t="s">
        <v>35</v>
      </c>
      <c r="C503" t="s">
        <v>37</v>
      </c>
      <c r="D503" s="11">
        <v>70000</v>
      </c>
      <c r="E503">
        <v>2</v>
      </c>
      <c r="F503" t="s">
        <v>27</v>
      </c>
      <c r="G503" t="s">
        <v>21</v>
      </c>
      <c r="H503" t="s">
        <v>15</v>
      </c>
      <c r="I503">
        <v>2</v>
      </c>
      <c r="J503" t="s">
        <v>22</v>
      </c>
      <c r="K503" t="s">
        <v>31</v>
      </c>
      <c r="L503">
        <v>53</v>
      </c>
      <c r="M503" t="str">
        <f t="shared" si="7"/>
        <v>MIddleAge</v>
      </c>
      <c r="N503" t="s">
        <v>18</v>
      </c>
      <c r="R503">
        <v>17230</v>
      </c>
      <c r="S503" t="s">
        <v>35</v>
      </c>
      <c r="T503" t="s">
        <v>38</v>
      </c>
      <c r="U503" s="4">
        <v>80000</v>
      </c>
      <c r="V503">
        <v>0</v>
      </c>
      <c r="W503" t="s">
        <v>13</v>
      </c>
      <c r="X503" t="s">
        <v>21</v>
      </c>
      <c r="Y503" t="s">
        <v>15</v>
      </c>
      <c r="Z503">
        <v>3</v>
      </c>
      <c r="AA503" t="s">
        <v>42</v>
      </c>
      <c r="AB503" t="s">
        <v>24</v>
      </c>
      <c r="AC503">
        <v>30</v>
      </c>
      <c r="AD503" t="s">
        <v>43</v>
      </c>
      <c r="BL503">
        <v>22294</v>
      </c>
      <c r="BM503" t="s">
        <v>36</v>
      </c>
      <c r="BN503" t="s">
        <v>37</v>
      </c>
      <c r="BO503" s="4">
        <v>70000</v>
      </c>
      <c r="BP503" s="4">
        <v>70000</v>
      </c>
      <c r="BQ503">
        <v>0</v>
      </c>
      <c r="BR503" t="s">
        <v>21</v>
      </c>
      <c r="BS503" t="s">
        <v>18</v>
      </c>
      <c r="BT503">
        <v>37</v>
      </c>
    </row>
    <row r="504" spans="1:72" x14ac:dyDescent="0.25">
      <c r="A504">
        <v>25872</v>
      </c>
      <c r="B504" t="s">
        <v>36</v>
      </c>
      <c r="C504" t="s">
        <v>37</v>
      </c>
      <c r="D504" s="11">
        <v>70000</v>
      </c>
      <c r="E504">
        <v>2</v>
      </c>
      <c r="F504" t="s">
        <v>13</v>
      </c>
      <c r="G504" t="s">
        <v>28</v>
      </c>
      <c r="H504" t="s">
        <v>18</v>
      </c>
      <c r="I504">
        <v>1</v>
      </c>
      <c r="J504" t="s">
        <v>22</v>
      </c>
      <c r="K504" t="s">
        <v>31</v>
      </c>
      <c r="L504">
        <v>58</v>
      </c>
      <c r="M504" t="str">
        <f t="shared" si="7"/>
        <v>Old</v>
      </c>
      <c r="N504" t="s">
        <v>15</v>
      </c>
      <c r="R504">
        <v>12344</v>
      </c>
      <c r="S504" t="s">
        <v>36</v>
      </c>
      <c r="T504" t="s">
        <v>37</v>
      </c>
      <c r="U504" s="4">
        <v>80000</v>
      </c>
      <c r="V504">
        <v>0</v>
      </c>
      <c r="W504" t="s">
        <v>13</v>
      </c>
      <c r="X504" t="s">
        <v>21</v>
      </c>
      <c r="Y504" t="s">
        <v>18</v>
      </c>
      <c r="Z504">
        <v>3</v>
      </c>
      <c r="AA504" t="s">
        <v>42</v>
      </c>
      <c r="AB504" t="s">
        <v>24</v>
      </c>
      <c r="AC504">
        <v>31</v>
      </c>
      <c r="AD504" t="s">
        <v>44</v>
      </c>
      <c r="BL504">
        <v>22042</v>
      </c>
      <c r="BM504" t="s">
        <v>35</v>
      </c>
      <c r="BN504" t="s">
        <v>37</v>
      </c>
      <c r="BO504" s="4">
        <v>70000</v>
      </c>
      <c r="BP504" s="4">
        <v>70000</v>
      </c>
      <c r="BQ504">
        <v>0</v>
      </c>
      <c r="BR504" t="s">
        <v>14</v>
      </c>
      <c r="BS504" t="s">
        <v>15</v>
      </c>
      <c r="BT504">
        <v>34</v>
      </c>
    </row>
    <row r="505" spans="1:72" x14ac:dyDescent="0.25">
      <c r="A505">
        <v>25405</v>
      </c>
      <c r="B505" t="s">
        <v>35</v>
      </c>
      <c r="C505" t="s">
        <v>38</v>
      </c>
      <c r="D505" s="11">
        <v>70000</v>
      </c>
      <c r="E505">
        <v>2</v>
      </c>
      <c r="F505" t="s">
        <v>13</v>
      </c>
      <c r="G505" t="s">
        <v>14</v>
      </c>
      <c r="H505" t="s">
        <v>15</v>
      </c>
      <c r="I505">
        <v>1</v>
      </c>
      <c r="J505" t="s">
        <v>22</v>
      </c>
      <c r="K505" t="s">
        <v>31</v>
      </c>
      <c r="L505">
        <v>38</v>
      </c>
      <c r="M505" t="str">
        <f t="shared" si="7"/>
        <v>MIddleAge</v>
      </c>
      <c r="N505" t="s">
        <v>15</v>
      </c>
      <c r="R505">
        <v>12697</v>
      </c>
      <c r="S505" t="s">
        <v>36</v>
      </c>
      <c r="T505" t="s">
        <v>37</v>
      </c>
      <c r="U505" s="4">
        <v>90000</v>
      </c>
      <c r="V505">
        <v>0</v>
      </c>
      <c r="W505" t="s">
        <v>13</v>
      </c>
      <c r="X505" t="s">
        <v>21</v>
      </c>
      <c r="Y505" t="s">
        <v>18</v>
      </c>
      <c r="Z505">
        <v>4</v>
      </c>
      <c r="AA505" t="s">
        <v>42</v>
      </c>
      <c r="AB505" t="s">
        <v>24</v>
      </c>
      <c r="AC505">
        <v>36</v>
      </c>
      <c r="AD505" t="s">
        <v>44</v>
      </c>
      <c r="BL505">
        <v>21974</v>
      </c>
      <c r="BM505" t="s">
        <v>36</v>
      </c>
      <c r="BN505" t="s">
        <v>37</v>
      </c>
      <c r="BO505" s="4">
        <v>70000</v>
      </c>
      <c r="BP505" s="4">
        <v>70000</v>
      </c>
      <c r="BQ505">
        <v>0</v>
      </c>
      <c r="BR505" t="s">
        <v>21</v>
      </c>
      <c r="BS505" t="s">
        <v>15</v>
      </c>
      <c r="BT505">
        <v>42</v>
      </c>
    </row>
    <row r="506" spans="1:72" x14ac:dyDescent="0.25">
      <c r="A506">
        <v>25065</v>
      </c>
      <c r="B506" t="s">
        <v>35</v>
      </c>
      <c r="C506" t="s">
        <v>38</v>
      </c>
      <c r="D506" s="11">
        <v>70000</v>
      </c>
      <c r="E506">
        <v>2</v>
      </c>
      <c r="F506" t="s">
        <v>29</v>
      </c>
      <c r="G506" t="s">
        <v>14</v>
      </c>
      <c r="H506" t="s">
        <v>15</v>
      </c>
      <c r="I506">
        <v>2</v>
      </c>
      <c r="J506" t="s">
        <v>23</v>
      </c>
      <c r="K506" t="s">
        <v>31</v>
      </c>
      <c r="L506">
        <v>48</v>
      </c>
      <c r="M506" t="str">
        <f t="shared" si="7"/>
        <v>MIddleAge</v>
      </c>
      <c r="N506" t="s">
        <v>18</v>
      </c>
      <c r="R506">
        <v>20625</v>
      </c>
      <c r="S506" t="s">
        <v>35</v>
      </c>
      <c r="T506" t="s">
        <v>38</v>
      </c>
      <c r="U506" s="4">
        <v>100000</v>
      </c>
      <c r="V506">
        <v>0</v>
      </c>
      <c r="W506" t="s">
        <v>27</v>
      </c>
      <c r="X506" t="s">
        <v>28</v>
      </c>
      <c r="Y506" t="s">
        <v>15</v>
      </c>
      <c r="Z506">
        <v>3</v>
      </c>
      <c r="AA506" t="s">
        <v>42</v>
      </c>
      <c r="AB506" t="s">
        <v>24</v>
      </c>
      <c r="AC506">
        <v>35</v>
      </c>
      <c r="AD506" t="s">
        <v>44</v>
      </c>
      <c r="BL506">
        <v>21213</v>
      </c>
      <c r="BM506" t="s">
        <v>36</v>
      </c>
      <c r="BN506" t="s">
        <v>38</v>
      </c>
      <c r="BO506" s="4">
        <v>70000</v>
      </c>
      <c r="BP506" s="4">
        <v>70000</v>
      </c>
      <c r="BQ506">
        <v>0</v>
      </c>
      <c r="BR506" t="s">
        <v>21</v>
      </c>
      <c r="BS506" t="s">
        <v>18</v>
      </c>
      <c r="BT506">
        <v>41</v>
      </c>
    </row>
    <row r="507" spans="1:72" x14ac:dyDescent="0.25">
      <c r="A507">
        <v>23712</v>
      </c>
      <c r="B507" t="s">
        <v>36</v>
      </c>
      <c r="C507" t="s">
        <v>37</v>
      </c>
      <c r="D507" s="11">
        <v>70000</v>
      </c>
      <c r="E507">
        <v>2</v>
      </c>
      <c r="F507" t="s">
        <v>13</v>
      </c>
      <c r="G507" t="s">
        <v>28</v>
      </c>
      <c r="H507" t="s">
        <v>15</v>
      </c>
      <c r="I507">
        <v>1</v>
      </c>
      <c r="J507" t="s">
        <v>42</v>
      </c>
      <c r="K507" t="s">
        <v>31</v>
      </c>
      <c r="L507">
        <v>59</v>
      </c>
      <c r="M507" t="str">
        <f t="shared" si="7"/>
        <v>Old</v>
      </c>
      <c r="N507" t="s">
        <v>18</v>
      </c>
      <c r="R507">
        <v>20228</v>
      </c>
      <c r="S507" t="s">
        <v>35</v>
      </c>
      <c r="T507" t="s">
        <v>38</v>
      </c>
      <c r="U507" s="4">
        <v>100000</v>
      </c>
      <c r="V507">
        <v>0</v>
      </c>
      <c r="W507" t="s">
        <v>30</v>
      </c>
      <c r="X507" t="s">
        <v>28</v>
      </c>
      <c r="Y507" t="s">
        <v>15</v>
      </c>
      <c r="Z507">
        <v>0</v>
      </c>
      <c r="AA507" t="s">
        <v>22</v>
      </c>
      <c r="AB507" t="s">
        <v>24</v>
      </c>
      <c r="AC507">
        <v>40</v>
      </c>
      <c r="AD507" t="s">
        <v>44</v>
      </c>
      <c r="BL507">
        <v>21184</v>
      </c>
      <c r="BM507" t="s">
        <v>36</v>
      </c>
      <c r="BN507" t="s">
        <v>38</v>
      </c>
      <c r="BO507" s="4">
        <v>70000</v>
      </c>
      <c r="BP507" s="4">
        <v>70000</v>
      </c>
      <c r="BQ507">
        <v>0</v>
      </c>
      <c r="BR507" t="s">
        <v>21</v>
      </c>
      <c r="BS507" t="s">
        <v>18</v>
      </c>
      <c r="BT507">
        <v>38</v>
      </c>
    </row>
    <row r="508" spans="1:72" x14ac:dyDescent="0.25">
      <c r="A508">
        <v>21471</v>
      </c>
      <c r="B508" t="s">
        <v>35</v>
      </c>
      <c r="C508" t="s">
        <v>38</v>
      </c>
      <c r="D508" s="11">
        <v>70000</v>
      </c>
      <c r="E508">
        <v>2</v>
      </c>
      <c r="F508" t="s">
        <v>19</v>
      </c>
      <c r="G508" t="s">
        <v>21</v>
      </c>
      <c r="H508" t="s">
        <v>15</v>
      </c>
      <c r="I508">
        <v>1</v>
      </c>
      <c r="J508" t="s">
        <v>42</v>
      </c>
      <c r="K508" t="s">
        <v>31</v>
      </c>
      <c r="L508">
        <v>59</v>
      </c>
      <c r="M508" t="str">
        <f t="shared" si="7"/>
        <v>Old</v>
      </c>
      <c r="N508" t="s">
        <v>18</v>
      </c>
      <c r="R508">
        <v>18283</v>
      </c>
      <c r="S508" t="s">
        <v>36</v>
      </c>
      <c r="T508" t="s">
        <v>37</v>
      </c>
      <c r="U508" s="4">
        <v>100000</v>
      </c>
      <c r="V508">
        <v>0</v>
      </c>
      <c r="W508" t="s">
        <v>13</v>
      </c>
      <c r="X508" t="s">
        <v>21</v>
      </c>
      <c r="Y508" t="s">
        <v>18</v>
      </c>
      <c r="Z508">
        <v>1</v>
      </c>
      <c r="AA508" t="s">
        <v>23</v>
      </c>
      <c r="AB508" t="s">
        <v>24</v>
      </c>
      <c r="AC508">
        <v>40</v>
      </c>
      <c r="AD508" t="s">
        <v>44</v>
      </c>
      <c r="BL508">
        <v>20606</v>
      </c>
      <c r="BM508" t="s">
        <v>35</v>
      </c>
      <c r="BN508" t="s">
        <v>37</v>
      </c>
      <c r="BO508" s="4">
        <v>70000</v>
      </c>
      <c r="BP508" s="4">
        <v>70000</v>
      </c>
      <c r="BQ508">
        <v>0</v>
      </c>
      <c r="BR508" t="s">
        <v>21</v>
      </c>
      <c r="BS508" t="s">
        <v>15</v>
      </c>
      <c r="BT508">
        <v>32</v>
      </c>
    </row>
    <row r="509" spans="1:72" x14ac:dyDescent="0.25">
      <c r="A509">
        <v>20518</v>
      </c>
      <c r="B509" t="s">
        <v>35</v>
      </c>
      <c r="C509" t="s">
        <v>37</v>
      </c>
      <c r="D509" s="11">
        <v>70000</v>
      </c>
      <c r="E509">
        <v>2</v>
      </c>
      <c r="F509" t="s">
        <v>19</v>
      </c>
      <c r="G509" t="s">
        <v>21</v>
      </c>
      <c r="H509" t="s">
        <v>15</v>
      </c>
      <c r="I509">
        <v>1</v>
      </c>
      <c r="J509" t="s">
        <v>42</v>
      </c>
      <c r="K509" t="s">
        <v>31</v>
      </c>
      <c r="L509">
        <v>58</v>
      </c>
      <c r="M509" t="str">
        <f t="shared" si="7"/>
        <v>Old</v>
      </c>
      <c r="N509" t="s">
        <v>18</v>
      </c>
      <c r="R509">
        <v>15214</v>
      </c>
      <c r="S509" t="s">
        <v>36</v>
      </c>
      <c r="T509" t="s">
        <v>37</v>
      </c>
      <c r="U509" s="4">
        <v>100000</v>
      </c>
      <c r="V509">
        <v>0</v>
      </c>
      <c r="W509" t="s">
        <v>30</v>
      </c>
      <c r="X509" t="s">
        <v>28</v>
      </c>
      <c r="Y509" t="s">
        <v>18</v>
      </c>
      <c r="Z509">
        <v>1</v>
      </c>
      <c r="AA509" t="s">
        <v>26</v>
      </c>
      <c r="AB509" t="s">
        <v>24</v>
      </c>
      <c r="AC509">
        <v>39</v>
      </c>
      <c r="AD509" t="s">
        <v>44</v>
      </c>
      <c r="BL509">
        <v>19164</v>
      </c>
      <c r="BM509" t="s">
        <v>36</v>
      </c>
      <c r="BN509" t="s">
        <v>37</v>
      </c>
      <c r="BO509" s="4">
        <v>70000</v>
      </c>
      <c r="BP509" s="4">
        <v>70000</v>
      </c>
      <c r="BQ509">
        <v>0</v>
      </c>
      <c r="BR509" t="s">
        <v>21</v>
      </c>
      <c r="BS509" t="s">
        <v>18</v>
      </c>
      <c r="BT509">
        <v>38</v>
      </c>
    </row>
    <row r="510" spans="1:72" x14ac:dyDescent="0.25">
      <c r="A510">
        <v>20514</v>
      </c>
      <c r="B510" t="s">
        <v>35</v>
      </c>
      <c r="C510" t="s">
        <v>37</v>
      </c>
      <c r="D510" s="11">
        <v>70000</v>
      </c>
      <c r="E510">
        <v>2</v>
      </c>
      <c r="F510" t="s">
        <v>19</v>
      </c>
      <c r="G510" t="s">
        <v>21</v>
      </c>
      <c r="H510" t="s">
        <v>15</v>
      </c>
      <c r="I510">
        <v>1</v>
      </c>
      <c r="J510" t="s">
        <v>22</v>
      </c>
      <c r="K510" t="s">
        <v>31</v>
      </c>
      <c r="L510">
        <v>59</v>
      </c>
      <c r="M510" t="str">
        <f t="shared" si="7"/>
        <v>Old</v>
      </c>
      <c r="N510" t="s">
        <v>18</v>
      </c>
      <c r="R510">
        <v>14233</v>
      </c>
      <c r="S510" t="s">
        <v>36</v>
      </c>
      <c r="T510" t="s">
        <v>38</v>
      </c>
      <c r="U510" s="4">
        <v>100000</v>
      </c>
      <c r="V510">
        <v>0</v>
      </c>
      <c r="W510" t="s">
        <v>27</v>
      </c>
      <c r="X510" t="s">
        <v>28</v>
      </c>
      <c r="Y510" t="s">
        <v>15</v>
      </c>
      <c r="Z510">
        <v>3</v>
      </c>
      <c r="AA510" t="s">
        <v>42</v>
      </c>
      <c r="AB510" t="s">
        <v>24</v>
      </c>
      <c r="AC510">
        <v>35</v>
      </c>
      <c r="AD510" t="s">
        <v>44</v>
      </c>
      <c r="BL510">
        <v>18949</v>
      </c>
      <c r="BM510" t="s">
        <v>36</v>
      </c>
      <c r="BN510" t="s">
        <v>38</v>
      </c>
      <c r="BO510" s="4">
        <v>70000</v>
      </c>
      <c r="BP510" s="4">
        <v>70000</v>
      </c>
      <c r="BQ510">
        <v>0</v>
      </c>
      <c r="BR510" t="s">
        <v>28</v>
      </c>
      <c r="BS510" t="s">
        <v>15</v>
      </c>
      <c r="BT510">
        <v>74</v>
      </c>
    </row>
    <row r="511" spans="1:72" x14ac:dyDescent="0.25">
      <c r="A511">
        <v>20430</v>
      </c>
      <c r="B511" t="s">
        <v>35</v>
      </c>
      <c r="C511" t="s">
        <v>38</v>
      </c>
      <c r="D511" s="11">
        <v>70000</v>
      </c>
      <c r="E511">
        <v>2</v>
      </c>
      <c r="F511" t="s">
        <v>19</v>
      </c>
      <c r="G511" t="s">
        <v>14</v>
      </c>
      <c r="H511" t="s">
        <v>15</v>
      </c>
      <c r="I511">
        <v>2</v>
      </c>
      <c r="J511" t="s">
        <v>23</v>
      </c>
      <c r="K511" t="s">
        <v>24</v>
      </c>
      <c r="L511">
        <v>52</v>
      </c>
      <c r="M511" t="str">
        <f t="shared" si="7"/>
        <v>MIddleAge</v>
      </c>
      <c r="N511" t="s">
        <v>15</v>
      </c>
      <c r="R511">
        <v>21560</v>
      </c>
      <c r="S511" t="s">
        <v>35</v>
      </c>
      <c r="T511" t="s">
        <v>38</v>
      </c>
      <c r="U511" s="4">
        <v>120000</v>
      </c>
      <c r="V511">
        <v>0</v>
      </c>
      <c r="W511" t="s">
        <v>29</v>
      </c>
      <c r="X511" t="s">
        <v>21</v>
      </c>
      <c r="Y511" t="s">
        <v>15</v>
      </c>
      <c r="Z511">
        <v>4</v>
      </c>
      <c r="AA511" t="s">
        <v>42</v>
      </c>
      <c r="AB511" t="s">
        <v>24</v>
      </c>
      <c r="AC511">
        <v>32</v>
      </c>
      <c r="AD511" t="s">
        <v>44</v>
      </c>
      <c r="BL511">
        <v>18613</v>
      </c>
      <c r="BM511" t="s">
        <v>36</v>
      </c>
      <c r="BN511" t="s">
        <v>38</v>
      </c>
      <c r="BO511" s="4">
        <v>70000</v>
      </c>
      <c r="BP511" s="4">
        <v>70000</v>
      </c>
      <c r="BQ511">
        <v>0</v>
      </c>
      <c r="BR511" t="s">
        <v>21</v>
      </c>
      <c r="BS511" t="s">
        <v>18</v>
      </c>
      <c r="BT511">
        <v>37</v>
      </c>
    </row>
    <row r="512" spans="1:72" x14ac:dyDescent="0.25">
      <c r="A512">
        <v>19889</v>
      </c>
      <c r="B512" t="s">
        <v>36</v>
      </c>
      <c r="C512" t="s">
        <v>37</v>
      </c>
      <c r="D512" s="11">
        <v>70000</v>
      </c>
      <c r="E512">
        <v>2</v>
      </c>
      <c r="F512" t="s">
        <v>29</v>
      </c>
      <c r="G512" t="s">
        <v>14</v>
      </c>
      <c r="H512" t="s">
        <v>18</v>
      </c>
      <c r="I512">
        <v>2</v>
      </c>
      <c r="J512" t="s">
        <v>22</v>
      </c>
      <c r="K512" t="s">
        <v>31</v>
      </c>
      <c r="L512">
        <v>54</v>
      </c>
      <c r="M512" t="str">
        <f t="shared" si="7"/>
        <v>MIddleAge</v>
      </c>
      <c r="N512" t="s">
        <v>15</v>
      </c>
      <c r="R512">
        <v>14238</v>
      </c>
      <c r="S512" t="s">
        <v>35</v>
      </c>
      <c r="T512" t="s">
        <v>38</v>
      </c>
      <c r="U512" s="4">
        <v>120000</v>
      </c>
      <c r="V512">
        <v>0</v>
      </c>
      <c r="W512" t="s">
        <v>29</v>
      </c>
      <c r="X512" t="s">
        <v>21</v>
      </c>
      <c r="Y512" t="s">
        <v>15</v>
      </c>
      <c r="Z512">
        <v>4</v>
      </c>
      <c r="AA512" t="s">
        <v>42</v>
      </c>
      <c r="AB512" t="s">
        <v>24</v>
      </c>
      <c r="AC512">
        <v>36</v>
      </c>
      <c r="AD512" t="s">
        <v>44</v>
      </c>
      <c r="BL512">
        <v>17319</v>
      </c>
      <c r="BM512" t="s">
        <v>36</v>
      </c>
      <c r="BN512" t="s">
        <v>37</v>
      </c>
      <c r="BO512" s="4">
        <v>70000</v>
      </c>
      <c r="BP512" s="4">
        <v>70000</v>
      </c>
      <c r="BQ512">
        <v>0</v>
      </c>
      <c r="BR512" t="s">
        <v>21</v>
      </c>
      <c r="BS512" t="s">
        <v>18</v>
      </c>
      <c r="BT512">
        <v>42</v>
      </c>
    </row>
    <row r="513" spans="1:72" x14ac:dyDescent="0.25">
      <c r="A513">
        <v>19812</v>
      </c>
      <c r="B513" t="s">
        <v>36</v>
      </c>
      <c r="C513" t="s">
        <v>37</v>
      </c>
      <c r="D513" s="11">
        <v>70000</v>
      </c>
      <c r="E513">
        <v>2</v>
      </c>
      <c r="F513" t="s">
        <v>19</v>
      </c>
      <c r="G513" t="s">
        <v>21</v>
      </c>
      <c r="H513" t="s">
        <v>15</v>
      </c>
      <c r="I513">
        <v>0</v>
      </c>
      <c r="J513" t="s">
        <v>23</v>
      </c>
      <c r="K513" t="s">
        <v>31</v>
      </c>
      <c r="L513">
        <v>49</v>
      </c>
      <c r="M513" t="str">
        <f t="shared" si="7"/>
        <v>MIddleAge</v>
      </c>
      <c r="N513" t="s">
        <v>15</v>
      </c>
      <c r="R513">
        <v>15758</v>
      </c>
      <c r="S513" t="s">
        <v>35</v>
      </c>
      <c r="T513" t="s">
        <v>38</v>
      </c>
      <c r="U513" s="4">
        <v>130000</v>
      </c>
      <c r="V513">
        <v>0</v>
      </c>
      <c r="W513" t="s">
        <v>30</v>
      </c>
      <c r="X513" t="s">
        <v>28</v>
      </c>
      <c r="Y513" t="s">
        <v>15</v>
      </c>
      <c r="Z513">
        <v>0</v>
      </c>
      <c r="AA513" t="s">
        <v>23</v>
      </c>
      <c r="AB513" t="s">
        <v>24</v>
      </c>
      <c r="AC513">
        <v>48</v>
      </c>
      <c r="AD513" t="s">
        <v>44</v>
      </c>
      <c r="BL513">
        <v>16753</v>
      </c>
      <c r="BM513" t="s">
        <v>36</v>
      </c>
      <c r="BN513" t="s">
        <v>37</v>
      </c>
      <c r="BO513" s="4">
        <v>70000</v>
      </c>
      <c r="BP513" s="4">
        <v>70000</v>
      </c>
      <c r="BQ513">
        <v>0</v>
      </c>
      <c r="BR513" t="s">
        <v>14</v>
      </c>
      <c r="BS513" t="s">
        <v>15</v>
      </c>
      <c r="BT513">
        <v>34</v>
      </c>
    </row>
    <row r="514" spans="1:72" x14ac:dyDescent="0.25">
      <c r="A514">
        <v>18560</v>
      </c>
      <c r="B514" t="s">
        <v>35</v>
      </c>
      <c r="C514" t="s">
        <v>37</v>
      </c>
      <c r="D514" s="11">
        <v>70000</v>
      </c>
      <c r="E514">
        <v>2</v>
      </c>
      <c r="F514" t="s">
        <v>30</v>
      </c>
      <c r="G514" t="s">
        <v>21</v>
      </c>
      <c r="H514" t="s">
        <v>15</v>
      </c>
      <c r="I514">
        <v>0</v>
      </c>
      <c r="J514" t="s">
        <v>22</v>
      </c>
      <c r="K514" t="s">
        <v>31</v>
      </c>
      <c r="L514">
        <v>34</v>
      </c>
      <c r="M514" t="str">
        <f t="shared" ref="M514:M577" si="8">IF(L514&gt; 54, "Old",IF(L514&gt;= 31, "MIddleAge",IF(L514&lt;31, "Adolescent", "Adult")))</f>
        <v>MIddleAge</v>
      </c>
      <c r="N514" t="s">
        <v>15</v>
      </c>
      <c r="R514">
        <v>13082</v>
      </c>
      <c r="S514" t="s">
        <v>36</v>
      </c>
      <c r="T514" t="s">
        <v>38</v>
      </c>
      <c r="U514" s="4">
        <v>130000</v>
      </c>
      <c r="V514">
        <v>0</v>
      </c>
      <c r="W514" t="s">
        <v>30</v>
      </c>
      <c r="X514" t="s">
        <v>28</v>
      </c>
      <c r="Y514" t="s">
        <v>15</v>
      </c>
      <c r="Z514">
        <v>0</v>
      </c>
      <c r="AA514" t="s">
        <v>22</v>
      </c>
      <c r="AB514" t="s">
        <v>24</v>
      </c>
      <c r="AC514">
        <v>48</v>
      </c>
      <c r="AD514" t="s">
        <v>44</v>
      </c>
      <c r="BL514">
        <v>14682</v>
      </c>
      <c r="BM514" t="s">
        <v>36</v>
      </c>
      <c r="BN514" t="s">
        <v>37</v>
      </c>
      <c r="BO514" s="4">
        <v>70000</v>
      </c>
      <c r="BP514" s="4">
        <v>70000</v>
      </c>
      <c r="BQ514">
        <v>0</v>
      </c>
      <c r="BR514" t="s">
        <v>21</v>
      </c>
      <c r="BS514" t="s">
        <v>18</v>
      </c>
      <c r="BT514">
        <v>38</v>
      </c>
    </row>
    <row r="515" spans="1:72" x14ac:dyDescent="0.25">
      <c r="A515">
        <v>18504</v>
      </c>
      <c r="B515" t="s">
        <v>35</v>
      </c>
      <c r="C515" t="s">
        <v>38</v>
      </c>
      <c r="D515" s="11">
        <v>70000</v>
      </c>
      <c r="E515">
        <v>2</v>
      </c>
      <c r="F515" t="s">
        <v>29</v>
      </c>
      <c r="G515" t="s">
        <v>14</v>
      </c>
      <c r="H515" t="s">
        <v>18</v>
      </c>
      <c r="I515">
        <v>2</v>
      </c>
      <c r="J515" t="s">
        <v>26</v>
      </c>
      <c r="K515" t="s">
        <v>31</v>
      </c>
      <c r="L515">
        <v>49</v>
      </c>
      <c r="M515" t="str">
        <f t="shared" si="8"/>
        <v>MIddleAge</v>
      </c>
      <c r="N515" t="s">
        <v>18</v>
      </c>
      <c r="R515">
        <v>12705</v>
      </c>
      <c r="S515" t="s">
        <v>35</v>
      </c>
      <c r="T515" t="s">
        <v>38</v>
      </c>
      <c r="U515" s="4">
        <v>150000</v>
      </c>
      <c r="V515">
        <v>0</v>
      </c>
      <c r="W515" t="s">
        <v>13</v>
      </c>
      <c r="X515" t="s">
        <v>28</v>
      </c>
      <c r="Y515" t="s">
        <v>15</v>
      </c>
      <c r="Z515">
        <v>4</v>
      </c>
      <c r="AA515" t="s">
        <v>16</v>
      </c>
      <c r="AB515" t="s">
        <v>24</v>
      </c>
      <c r="AC515">
        <v>37</v>
      </c>
      <c r="AD515" t="s">
        <v>44</v>
      </c>
      <c r="BL515">
        <v>14063</v>
      </c>
      <c r="BM515" t="s">
        <v>36</v>
      </c>
      <c r="BN515" t="s">
        <v>37</v>
      </c>
      <c r="BO515" s="4">
        <v>70000</v>
      </c>
      <c r="BP515" s="4">
        <v>70000</v>
      </c>
      <c r="BQ515">
        <v>0</v>
      </c>
      <c r="BR515" t="s">
        <v>21</v>
      </c>
      <c r="BS515" t="s">
        <v>18</v>
      </c>
      <c r="BT515">
        <v>42</v>
      </c>
    </row>
    <row r="516" spans="1:72" x14ac:dyDescent="0.25">
      <c r="A516">
        <v>18491</v>
      </c>
      <c r="B516" t="s">
        <v>36</v>
      </c>
      <c r="C516" t="s">
        <v>37</v>
      </c>
      <c r="D516" s="11">
        <v>70000</v>
      </c>
      <c r="E516">
        <v>2</v>
      </c>
      <c r="F516" t="s">
        <v>27</v>
      </c>
      <c r="G516" t="s">
        <v>21</v>
      </c>
      <c r="H516" t="s">
        <v>15</v>
      </c>
      <c r="I516">
        <v>2</v>
      </c>
      <c r="J516" t="s">
        <v>23</v>
      </c>
      <c r="K516" t="s">
        <v>24</v>
      </c>
      <c r="L516">
        <v>49</v>
      </c>
      <c r="M516" t="str">
        <f t="shared" si="8"/>
        <v>MIddleAge</v>
      </c>
      <c r="N516" t="s">
        <v>15</v>
      </c>
      <c r="R516">
        <v>16675</v>
      </c>
      <c r="S516" t="s">
        <v>36</v>
      </c>
      <c r="T516" t="s">
        <v>37</v>
      </c>
      <c r="U516" s="4">
        <v>160000</v>
      </c>
      <c r="V516">
        <v>0</v>
      </c>
      <c r="W516" t="s">
        <v>30</v>
      </c>
      <c r="X516" t="s">
        <v>28</v>
      </c>
      <c r="Y516" t="s">
        <v>18</v>
      </c>
      <c r="Z516">
        <v>3</v>
      </c>
      <c r="AA516" t="s">
        <v>16</v>
      </c>
      <c r="AB516" t="s">
        <v>24</v>
      </c>
      <c r="AC516">
        <v>47</v>
      </c>
      <c r="AD516" t="s">
        <v>44</v>
      </c>
      <c r="BL516">
        <v>14058</v>
      </c>
      <c r="BM516" t="s">
        <v>36</v>
      </c>
      <c r="BN516" t="s">
        <v>38</v>
      </c>
      <c r="BO516" s="4">
        <v>70000</v>
      </c>
      <c r="BP516" s="4">
        <v>70000</v>
      </c>
      <c r="BQ516">
        <v>0</v>
      </c>
      <c r="BR516" t="s">
        <v>21</v>
      </c>
      <c r="BS516" t="s">
        <v>18</v>
      </c>
      <c r="BT516">
        <v>41</v>
      </c>
    </row>
    <row r="517" spans="1:72" x14ac:dyDescent="0.25">
      <c r="A517">
        <v>14032</v>
      </c>
      <c r="B517" t="s">
        <v>35</v>
      </c>
      <c r="C517" t="s">
        <v>38</v>
      </c>
      <c r="D517" s="11">
        <v>70000</v>
      </c>
      <c r="E517">
        <v>2</v>
      </c>
      <c r="F517" t="s">
        <v>27</v>
      </c>
      <c r="G517" t="s">
        <v>14</v>
      </c>
      <c r="H517" t="s">
        <v>18</v>
      </c>
      <c r="I517">
        <v>2</v>
      </c>
      <c r="J517" t="s">
        <v>26</v>
      </c>
      <c r="K517" t="s">
        <v>24</v>
      </c>
      <c r="L517">
        <v>50</v>
      </c>
      <c r="M517" t="str">
        <f t="shared" si="8"/>
        <v>MIddleAge</v>
      </c>
      <c r="N517" t="s">
        <v>15</v>
      </c>
      <c r="BL517">
        <v>13620</v>
      </c>
      <c r="BM517" t="s">
        <v>36</v>
      </c>
      <c r="BN517" t="s">
        <v>38</v>
      </c>
      <c r="BO517" s="4">
        <v>70000</v>
      </c>
      <c r="BP517" s="4">
        <v>70000</v>
      </c>
      <c r="BQ517">
        <v>0</v>
      </c>
      <c r="BR517" t="s">
        <v>21</v>
      </c>
      <c r="BS517" t="s">
        <v>18</v>
      </c>
      <c r="BT517">
        <v>30</v>
      </c>
    </row>
    <row r="518" spans="1:72" x14ac:dyDescent="0.25">
      <c r="A518">
        <v>11669</v>
      </c>
      <c r="B518" t="s">
        <v>36</v>
      </c>
      <c r="C518" t="s">
        <v>37</v>
      </c>
      <c r="D518" s="11">
        <v>70000</v>
      </c>
      <c r="E518">
        <v>2</v>
      </c>
      <c r="F518" t="s">
        <v>13</v>
      </c>
      <c r="G518" t="s">
        <v>14</v>
      </c>
      <c r="H518" t="s">
        <v>15</v>
      </c>
      <c r="I518">
        <v>1</v>
      </c>
      <c r="J518" t="s">
        <v>22</v>
      </c>
      <c r="K518" t="s">
        <v>31</v>
      </c>
      <c r="L518">
        <v>38</v>
      </c>
      <c r="M518" t="str">
        <f t="shared" si="8"/>
        <v>MIddleAge</v>
      </c>
      <c r="N518" t="s">
        <v>18</v>
      </c>
      <c r="BL518">
        <v>11823</v>
      </c>
      <c r="BM518" t="s">
        <v>35</v>
      </c>
      <c r="BN518" t="s">
        <v>37</v>
      </c>
      <c r="BO518" s="4">
        <v>70000</v>
      </c>
      <c r="BP518" s="4">
        <v>70000</v>
      </c>
      <c r="BQ518">
        <v>0</v>
      </c>
      <c r="BR518" t="s">
        <v>21</v>
      </c>
      <c r="BS518" t="s">
        <v>15</v>
      </c>
      <c r="BT518">
        <v>39</v>
      </c>
    </row>
    <row r="519" spans="1:72" x14ac:dyDescent="0.25">
      <c r="A519">
        <v>11061</v>
      </c>
      <c r="B519" t="s">
        <v>35</v>
      </c>
      <c r="C519" t="s">
        <v>38</v>
      </c>
      <c r="D519" s="11">
        <v>70000</v>
      </c>
      <c r="E519">
        <v>2</v>
      </c>
      <c r="F519" t="s">
        <v>19</v>
      </c>
      <c r="G519" t="s">
        <v>14</v>
      </c>
      <c r="H519" t="s">
        <v>15</v>
      </c>
      <c r="I519">
        <v>2</v>
      </c>
      <c r="J519" t="s">
        <v>23</v>
      </c>
      <c r="K519" t="s">
        <v>24</v>
      </c>
      <c r="L519">
        <v>52</v>
      </c>
      <c r="M519" t="str">
        <f t="shared" si="8"/>
        <v>MIddleAge</v>
      </c>
      <c r="N519" t="s">
        <v>15</v>
      </c>
      <c r="BL519">
        <v>11451</v>
      </c>
      <c r="BM519" t="s">
        <v>36</v>
      </c>
      <c r="BN519" t="s">
        <v>38</v>
      </c>
      <c r="BO519" s="4">
        <v>70000</v>
      </c>
      <c r="BP519" s="4">
        <v>70000</v>
      </c>
      <c r="BQ519">
        <v>0</v>
      </c>
      <c r="BR519" t="s">
        <v>21</v>
      </c>
      <c r="BS519" t="s">
        <v>18</v>
      </c>
      <c r="BT519">
        <v>31</v>
      </c>
    </row>
    <row r="520" spans="1:72" x14ac:dyDescent="0.25">
      <c r="A520">
        <v>28228</v>
      </c>
      <c r="B520" t="s">
        <v>36</v>
      </c>
      <c r="C520" t="s">
        <v>37</v>
      </c>
      <c r="D520" s="11">
        <v>80000</v>
      </c>
      <c r="E520">
        <v>2</v>
      </c>
      <c r="F520" t="s">
        <v>29</v>
      </c>
      <c r="G520" t="s">
        <v>14</v>
      </c>
      <c r="H520" t="s">
        <v>18</v>
      </c>
      <c r="I520">
        <v>2</v>
      </c>
      <c r="J520" t="s">
        <v>26</v>
      </c>
      <c r="K520" t="s">
        <v>31</v>
      </c>
      <c r="L520">
        <v>50</v>
      </c>
      <c r="M520" t="str">
        <f t="shared" si="8"/>
        <v>MIddleAge</v>
      </c>
      <c r="N520" t="s">
        <v>18</v>
      </c>
      <c r="BL520">
        <v>28580</v>
      </c>
      <c r="BM520" t="s">
        <v>35</v>
      </c>
      <c r="BN520" t="s">
        <v>37</v>
      </c>
      <c r="BO520" s="4">
        <v>80000</v>
      </c>
      <c r="BP520" s="4">
        <v>80000</v>
      </c>
      <c r="BQ520">
        <v>0</v>
      </c>
      <c r="BR520" t="s">
        <v>14</v>
      </c>
      <c r="BS520" t="s">
        <v>15</v>
      </c>
      <c r="BT520">
        <v>40</v>
      </c>
    </row>
    <row r="521" spans="1:72" x14ac:dyDescent="0.25">
      <c r="A521">
        <v>28066</v>
      </c>
      <c r="B521" t="s">
        <v>35</v>
      </c>
      <c r="C521" t="s">
        <v>38</v>
      </c>
      <c r="D521" s="11">
        <v>80000</v>
      </c>
      <c r="E521">
        <v>2</v>
      </c>
      <c r="F521" t="s">
        <v>30</v>
      </c>
      <c r="G521" t="s">
        <v>21</v>
      </c>
      <c r="H521" t="s">
        <v>15</v>
      </c>
      <c r="I521">
        <v>0</v>
      </c>
      <c r="J521" t="s">
        <v>16</v>
      </c>
      <c r="K521" t="s">
        <v>31</v>
      </c>
      <c r="L521">
        <v>37</v>
      </c>
      <c r="M521" t="str">
        <f t="shared" si="8"/>
        <v>MIddleAge</v>
      </c>
      <c r="N521" t="s">
        <v>15</v>
      </c>
      <c r="BL521">
        <v>27969</v>
      </c>
      <c r="BM521" t="s">
        <v>35</v>
      </c>
      <c r="BN521" t="s">
        <v>38</v>
      </c>
      <c r="BO521" s="4">
        <v>80000</v>
      </c>
      <c r="BP521" s="4">
        <v>80000</v>
      </c>
      <c r="BQ521">
        <v>0</v>
      </c>
      <c r="BR521" t="s">
        <v>21</v>
      </c>
      <c r="BS521" t="s">
        <v>15</v>
      </c>
      <c r="BT521">
        <v>29</v>
      </c>
    </row>
    <row r="522" spans="1:72" x14ac:dyDescent="0.25">
      <c r="A522">
        <v>26678</v>
      </c>
      <c r="B522" t="s">
        <v>36</v>
      </c>
      <c r="C522" t="s">
        <v>37</v>
      </c>
      <c r="D522" s="11">
        <v>80000</v>
      </c>
      <c r="E522">
        <v>2</v>
      </c>
      <c r="F522" t="s">
        <v>29</v>
      </c>
      <c r="G522" t="s">
        <v>14</v>
      </c>
      <c r="H522" t="s">
        <v>15</v>
      </c>
      <c r="I522">
        <v>2</v>
      </c>
      <c r="J522" t="s">
        <v>23</v>
      </c>
      <c r="K522" t="s">
        <v>31</v>
      </c>
      <c r="L522">
        <v>49</v>
      </c>
      <c r="M522" t="str">
        <f t="shared" si="8"/>
        <v>MIddleAge</v>
      </c>
      <c r="N522" t="s">
        <v>18</v>
      </c>
      <c r="BL522">
        <v>27198</v>
      </c>
      <c r="BM522" t="s">
        <v>36</v>
      </c>
      <c r="BN522" t="s">
        <v>37</v>
      </c>
      <c r="BO522" s="4">
        <v>80000</v>
      </c>
      <c r="BP522" s="4">
        <v>80000</v>
      </c>
      <c r="BQ522">
        <v>0</v>
      </c>
      <c r="BR522" t="s">
        <v>14</v>
      </c>
      <c r="BS522" t="s">
        <v>18</v>
      </c>
      <c r="BT522">
        <v>40</v>
      </c>
    </row>
    <row r="523" spans="1:72" x14ac:dyDescent="0.25">
      <c r="A523">
        <v>23455</v>
      </c>
      <c r="B523" t="s">
        <v>36</v>
      </c>
      <c r="C523" t="s">
        <v>38</v>
      </c>
      <c r="D523" s="11">
        <v>80000</v>
      </c>
      <c r="E523">
        <v>2</v>
      </c>
      <c r="F523" t="s">
        <v>29</v>
      </c>
      <c r="G523" t="s">
        <v>14</v>
      </c>
      <c r="H523" t="s">
        <v>18</v>
      </c>
      <c r="I523">
        <v>2</v>
      </c>
      <c r="J523" t="s">
        <v>26</v>
      </c>
      <c r="K523" t="s">
        <v>31</v>
      </c>
      <c r="L523">
        <v>50</v>
      </c>
      <c r="M523" t="str">
        <f t="shared" si="8"/>
        <v>MIddleAge</v>
      </c>
      <c r="N523" t="s">
        <v>18</v>
      </c>
      <c r="BL523">
        <v>24898</v>
      </c>
      <c r="BM523" t="s">
        <v>36</v>
      </c>
      <c r="BN523" t="s">
        <v>37</v>
      </c>
      <c r="BO523" s="4">
        <v>80000</v>
      </c>
      <c r="BP523" s="4">
        <v>80000</v>
      </c>
      <c r="BQ523">
        <v>0</v>
      </c>
      <c r="BR523" t="s">
        <v>21</v>
      </c>
      <c r="BS523" t="s">
        <v>15</v>
      </c>
      <c r="BT523">
        <v>32</v>
      </c>
    </row>
    <row r="524" spans="1:72" x14ac:dyDescent="0.25">
      <c r="A524">
        <v>19784</v>
      </c>
      <c r="B524" t="s">
        <v>35</v>
      </c>
      <c r="C524" t="s">
        <v>37</v>
      </c>
      <c r="D524" s="11">
        <v>80000</v>
      </c>
      <c r="E524">
        <v>2</v>
      </c>
      <c r="F524" t="s">
        <v>27</v>
      </c>
      <c r="G524" t="s">
        <v>14</v>
      </c>
      <c r="H524" t="s">
        <v>15</v>
      </c>
      <c r="I524">
        <v>2</v>
      </c>
      <c r="J524" t="s">
        <v>23</v>
      </c>
      <c r="K524" t="s">
        <v>24</v>
      </c>
      <c r="L524">
        <v>50</v>
      </c>
      <c r="M524" t="str">
        <f t="shared" si="8"/>
        <v>MIddleAge</v>
      </c>
      <c r="N524" t="s">
        <v>15</v>
      </c>
      <c r="BL524">
        <v>24093</v>
      </c>
      <c r="BM524" t="s">
        <v>36</v>
      </c>
      <c r="BN524" t="s">
        <v>37</v>
      </c>
      <c r="BO524" s="4">
        <v>80000</v>
      </c>
      <c r="BP524" s="4">
        <v>80000</v>
      </c>
      <c r="BQ524">
        <v>0</v>
      </c>
      <c r="BR524" t="s">
        <v>14</v>
      </c>
      <c r="BS524" t="s">
        <v>18</v>
      </c>
      <c r="BT524">
        <v>40</v>
      </c>
    </row>
    <row r="525" spans="1:72" x14ac:dyDescent="0.25">
      <c r="A525">
        <v>18484</v>
      </c>
      <c r="B525" t="s">
        <v>36</v>
      </c>
      <c r="C525" t="s">
        <v>38</v>
      </c>
      <c r="D525" s="11">
        <v>80000</v>
      </c>
      <c r="E525">
        <v>2</v>
      </c>
      <c r="F525" t="s">
        <v>27</v>
      </c>
      <c r="G525" t="s">
        <v>14</v>
      </c>
      <c r="H525" t="s">
        <v>18</v>
      </c>
      <c r="I525">
        <v>2</v>
      </c>
      <c r="J525" t="s">
        <v>26</v>
      </c>
      <c r="K525" t="s">
        <v>24</v>
      </c>
      <c r="L525">
        <v>50</v>
      </c>
      <c r="M525" t="str">
        <f t="shared" si="8"/>
        <v>MIddleAge</v>
      </c>
      <c r="N525" t="s">
        <v>15</v>
      </c>
      <c r="BL525">
        <v>23586</v>
      </c>
      <c r="BM525" t="s">
        <v>35</v>
      </c>
      <c r="BN525" t="s">
        <v>37</v>
      </c>
      <c r="BO525" s="4">
        <v>80000</v>
      </c>
      <c r="BP525" s="4">
        <v>80000</v>
      </c>
      <c r="BQ525">
        <v>0</v>
      </c>
      <c r="BR525" t="s">
        <v>28</v>
      </c>
      <c r="BS525" t="s">
        <v>15</v>
      </c>
      <c r="BT525">
        <v>34</v>
      </c>
    </row>
    <row r="526" spans="1:72" x14ac:dyDescent="0.25">
      <c r="A526">
        <v>18423</v>
      </c>
      <c r="B526" t="s">
        <v>36</v>
      </c>
      <c r="C526" t="s">
        <v>38</v>
      </c>
      <c r="D526" s="11">
        <v>80000</v>
      </c>
      <c r="E526">
        <v>2</v>
      </c>
      <c r="F526" t="s">
        <v>29</v>
      </c>
      <c r="G526" t="s">
        <v>14</v>
      </c>
      <c r="H526" t="s">
        <v>18</v>
      </c>
      <c r="I526">
        <v>2</v>
      </c>
      <c r="J526" t="s">
        <v>26</v>
      </c>
      <c r="K526" t="s">
        <v>31</v>
      </c>
      <c r="L526">
        <v>52</v>
      </c>
      <c r="M526" t="str">
        <f t="shared" si="8"/>
        <v>MIddleAge</v>
      </c>
      <c r="N526" t="s">
        <v>18</v>
      </c>
      <c r="BL526">
        <v>22994</v>
      </c>
      <c r="BM526" t="s">
        <v>35</v>
      </c>
      <c r="BN526" t="s">
        <v>37</v>
      </c>
      <c r="BO526" s="4">
        <v>80000</v>
      </c>
      <c r="BP526" s="4">
        <v>80000</v>
      </c>
      <c r="BQ526">
        <v>0</v>
      </c>
      <c r="BR526" t="s">
        <v>28</v>
      </c>
      <c r="BS526" t="s">
        <v>15</v>
      </c>
      <c r="BT526">
        <v>34</v>
      </c>
    </row>
    <row r="527" spans="1:72" x14ac:dyDescent="0.25">
      <c r="A527">
        <v>17504</v>
      </c>
      <c r="B527" t="s">
        <v>36</v>
      </c>
      <c r="C527" t="s">
        <v>37</v>
      </c>
      <c r="D527" s="11">
        <v>80000</v>
      </c>
      <c r="E527">
        <v>2</v>
      </c>
      <c r="F527" t="s">
        <v>19</v>
      </c>
      <c r="G527" t="s">
        <v>14</v>
      </c>
      <c r="H527" t="s">
        <v>15</v>
      </c>
      <c r="I527">
        <v>2</v>
      </c>
      <c r="J527" t="s">
        <v>23</v>
      </c>
      <c r="K527" t="s">
        <v>24</v>
      </c>
      <c r="L527">
        <v>52</v>
      </c>
      <c r="M527" t="str">
        <f t="shared" si="8"/>
        <v>MIddleAge</v>
      </c>
      <c r="N527" t="s">
        <v>15</v>
      </c>
      <c r="BL527">
        <v>22046</v>
      </c>
      <c r="BM527" t="s">
        <v>36</v>
      </c>
      <c r="BN527" t="s">
        <v>37</v>
      </c>
      <c r="BO527" s="4">
        <v>80000</v>
      </c>
      <c r="BP527" s="4">
        <v>80000</v>
      </c>
      <c r="BQ527">
        <v>0</v>
      </c>
      <c r="BR527" t="s">
        <v>28</v>
      </c>
      <c r="BS527" t="s">
        <v>18</v>
      </c>
      <c r="BT527">
        <v>38</v>
      </c>
    </row>
    <row r="528" spans="1:72" x14ac:dyDescent="0.25">
      <c r="A528">
        <v>15752</v>
      </c>
      <c r="B528" t="s">
        <v>35</v>
      </c>
      <c r="C528" t="s">
        <v>38</v>
      </c>
      <c r="D528" s="11">
        <v>80000</v>
      </c>
      <c r="E528">
        <v>2</v>
      </c>
      <c r="F528" t="s">
        <v>27</v>
      </c>
      <c r="G528" t="s">
        <v>14</v>
      </c>
      <c r="H528" t="s">
        <v>18</v>
      </c>
      <c r="I528">
        <v>2</v>
      </c>
      <c r="J528" t="s">
        <v>26</v>
      </c>
      <c r="K528" t="s">
        <v>24</v>
      </c>
      <c r="L528">
        <v>50</v>
      </c>
      <c r="M528" t="str">
        <f t="shared" si="8"/>
        <v>MIddleAge</v>
      </c>
      <c r="N528" t="s">
        <v>15</v>
      </c>
      <c r="BL528">
        <v>21564</v>
      </c>
      <c r="BM528" t="s">
        <v>36</v>
      </c>
      <c r="BN528" t="s">
        <v>37</v>
      </c>
      <c r="BO528" s="4">
        <v>80000</v>
      </c>
      <c r="BP528" s="4">
        <v>80000</v>
      </c>
      <c r="BQ528">
        <v>0</v>
      </c>
      <c r="BR528" t="s">
        <v>21</v>
      </c>
      <c r="BS528" t="s">
        <v>15</v>
      </c>
      <c r="BT528">
        <v>35</v>
      </c>
    </row>
    <row r="529" spans="1:72" x14ac:dyDescent="0.25">
      <c r="A529">
        <v>27585</v>
      </c>
      <c r="B529" t="s">
        <v>35</v>
      </c>
      <c r="C529" t="s">
        <v>37</v>
      </c>
      <c r="D529" s="11">
        <v>90000</v>
      </c>
      <c r="E529">
        <v>2</v>
      </c>
      <c r="F529" t="s">
        <v>13</v>
      </c>
      <c r="G529" t="s">
        <v>21</v>
      </c>
      <c r="H529" t="s">
        <v>18</v>
      </c>
      <c r="I529">
        <v>0</v>
      </c>
      <c r="J529" t="s">
        <v>16</v>
      </c>
      <c r="K529" t="s">
        <v>24</v>
      </c>
      <c r="L529">
        <v>36</v>
      </c>
      <c r="M529" t="str">
        <f t="shared" si="8"/>
        <v>MIddleAge</v>
      </c>
      <c r="N529" t="s">
        <v>15</v>
      </c>
      <c r="BL529">
        <v>21554</v>
      </c>
      <c r="BM529" t="s">
        <v>36</v>
      </c>
      <c r="BN529" t="s">
        <v>37</v>
      </c>
      <c r="BO529" s="4">
        <v>80000</v>
      </c>
      <c r="BP529" s="4">
        <v>80000</v>
      </c>
      <c r="BQ529">
        <v>0</v>
      </c>
      <c r="BR529" t="s">
        <v>21</v>
      </c>
      <c r="BS529" t="s">
        <v>18</v>
      </c>
      <c r="BT529">
        <v>33</v>
      </c>
    </row>
    <row r="530" spans="1:72" x14ac:dyDescent="0.25">
      <c r="A530">
        <v>27582</v>
      </c>
      <c r="B530" t="s">
        <v>36</v>
      </c>
      <c r="C530" t="s">
        <v>37</v>
      </c>
      <c r="D530" s="11">
        <v>90000</v>
      </c>
      <c r="E530">
        <v>2</v>
      </c>
      <c r="F530" t="s">
        <v>13</v>
      </c>
      <c r="G530" t="s">
        <v>21</v>
      </c>
      <c r="H530" t="s">
        <v>18</v>
      </c>
      <c r="I530">
        <v>0</v>
      </c>
      <c r="J530" t="s">
        <v>16</v>
      </c>
      <c r="K530" t="s">
        <v>24</v>
      </c>
      <c r="L530">
        <v>36</v>
      </c>
      <c r="M530" t="str">
        <f t="shared" si="8"/>
        <v>MIddleAge</v>
      </c>
      <c r="N530" t="s">
        <v>15</v>
      </c>
      <c r="BL530">
        <v>21266</v>
      </c>
      <c r="BM530" t="s">
        <v>36</v>
      </c>
      <c r="BN530" t="s">
        <v>37</v>
      </c>
      <c r="BO530" s="4">
        <v>80000</v>
      </c>
      <c r="BP530" s="4">
        <v>80000</v>
      </c>
      <c r="BQ530">
        <v>0</v>
      </c>
      <c r="BR530" t="s">
        <v>28</v>
      </c>
      <c r="BS530" t="s">
        <v>15</v>
      </c>
      <c r="BT530">
        <v>34</v>
      </c>
    </row>
    <row r="531" spans="1:72" x14ac:dyDescent="0.25">
      <c r="A531">
        <v>26944</v>
      </c>
      <c r="B531" t="s">
        <v>36</v>
      </c>
      <c r="C531" t="s">
        <v>38</v>
      </c>
      <c r="D531" s="11">
        <v>90000</v>
      </c>
      <c r="E531">
        <v>2</v>
      </c>
      <c r="F531" t="s">
        <v>27</v>
      </c>
      <c r="G531" t="s">
        <v>25</v>
      </c>
      <c r="H531" t="s">
        <v>15</v>
      </c>
      <c r="I531">
        <v>0</v>
      </c>
      <c r="J531" t="s">
        <v>16</v>
      </c>
      <c r="K531" t="s">
        <v>17</v>
      </c>
      <c r="L531">
        <v>36</v>
      </c>
      <c r="M531" t="str">
        <f t="shared" si="8"/>
        <v>MIddleAge</v>
      </c>
      <c r="N531" t="s">
        <v>15</v>
      </c>
      <c r="BL531">
        <v>20619</v>
      </c>
      <c r="BM531" t="s">
        <v>36</v>
      </c>
      <c r="BN531" t="s">
        <v>38</v>
      </c>
      <c r="BO531" s="4">
        <v>80000</v>
      </c>
      <c r="BP531" s="4">
        <v>80000</v>
      </c>
      <c r="BQ531">
        <v>0</v>
      </c>
      <c r="BR531" t="s">
        <v>21</v>
      </c>
      <c r="BS531" t="s">
        <v>18</v>
      </c>
      <c r="BT531">
        <v>35</v>
      </c>
    </row>
    <row r="532" spans="1:72" x14ac:dyDescent="0.25">
      <c r="A532">
        <v>25241</v>
      </c>
      <c r="B532" t="s">
        <v>35</v>
      </c>
      <c r="C532" t="s">
        <v>38</v>
      </c>
      <c r="D532" s="11">
        <v>90000</v>
      </c>
      <c r="E532">
        <v>2</v>
      </c>
      <c r="F532" t="s">
        <v>13</v>
      </c>
      <c r="G532" t="s">
        <v>21</v>
      </c>
      <c r="H532" t="s">
        <v>15</v>
      </c>
      <c r="I532">
        <v>1</v>
      </c>
      <c r="J532" t="s">
        <v>23</v>
      </c>
      <c r="K532" t="s">
        <v>24</v>
      </c>
      <c r="L532">
        <v>47</v>
      </c>
      <c r="M532" t="str">
        <f t="shared" si="8"/>
        <v>MIddleAge</v>
      </c>
      <c r="N532" t="s">
        <v>18</v>
      </c>
      <c r="BL532">
        <v>18783</v>
      </c>
      <c r="BM532" t="s">
        <v>36</v>
      </c>
      <c r="BN532" t="s">
        <v>38</v>
      </c>
      <c r="BO532" s="4">
        <v>80000</v>
      </c>
      <c r="BP532" s="4">
        <v>80000</v>
      </c>
      <c r="BQ532">
        <v>0</v>
      </c>
      <c r="BR532" t="s">
        <v>28</v>
      </c>
      <c r="BS532" t="s">
        <v>18</v>
      </c>
      <c r="BT532">
        <v>38</v>
      </c>
    </row>
    <row r="533" spans="1:72" x14ac:dyDescent="0.25">
      <c r="A533">
        <v>22864</v>
      </c>
      <c r="B533" t="s">
        <v>35</v>
      </c>
      <c r="C533" t="s">
        <v>38</v>
      </c>
      <c r="D533" s="11">
        <v>90000</v>
      </c>
      <c r="E533">
        <v>2</v>
      </c>
      <c r="F533" t="s">
        <v>19</v>
      </c>
      <c r="G533" t="s">
        <v>21</v>
      </c>
      <c r="H533" t="s">
        <v>18</v>
      </c>
      <c r="I533">
        <v>0</v>
      </c>
      <c r="J533" t="s">
        <v>23</v>
      </c>
      <c r="K533" t="s">
        <v>31</v>
      </c>
      <c r="L533">
        <v>49</v>
      </c>
      <c r="M533" t="str">
        <f t="shared" si="8"/>
        <v>MIddleAge</v>
      </c>
      <c r="N533" t="s">
        <v>15</v>
      </c>
      <c r="BL533">
        <v>17238</v>
      </c>
      <c r="BM533" t="s">
        <v>36</v>
      </c>
      <c r="BN533" t="s">
        <v>38</v>
      </c>
      <c r="BO533" s="4">
        <v>80000</v>
      </c>
      <c r="BP533" s="4">
        <v>80000</v>
      </c>
      <c r="BQ533">
        <v>0</v>
      </c>
      <c r="BR533" t="s">
        <v>21</v>
      </c>
      <c r="BS533" t="s">
        <v>15</v>
      </c>
      <c r="BT533">
        <v>32</v>
      </c>
    </row>
    <row r="534" spans="1:72" x14ac:dyDescent="0.25">
      <c r="A534">
        <v>16871</v>
      </c>
      <c r="B534" t="s">
        <v>35</v>
      </c>
      <c r="C534" t="s">
        <v>37</v>
      </c>
      <c r="D534" s="11">
        <v>90000</v>
      </c>
      <c r="E534">
        <v>2</v>
      </c>
      <c r="F534" t="s">
        <v>27</v>
      </c>
      <c r="G534" t="s">
        <v>21</v>
      </c>
      <c r="H534" t="s">
        <v>15</v>
      </c>
      <c r="I534">
        <v>1</v>
      </c>
      <c r="J534" t="s">
        <v>42</v>
      </c>
      <c r="K534" t="s">
        <v>31</v>
      </c>
      <c r="L534">
        <v>51</v>
      </c>
      <c r="M534" t="str">
        <f t="shared" si="8"/>
        <v>MIddleAge</v>
      </c>
      <c r="N534" t="s">
        <v>15</v>
      </c>
      <c r="BL534">
        <v>17230</v>
      </c>
      <c r="BM534" t="s">
        <v>35</v>
      </c>
      <c r="BN534" t="s">
        <v>38</v>
      </c>
      <c r="BO534" s="4">
        <v>80000</v>
      </c>
      <c r="BP534" s="4">
        <v>80000</v>
      </c>
      <c r="BQ534">
        <v>0</v>
      </c>
      <c r="BR534" t="s">
        <v>21</v>
      </c>
      <c r="BS534" t="s">
        <v>15</v>
      </c>
      <c r="BT534">
        <v>30</v>
      </c>
    </row>
    <row r="535" spans="1:72" x14ac:dyDescent="0.25">
      <c r="A535">
        <v>11090</v>
      </c>
      <c r="B535" t="s">
        <v>36</v>
      </c>
      <c r="C535" t="s">
        <v>38</v>
      </c>
      <c r="D535" s="11">
        <v>90000</v>
      </c>
      <c r="E535">
        <v>2</v>
      </c>
      <c r="F535" t="s">
        <v>19</v>
      </c>
      <c r="G535" t="s">
        <v>21</v>
      </c>
      <c r="H535" t="s">
        <v>15</v>
      </c>
      <c r="I535">
        <v>1</v>
      </c>
      <c r="J535" t="s">
        <v>22</v>
      </c>
      <c r="K535" t="s">
        <v>31</v>
      </c>
      <c r="L535">
        <v>48</v>
      </c>
      <c r="M535" t="str">
        <f t="shared" si="8"/>
        <v>MIddleAge</v>
      </c>
      <c r="N535" t="s">
        <v>15</v>
      </c>
      <c r="BL535">
        <v>16614</v>
      </c>
      <c r="BM535" t="s">
        <v>35</v>
      </c>
      <c r="BN535" t="s">
        <v>37</v>
      </c>
      <c r="BO535" s="4">
        <v>80000</v>
      </c>
      <c r="BP535" s="4">
        <v>80000</v>
      </c>
      <c r="BQ535">
        <v>0</v>
      </c>
      <c r="BR535" t="s">
        <v>21</v>
      </c>
      <c r="BS535" t="s">
        <v>15</v>
      </c>
      <c r="BT535">
        <v>32</v>
      </c>
    </row>
    <row r="536" spans="1:72" x14ac:dyDescent="0.25">
      <c r="A536">
        <v>11000</v>
      </c>
      <c r="B536" t="s">
        <v>35</v>
      </c>
      <c r="C536" t="s">
        <v>38</v>
      </c>
      <c r="D536" s="11">
        <v>90000</v>
      </c>
      <c r="E536">
        <v>2</v>
      </c>
      <c r="F536" t="s">
        <v>13</v>
      </c>
      <c r="G536" t="s">
        <v>21</v>
      </c>
      <c r="H536" t="s">
        <v>15</v>
      </c>
      <c r="I536">
        <v>0</v>
      </c>
      <c r="J536" t="s">
        <v>26</v>
      </c>
      <c r="K536" t="s">
        <v>24</v>
      </c>
      <c r="L536">
        <v>40</v>
      </c>
      <c r="M536" t="str">
        <f t="shared" si="8"/>
        <v>MIddleAge</v>
      </c>
      <c r="N536" t="s">
        <v>15</v>
      </c>
      <c r="BL536">
        <v>13122</v>
      </c>
      <c r="BM536" t="s">
        <v>35</v>
      </c>
      <c r="BN536" t="s">
        <v>37</v>
      </c>
      <c r="BO536" s="4">
        <v>80000</v>
      </c>
      <c r="BP536" s="4">
        <v>80000</v>
      </c>
      <c r="BQ536">
        <v>0</v>
      </c>
      <c r="BR536" t="s">
        <v>21</v>
      </c>
      <c r="BS536" t="s">
        <v>15</v>
      </c>
      <c r="BT536">
        <v>41</v>
      </c>
    </row>
    <row r="537" spans="1:72" x14ac:dyDescent="0.25">
      <c r="A537">
        <v>18153</v>
      </c>
      <c r="B537" t="s">
        <v>35</v>
      </c>
      <c r="C537" t="s">
        <v>37</v>
      </c>
      <c r="D537" s="11">
        <v>100000</v>
      </c>
      <c r="E537">
        <v>2</v>
      </c>
      <c r="F537" t="s">
        <v>13</v>
      </c>
      <c r="G537" t="s">
        <v>28</v>
      </c>
      <c r="H537" t="s">
        <v>15</v>
      </c>
      <c r="I537">
        <v>4</v>
      </c>
      <c r="J537" t="s">
        <v>42</v>
      </c>
      <c r="K537" t="s">
        <v>17</v>
      </c>
      <c r="L537">
        <v>59</v>
      </c>
      <c r="M537" t="str">
        <f t="shared" si="8"/>
        <v>Old</v>
      </c>
      <c r="N537" t="s">
        <v>18</v>
      </c>
      <c r="BL537">
        <v>12344</v>
      </c>
      <c r="BM537" t="s">
        <v>36</v>
      </c>
      <c r="BN537" t="s">
        <v>37</v>
      </c>
      <c r="BO537" s="4">
        <v>80000</v>
      </c>
      <c r="BP537" s="4">
        <v>80000</v>
      </c>
      <c r="BQ537">
        <v>0</v>
      </c>
      <c r="BR537" t="s">
        <v>21</v>
      </c>
      <c r="BS537" t="s">
        <v>18</v>
      </c>
      <c r="BT537">
        <v>31</v>
      </c>
    </row>
    <row r="538" spans="1:72" x14ac:dyDescent="0.25">
      <c r="A538">
        <v>14507</v>
      </c>
      <c r="B538" t="s">
        <v>35</v>
      </c>
      <c r="C538" t="s">
        <v>38</v>
      </c>
      <c r="D538" s="11">
        <v>100000</v>
      </c>
      <c r="E538">
        <v>2</v>
      </c>
      <c r="F538" t="s">
        <v>30</v>
      </c>
      <c r="G538" t="s">
        <v>28</v>
      </c>
      <c r="H538" t="s">
        <v>15</v>
      </c>
      <c r="I538">
        <v>3</v>
      </c>
      <c r="J538" t="s">
        <v>26</v>
      </c>
      <c r="K538" t="s">
        <v>31</v>
      </c>
      <c r="L538">
        <v>65</v>
      </c>
      <c r="M538" t="str">
        <f t="shared" si="8"/>
        <v>Old</v>
      </c>
      <c r="N538" t="s">
        <v>18</v>
      </c>
      <c r="BL538">
        <v>11453</v>
      </c>
      <c r="BM538" t="s">
        <v>36</v>
      </c>
      <c r="BN538" t="s">
        <v>38</v>
      </c>
      <c r="BO538" s="4">
        <v>80000</v>
      </c>
      <c r="BP538" s="4">
        <v>80000</v>
      </c>
      <c r="BQ538">
        <v>0</v>
      </c>
      <c r="BR538" t="s">
        <v>21</v>
      </c>
      <c r="BS538" t="s">
        <v>18</v>
      </c>
      <c r="BT538">
        <v>33</v>
      </c>
    </row>
    <row r="539" spans="1:72" x14ac:dyDescent="0.25">
      <c r="A539">
        <v>29048</v>
      </c>
      <c r="B539" t="s">
        <v>36</v>
      </c>
      <c r="C539" t="s">
        <v>38</v>
      </c>
      <c r="D539" s="11">
        <v>110000</v>
      </c>
      <c r="E539">
        <v>2</v>
      </c>
      <c r="F539" t="s">
        <v>13</v>
      </c>
      <c r="G539" t="s">
        <v>28</v>
      </c>
      <c r="H539" t="s">
        <v>18</v>
      </c>
      <c r="I539">
        <v>3</v>
      </c>
      <c r="J539" t="s">
        <v>16</v>
      </c>
      <c r="K539" t="s">
        <v>31</v>
      </c>
      <c r="L539">
        <v>37</v>
      </c>
      <c r="M539" t="str">
        <f t="shared" si="8"/>
        <v>MIddleAge</v>
      </c>
      <c r="N539" t="s">
        <v>15</v>
      </c>
      <c r="BL539">
        <v>24611</v>
      </c>
      <c r="BM539" t="s">
        <v>36</v>
      </c>
      <c r="BN539" t="s">
        <v>38</v>
      </c>
      <c r="BO539" s="4">
        <v>90000</v>
      </c>
      <c r="BP539" s="4">
        <v>90000</v>
      </c>
      <c r="BQ539">
        <v>0</v>
      </c>
      <c r="BR539" t="s">
        <v>21</v>
      </c>
      <c r="BS539" t="s">
        <v>18</v>
      </c>
      <c r="BT539">
        <v>35</v>
      </c>
    </row>
    <row r="540" spans="1:72" x14ac:dyDescent="0.25">
      <c r="A540">
        <v>27304</v>
      </c>
      <c r="B540" t="s">
        <v>36</v>
      </c>
      <c r="C540" t="s">
        <v>37</v>
      </c>
      <c r="D540" s="11">
        <v>110000</v>
      </c>
      <c r="E540">
        <v>2</v>
      </c>
      <c r="F540" t="s">
        <v>19</v>
      </c>
      <c r="G540" t="s">
        <v>21</v>
      </c>
      <c r="H540" t="s">
        <v>18</v>
      </c>
      <c r="I540">
        <v>3</v>
      </c>
      <c r="J540" t="s">
        <v>23</v>
      </c>
      <c r="K540" t="s">
        <v>17</v>
      </c>
      <c r="L540">
        <v>48</v>
      </c>
      <c r="M540" t="str">
        <f t="shared" si="8"/>
        <v>MIddleAge</v>
      </c>
      <c r="N540" t="s">
        <v>18</v>
      </c>
      <c r="BL540">
        <v>23479</v>
      </c>
      <c r="BM540" t="s">
        <v>36</v>
      </c>
      <c r="BN540" t="s">
        <v>38</v>
      </c>
      <c r="BO540" s="4">
        <v>90000</v>
      </c>
      <c r="BP540" s="4">
        <v>90000</v>
      </c>
      <c r="BQ540">
        <v>0</v>
      </c>
      <c r="BR540" t="s">
        <v>21</v>
      </c>
      <c r="BS540" t="s">
        <v>18</v>
      </c>
      <c r="BT540">
        <v>43</v>
      </c>
    </row>
    <row r="541" spans="1:72" x14ac:dyDescent="0.25">
      <c r="A541">
        <v>24397</v>
      </c>
      <c r="B541" t="s">
        <v>36</v>
      </c>
      <c r="C541" t="s">
        <v>38</v>
      </c>
      <c r="D541" s="11">
        <v>120000</v>
      </c>
      <c r="E541">
        <v>2</v>
      </c>
      <c r="F541" t="s">
        <v>13</v>
      </c>
      <c r="G541" t="s">
        <v>28</v>
      </c>
      <c r="H541" t="s">
        <v>18</v>
      </c>
      <c r="I541">
        <v>4</v>
      </c>
      <c r="J541" t="s">
        <v>26</v>
      </c>
      <c r="K541" t="s">
        <v>31</v>
      </c>
      <c r="L541">
        <v>40</v>
      </c>
      <c r="M541" t="str">
        <f t="shared" si="8"/>
        <v>MIddleAge</v>
      </c>
      <c r="N541" t="s">
        <v>18</v>
      </c>
      <c r="BL541">
        <v>21561</v>
      </c>
      <c r="BM541" t="s">
        <v>36</v>
      </c>
      <c r="BN541" t="s">
        <v>38</v>
      </c>
      <c r="BO541" s="4">
        <v>90000</v>
      </c>
      <c r="BP541" s="4">
        <v>90000</v>
      </c>
      <c r="BQ541">
        <v>0</v>
      </c>
      <c r="BR541" t="s">
        <v>21</v>
      </c>
      <c r="BS541" t="s">
        <v>18</v>
      </c>
      <c r="BT541">
        <v>34</v>
      </c>
    </row>
    <row r="542" spans="1:72" x14ac:dyDescent="0.25">
      <c r="A542">
        <v>19280</v>
      </c>
      <c r="B542" t="s">
        <v>35</v>
      </c>
      <c r="C542" t="s">
        <v>38</v>
      </c>
      <c r="D542" s="11">
        <v>120000</v>
      </c>
      <c r="E542">
        <v>2</v>
      </c>
      <c r="F542" t="s">
        <v>19</v>
      </c>
      <c r="G542" t="s">
        <v>25</v>
      </c>
      <c r="H542" t="s">
        <v>15</v>
      </c>
      <c r="I542">
        <v>1</v>
      </c>
      <c r="J542" t="s">
        <v>16</v>
      </c>
      <c r="K542" t="s">
        <v>17</v>
      </c>
      <c r="L542">
        <v>40</v>
      </c>
      <c r="M542" t="str">
        <f t="shared" si="8"/>
        <v>MIddleAge</v>
      </c>
      <c r="N542" t="s">
        <v>15</v>
      </c>
      <c r="BL542">
        <v>12697</v>
      </c>
      <c r="BM542" t="s">
        <v>36</v>
      </c>
      <c r="BN542" t="s">
        <v>37</v>
      </c>
      <c r="BO542" s="4">
        <v>90000</v>
      </c>
      <c r="BP542" s="4">
        <v>90000</v>
      </c>
      <c r="BQ542">
        <v>0</v>
      </c>
      <c r="BR542" t="s">
        <v>21</v>
      </c>
      <c r="BS542" t="s">
        <v>18</v>
      </c>
      <c r="BT542">
        <v>36</v>
      </c>
    </row>
    <row r="543" spans="1:72" x14ac:dyDescent="0.25">
      <c r="A543">
        <v>16651</v>
      </c>
      <c r="B543" t="s">
        <v>35</v>
      </c>
      <c r="C543" t="s">
        <v>37</v>
      </c>
      <c r="D543" s="11">
        <v>120000</v>
      </c>
      <c r="E543">
        <v>2</v>
      </c>
      <c r="F543" t="s">
        <v>13</v>
      </c>
      <c r="G543" t="s">
        <v>28</v>
      </c>
      <c r="H543" t="s">
        <v>15</v>
      </c>
      <c r="I543">
        <v>3</v>
      </c>
      <c r="J543" t="s">
        <v>23</v>
      </c>
      <c r="K543" t="s">
        <v>31</v>
      </c>
      <c r="L543">
        <v>62</v>
      </c>
      <c r="M543" t="str">
        <f t="shared" si="8"/>
        <v>Old</v>
      </c>
      <c r="N543" t="s">
        <v>18</v>
      </c>
      <c r="BL543">
        <v>23491</v>
      </c>
      <c r="BM543" t="s">
        <v>36</v>
      </c>
      <c r="BN543" t="s">
        <v>38</v>
      </c>
      <c r="BO543" s="4">
        <v>100000</v>
      </c>
      <c r="BP543" s="4">
        <v>100000</v>
      </c>
      <c r="BQ543">
        <v>0</v>
      </c>
      <c r="BR543" t="s">
        <v>21</v>
      </c>
      <c r="BS543" t="s">
        <v>18</v>
      </c>
      <c r="BT543">
        <v>45</v>
      </c>
    </row>
    <row r="544" spans="1:72" x14ac:dyDescent="0.25">
      <c r="A544">
        <v>15194</v>
      </c>
      <c r="B544" t="s">
        <v>36</v>
      </c>
      <c r="C544" t="s">
        <v>38</v>
      </c>
      <c r="D544" s="11">
        <v>120000</v>
      </c>
      <c r="E544">
        <v>2</v>
      </c>
      <c r="F544" t="s">
        <v>13</v>
      </c>
      <c r="G544" t="s">
        <v>28</v>
      </c>
      <c r="H544" t="s">
        <v>18</v>
      </c>
      <c r="I544">
        <v>3</v>
      </c>
      <c r="J544" t="s">
        <v>16</v>
      </c>
      <c r="K544" t="s">
        <v>31</v>
      </c>
      <c r="L544">
        <v>39</v>
      </c>
      <c r="M544" t="str">
        <f t="shared" si="8"/>
        <v>MIddleAge</v>
      </c>
      <c r="N544" t="s">
        <v>15</v>
      </c>
      <c r="BL544">
        <v>21568</v>
      </c>
      <c r="BM544" t="s">
        <v>35</v>
      </c>
      <c r="BN544" t="s">
        <v>37</v>
      </c>
      <c r="BO544" s="4">
        <v>100000</v>
      </c>
      <c r="BP544" s="4">
        <v>100000</v>
      </c>
      <c r="BQ544">
        <v>0</v>
      </c>
      <c r="BR544" t="s">
        <v>28</v>
      </c>
      <c r="BS544" t="s">
        <v>15</v>
      </c>
      <c r="BT544">
        <v>34</v>
      </c>
    </row>
    <row r="545" spans="1:72" x14ac:dyDescent="0.25">
      <c r="A545">
        <v>12056</v>
      </c>
      <c r="B545" t="s">
        <v>35</v>
      </c>
      <c r="C545" t="s">
        <v>38</v>
      </c>
      <c r="D545" s="11">
        <v>120000</v>
      </c>
      <c r="E545">
        <v>2</v>
      </c>
      <c r="F545" t="s">
        <v>30</v>
      </c>
      <c r="G545" t="s">
        <v>28</v>
      </c>
      <c r="H545" t="s">
        <v>15</v>
      </c>
      <c r="I545">
        <v>3</v>
      </c>
      <c r="J545" t="s">
        <v>23</v>
      </c>
      <c r="K545" t="s">
        <v>31</v>
      </c>
      <c r="L545">
        <v>64</v>
      </c>
      <c r="M545" t="str">
        <f t="shared" si="8"/>
        <v>Old</v>
      </c>
      <c r="N545" t="s">
        <v>18</v>
      </c>
      <c r="BL545">
        <v>20625</v>
      </c>
      <c r="BM545" t="s">
        <v>35</v>
      </c>
      <c r="BN545" t="s">
        <v>38</v>
      </c>
      <c r="BO545" s="4">
        <v>100000</v>
      </c>
      <c r="BP545" s="4">
        <v>100000</v>
      </c>
      <c r="BQ545">
        <v>0</v>
      </c>
      <c r="BR545" t="s">
        <v>28</v>
      </c>
      <c r="BS545" t="s">
        <v>15</v>
      </c>
      <c r="BT545">
        <v>35</v>
      </c>
    </row>
    <row r="546" spans="1:72" x14ac:dyDescent="0.25">
      <c r="A546">
        <v>15412</v>
      </c>
      <c r="B546" t="s">
        <v>35</v>
      </c>
      <c r="C546" t="s">
        <v>38</v>
      </c>
      <c r="D546" s="11">
        <v>130000</v>
      </c>
      <c r="E546">
        <v>2</v>
      </c>
      <c r="F546" t="s">
        <v>30</v>
      </c>
      <c r="G546" t="s">
        <v>28</v>
      </c>
      <c r="H546" t="s">
        <v>15</v>
      </c>
      <c r="I546">
        <v>3</v>
      </c>
      <c r="J546" t="s">
        <v>22</v>
      </c>
      <c r="K546" t="s">
        <v>31</v>
      </c>
      <c r="L546">
        <v>69</v>
      </c>
      <c r="M546" t="str">
        <f t="shared" si="8"/>
        <v>Old</v>
      </c>
      <c r="N546" t="s">
        <v>18</v>
      </c>
      <c r="BL546">
        <v>20228</v>
      </c>
      <c r="BM546" t="s">
        <v>35</v>
      </c>
      <c r="BN546" t="s">
        <v>38</v>
      </c>
      <c r="BO546" s="4">
        <v>100000</v>
      </c>
      <c r="BP546" s="4">
        <v>100000</v>
      </c>
      <c r="BQ546">
        <v>0</v>
      </c>
      <c r="BR546" t="s">
        <v>28</v>
      </c>
      <c r="BS546" t="s">
        <v>15</v>
      </c>
      <c r="BT546">
        <v>40</v>
      </c>
    </row>
    <row r="547" spans="1:72" x14ac:dyDescent="0.25">
      <c r="A547">
        <v>12205</v>
      </c>
      <c r="B547" t="s">
        <v>36</v>
      </c>
      <c r="C547" t="s">
        <v>37</v>
      </c>
      <c r="D547" s="11">
        <v>130000</v>
      </c>
      <c r="E547">
        <v>2</v>
      </c>
      <c r="F547" t="s">
        <v>13</v>
      </c>
      <c r="G547" t="s">
        <v>28</v>
      </c>
      <c r="H547" t="s">
        <v>18</v>
      </c>
      <c r="I547">
        <v>4</v>
      </c>
      <c r="J547" t="s">
        <v>16</v>
      </c>
      <c r="K547" t="s">
        <v>31</v>
      </c>
      <c r="L547">
        <v>67</v>
      </c>
      <c r="M547" t="str">
        <f t="shared" si="8"/>
        <v>Old</v>
      </c>
      <c r="N547" t="s">
        <v>18</v>
      </c>
      <c r="BL547">
        <v>18283</v>
      </c>
      <c r="BM547" t="s">
        <v>36</v>
      </c>
      <c r="BN547" t="s">
        <v>37</v>
      </c>
      <c r="BO547" s="4">
        <v>100000</v>
      </c>
      <c r="BP547" s="4">
        <v>100000</v>
      </c>
      <c r="BQ547">
        <v>0</v>
      </c>
      <c r="BR547" t="s">
        <v>21</v>
      </c>
      <c r="BS547" t="s">
        <v>18</v>
      </c>
      <c r="BT547">
        <v>40</v>
      </c>
    </row>
    <row r="548" spans="1:72" x14ac:dyDescent="0.25">
      <c r="A548">
        <v>11270</v>
      </c>
      <c r="B548" t="s">
        <v>35</v>
      </c>
      <c r="C548" t="s">
        <v>38</v>
      </c>
      <c r="D548" s="11">
        <v>130000</v>
      </c>
      <c r="E548">
        <v>2</v>
      </c>
      <c r="F548" t="s">
        <v>30</v>
      </c>
      <c r="G548" t="s">
        <v>28</v>
      </c>
      <c r="H548" t="s">
        <v>15</v>
      </c>
      <c r="I548">
        <v>3</v>
      </c>
      <c r="J548" t="s">
        <v>16</v>
      </c>
      <c r="K548" t="s">
        <v>31</v>
      </c>
      <c r="L548">
        <v>42</v>
      </c>
      <c r="M548" t="str">
        <f t="shared" si="8"/>
        <v>MIddleAge</v>
      </c>
      <c r="N548" t="s">
        <v>15</v>
      </c>
      <c r="BL548">
        <v>15214</v>
      </c>
      <c r="BM548" t="s">
        <v>36</v>
      </c>
      <c r="BN548" t="s">
        <v>37</v>
      </c>
      <c r="BO548" s="4">
        <v>100000</v>
      </c>
      <c r="BP548" s="4">
        <v>100000</v>
      </c>
      <c r="BQ548">
        <v>0</v>
      </c>
      <c r="BR548" t="s">
        <v>28</v>
      </c>
      <c r="BS548" t="s">
        <v>18</v>
      </c>
      <c r="BT548">
        <v>39</v>
      </c>
    </row>
    <row r="549" spans="1:72" x14ac:dyDescent="0.25">
      <c r="A549">
        <v>11269</v>
      </c>
      <c r="B549" t="s">
        <v>35</v>
      </c>
      <c r="C549" t="s">
        <v>38</v>
      </c>
      <c r="D549" s="11">
        <v>130000</v>
      </c>
      <c r="E549">
        <v>2</v>
      </c>
      <c r="F549" t="s">
        <v>30</v>
      </c>
      <c r="G549" t="s">
        <v>28</v>
      </c>
      <c r="H549" t="s">
        <v>15</v>
      </c>
      <c r="I549">
        <v>2</v>
      </c>
      <c r="J549" t="s">
        <v>16</v>
      </c>
      <c r="K549" t="s">
        <v>31</v>
      </c>
      <c r="L549">
        <v>41</v>
      </c>
      <c r="M549" t="str">
        <f t="shared" si="8"/>
        <v>MIddleAge</v>
      </c>
      <c r="N549" t="s">
        <v>18</v>
      </c>
      <c r="BL549">
        <v>14233</v>
      </c>
      <c r="BM549" t="s">
        <v>36</v>
      </c>
      <c r="BN549" t="s">
        <v>38</v>
      </c>
      <c r="BO549" s="4">
        <v>100000</v>
      </c>
      <c r="BP549" s="4">
        <v>100000</v>
      </c>
      <c r="BQ549">
        <v>0</v>
      </c>
      <c r="BR549" t="s">
        <v>28</v>
      </c>
      <c r="BS549" t="s">
        <v>15</v>
      </c>
      <c r="BT549">
        <v>35</v>
      </c>
    </row>
    <row r="550" spans="1:72" x14ac:dyDescent="0.25">
      <c r="A550">
        <v>15922</v>
      </c>
      <c r="B550" t="s">
        <v>35</v>
      </c>
      <c r="C550" t="s">
        <v>38</v>
      </c>
      <c r="D550" s="11">
        <v>150000</v>
      </c>
      <c r="E550">
        <v>2</v>
      </c>
      <c r="F550" t="s">
        <v>27</v>
      </c>
      <c r="G550" t="s">
        <v>21</v>
      </c>
      <c r="H550" t="s">
        <v>15</v>
      </c>
      <c r="I550">
        <v>4</v>
      </c>
      <c r="J550" t="s">
        <v>16</v>
      </c>
      <c r="K550" t="s">
        <v>17</v>
      </c>
      <c r="L550">
        <v>48</v>
      </c>
      <c r="M550" t="str">
        <f t="shared" si="8"/>
        <v>MIddleAge</v>
      </c>
      <c r="N550" t="s">
        <v>18</v>
      </c>
      <c r="BL550">
        <v>24901</v>
      </c>
      <c r="BM550" t="s">
        <v>36</v>
      </c>
      <c r="BN550" t="s">
        <v>38</v>
      </c>
      <c r="BO550" s="4">
        <v>110000</v>
      </c>
      <c r="BP550" s="4">
        <v>110000</v>
      </c>
      <c r="BQ550">
        <v>0</v>
      </c>
      <c r="BR550" t="s">
        <v>28</v>
      </c>
      <c r="BS550" t="s">
        <v>18</v>
      </c>
      <c r="BT550">
        <v>32</v>
      </c>
    </row>
    <row r="551" spans="1:72" x14ac:dyDescent="0.25">
      <c r="A551">
        <v>27974</v>
      </c>
      <c r="B551" t="s">
        <v>36</v>
      </c>
      <c r="C551" t="s">
        <v>38</v>
      </c>
      <c r="D551" s="11">
        <v>160000</v>
      </c>
      <c r="E551">
        <v>2</v>
      </c>
      <c r="F551" t="s">
        <v>27</v>
      </c>
      <c r="G551" t="s">
        <v>28</v>
      </c>
      <c r="H551" t="s">
        <v>15</v>
      </c>
      <c r="I551">
        <v>4</v>
      </c>
      <c r="J551" t="s">
        <v>16</v>
      </c>
      <c r="K551" t="s">
        <v>24</v>
      </c>
      <c r="L551">
        <v>33</v>
      </c>
      <c r="M551" t="str">
        <f t="shared" si="8"/>
        <v>MIddleAge</v>
      </c>
      <c r="N551" t="s">
        <v>15</v>
      </c>
      <c r="BL551">
        <v>21891</v>
      </c>
      <c r="BM551" t="s">
        <v>35</v>
      </c>
      <c r="BN551" t="s">
        <v>37</v>
      </c>
      <c r="BO551" s="4">
        <v>110000</v>
      </c>
      <c r="BP551" s="4">
        <v>110000</v>
      </c>
      <c r="BQ551">
        <v>0</v>
      </c>
      <c r="BR551" t="s">
        <v>28</v>
      </c>
      <c r="BS551" t="s">
        <v>15</v>
      </c>
      <c r="BT551">
        <v>34</v>
      </c>
    </row>
    <row r="552" spans="1:72" x14ac:dyDescent="0.25">
      <c r="A552">
        <v>28683</v>
      </c>
      <c r="B552" t="s">
        <v>36</v>
      </c>
      <c r="C552" t="s">
        <v>37</v>
      </c>
      <c r="D552" s="11">
        <v>10000</v>
      </c>
      <c r="E552">
        <v>1</v>
      </c>
      <c r="F552" t="s">
        <v>27</v>
      </c>
      <c r="G552" t="s">
        <v>25</v>
      </c>
      <c r="H552" t="s">
        <v>18</v>
      </c>
      <c r="I552">
        <v>1</v>
      </c>
      <c r="J552" t="s">
        <v>23</v>
      </c>
      <c r="K552" t="s">
        <v>17</v>
      </c>
      <c r="L552">
        <v>35</v>
      </c>
      <c r="M552" t="str">
        <f t="shared" si="8"/>
        <v>MIddleAge</v>
      </c>
      <c r="N552" t="s">
        <v>15</v>
      </c>
      <c r="BL552">
        <v>21557</v>
      </c>
      <c r="BM552" t="s">
        <v>36</v>
      </c>
      <c r="BN552" t="s">
        <v>37</v>
      </c>
      <c r="BO552" s="4">
        <v>110000</v>
      </c>
      <c r="BP552" s="4">
        <v>110000</v>
      </c>
      <c r="BQ552">
        <v>0</v>
      </c>
      <c r="BR552" t="s">
        <v>28</v>
      </c>
      <c r="BS552" t="s">
        <v>15</v>
      </c>
      <c r="BT552">
        <v>32</v>
      </c>
    </row>
    <row r="553" spans="1:72" x14ac:dyDescent="0.25">
      <c r="A553">
        <v>25529</v>
      </c>
      <c r="B553" t="s">
        <v>36</v>
      </c>
      <c r="C553" t="s">
        <v>38</v>
      </c>
      <c r="D553" s="11">
        <v>10000</v>
      </c>
      <c r="E553">
        <v>1</v>
      </c>
      <c r="F553" t="s">
        <v>30</v>
      </c>
      <c r="G553" t="s">
        <v>25</v>
      </c>
      <c r="H553" t="s">
        <v>15</v>
      </c>
      <c r="I553">
        <v>0</v>
      </c>
      <c r="J553" t="s">
        <v>16</v>
      </c>
      <c r="K553" t="s">
        <v>17</v>
      </c>
      <c r="L553">
        <v>44</v>
      </c>
      <c r="M553" t="str">
        <f t="shared" si="8"/>
        <v>MIddleAge</v>
      </c>
      <c r="N553" t="s">
        <v>18</v>
      </c>
      <c r="BL553">
        <v>28957</v>
      </c>
      <c r="BM553" t="s">
        <v>36</v>
      </c>
      <c r="BN553" t="s">
        <v>37</v>
      </c>
      <c r="BO553" s="4">
        <v>120000</v>
      </c>
      <c r="BP553" s="4">
        <v>120000</v>
      </c>
      <c r="BQ553">
        <v>0</v>
      </c>
      <c r="BR553" t="s">
        <v>21</v>
      </c>
      <c r="BS553" t="s">
        <v>15</v>
      </c>
      <c r="BT553">
        <v>34</v>
      </c>
    </row>
    <row r="554" spans="1:72" x14ac:dyDescent="0.25">
      <c r="A554">
        <v>24185</v>
      </c>
      <c r="B554" t="s">
        <v>36</v>
      </c>
      <c r="C554" t="s">
        <v>37</v>
      </c>
      <c r="D554" s="11">
        <v>10000</v>
      </c>
      <c r="E554">
        <v>1</v>
      </c>
      <c r="F554" t="s">
        <v>27</v>
      </c>
      <c r="G554" t="s">
        <v>25</v>
      </c>
      <c r="H554" t="s">
        <v>18</v>
      </c>
      <c r="I554">
        <v>1</v>
      </c>
      <c r="J554" t="s">
        <v>26</v>
      </c>
      <c r="K554" t="s">
        <v>17</v>
      </c>
      <c r="L554">
        <v>45</v>
      </c>
      <c r="M554" t="str">
        <f t="shared" si="8"/>
        <v>MIddleAge</v>
      </c>
      <c r="N554" t="s">
        <v>18</v>
      </c>
      <c r="BL554">
        <v>21560</v>
      </c>
      <c r="BM554" t="s">
        <v>35</v>
      </c>
      <c r="BN554" t="s">
        <v>38</v>
      </c>
      <c r="BO554" s="4">
        <v>120000</v>
      </c>
      <c r="BP554" s="4">
        <v>120000</v>
      </c>
      <c r="BQ554">
        <v>0</v>
      </c>
      <c r="BR554" t="s">
        <v>21</v>
      </c>
      <c r="BS554" t="s">
        <v>15</v>
      </c>
      <c r="BT554">
        <v>32</v>
      </c>
    </row>
    <row r="555" spans="1:72" x14ac:dyDescent="0.25">
      <c r="A555">
        <v>22381</v>
      </c>
      <c r="B555" t="s">
        <v>35</v>
      </c>
      <c r="C555" t="s">
        <v>38</v>
      </c>
      <c r="D555" s="11">
        <v>10000</v>
      </c>
      <c r="E555">
        <v>1</v>
      </c>
      <c r="F555" t="s">
        <v>30</v>
      </c>
      <c r="G555" t="s">
        <v>25</v>
      </c>
      <c r="H555" t="s">
        <v>15</v>
      </c>
      <c r="I555">
        <v>0</v>
      </c>
      <c r="J555" t="s">
        <v>16</v>
      </c>
      <c r="K555" t="s">
        <v>17</v>
      </c>
      <c r="L555">
        <v>44</v>
      </c>
      <c r="M555" t="str">
        <f t="shared" si="8"/>
        <v>MIddleAge</v>
      </c>
      <c r="N555" t="s">
        <v>18</v>
      </c>
      <c r="BL555">
        <v>14238</v>
      </c>
      <c r="BM555" t="s">
        <v>35</v>
      </c>
      <c r="BN555" t="s">
        <v>38</v>
      </c>
      <c r="BO555" s="4">
        <v>120000</v>
      </c>
      <c r="BP555" s="4">
        <v>120000</v>
      </c>
      <c r="BQ555">
        <v>0</v>
      </c>
      <c r="BR555" t="s">
        <v>21</v>
      </c>
      <c r="BS555" t="s">
        <v>15</v>
      </c>
      <c r="BT555">
        <v>36</v>
      </c>
    </row>
    <row r="556" spans="1:72" x14ac:dyDescent="0.25">
      <c r="A556">
        <v>20797</v>
      </c>
      <c r="B556" t="s">
        <v>35</v>
      </c>
      <c r="C556" t="s">
        <v>37</v>
      </c>
      <c r="D556" s="11">
        <v>10000</v>
      </c>
      <c r="E556">
        <v>1</v>
      </c>
      <c r="F556" t="s">
        <v>13</v>
      </c>
      <c r="G556" t="s">
        <v>25</v>
      </c>
      <c r="H556" t="s">
        <v>15</v>
      </c>
      <c r="I556">
        <v>0</v>
      </c>
      <c r="J556" t="s">
        <v>16</v>
      </c>
      <c r="K556" t="s">
        <v>17</v>
      </c>
      <c r="L556">
        <v>48</v>
      </c>
      <c r="M556" t="str">
        <f t="shared" si="8"/>
        <v>MIddleAge</v>
      </c>
      <c r="N556" t="s">
        <v>18</v>
      </c>
      <c r="BL556">
        <v>18935</v>
      </c>
      <c r="BM556" t="s">
        <v>35</v>
      </c>
      <c r="BN556" t="s">
        <v>37</v>
      </c>
      <c r="BO556" s="4">
        <v>130000</v>
      </c>
      <c r="BP556" s="4">
        <v>130000</v>
      </c>
      <c r="BQ556">
        <v>0</v>
      </c>
      <c r="BR556" t="s">
        <v>28</v>
      </c>
      <c r="BS556" t="s">
        <v>15</v>
      </c>
      <c r="BT556">
        <v>40</v>
      </c>
    </row>
    <row r="557" spans="1:72" x14ac:dyDescent="0.25">
      <c r="A557">
        <v>17703</v>
      </c>
      <c r="B557" t="s">
        <v>35</v>
      </c>
      <c r="C557" t="s">
        <v>37</v>
      </c>
      <c r="D557" s="11">
        <v>10000</v>
      </c>
      <c r="E557">
        <v>1</v>
      </c>
      <c r="F557" t="s">
        <v>30</v>
      </c>
      <c r="G557" t="s">
        <v>25</v>
      </c>
      <c r="H557" t="s">
        <v>15</v>
      </c>
      <c r="I557">
        <v>0</v>
      </c>
      <c r="J557" t="s">
        <v>16</v>
      </c>
      <c r="K557" t="s">
        <v>17</v>
      </c>
      <c r="L557">
        <v>40</v>
      </c>
      <c r="M557" t="str">
        <f t="shared" si="8"/>
        <v>MIddleAge</v>
      </c>
      <c r="N557" t="s">
        <v>18</v>
      </c>
      <c r="BL557">
        <v>15758</v>
      </c>
      <c r="BM557" t="s">
        <v>35</v>
      </c>
      <c r="BN557" t="s">
        <v>38</v>
      </c>
      <c r="BO557" s="4">
        <v>130000</v>
      </c>
      <c r="BP557" s="4">
        <v>130000</v>
      </c>
      <c r="BQ557">
        <v>0</v>
      </c>
      <c r="BR557" t="s">
        <v>28</v>
      </c>
      <c r="BS557" t="s">
        <v>15</v>
      </c>
      <c r="BT557">
        <v>48</v>
      </c>
    </row>
    <row r="558" spans="1:72" x14ac:dyDescent="0.25">
      <c r="A558">
        <v>17702</v>
      </c>
      <c r="B558" t="s">
        <v>35</v>
      </c>
      <c r="C558" t="s">
        <v>38</v>
      </c>
      <c r="D558" s="11">
        <v>10000</v>
      </c>
      <c r="E558">
        <v>1</v>
      </c>
      <c r="F558" t="s">
        <v>30</v>
      </c>
      <c r="G558" t="s">
        <v>25</v>
      </c>
      <c r="H558" t="s">
        <v>15</v>
      </c>
      <c r="I558">
        <v>0</v>
      </c>
      <c r="J558" t="s">
        <v>16</v>
      </c>
      <c r="K558" t="s">
        <v>17</v>
      </c>
      <c r="L558">
        <v>37</v>
      </c>
      <c r="M558" t="str">
        <f t="shared" si="8"/>
        <v>MIddleAge</v>
      </c>
      <c r="N558" t="s">
        <v>18</v>
      </c>
      <c r="BL558">
        <v>14278</v>
      </c>
      <c r="BM558" t="s">
        <v>35</v>
      </c>
      <c r="BN558" t="s">
        <v>37</v>
      </c>
      <c r="BO558" s="4">
        <v>130000</v>
      </c>
      <c r="BP558" s="4">
        <v>130000</v>
      </c>
      <c r="BQ558">
        <v>0</v>
      </c>
      <c r="BR558" t="s">
        <v>28</v>
      </c>
      <c r="BS558" t="s">
        <v>15</v>
      </c>
      <c r="BT558">
        <v>48</v>
      </c>
    </row>
    <row r="559" spans="1:72" x14ac:dyDescent="0.25">
      <c r="A559">
        <v>16043</v>
      </c>
      <c r="B559" t="s">
        <v>36</v>
      </c>
      <c r="C559" t="s">
        <v>38</v>
      </c>
      <c r="D559" s="11">
        <v>10000</v>
      </c>
      <c r="E559">
        <v>1</v>
      </c>
      <c r="F559" t="s">
        <v>13</v>
      </c>
      <c r="G559" t="s">
        <v>25</v>
      </c>
      <c r="H559" t="s">
        <v>15</v>
      </c>
      <c r="I559">
        <v>0</v>
      </c>
      <c r="J559" t="s">
        <v>16</v>
      </c>
      <c r="K559" t="s">
        <v>17</v>
      </c>
      <c r="L559">
        <v>48</v>
      </c>
      <c r="M559" t="str">
        <f t="shared" si="8"/>
        <v>MIddleAge</v>
      </c>
      <c r="N559" t="s">
        <v>18</v>
      </c>
      <c r="BL559">
        <v>13176</v>
      </c>
      <c r="BM559" t="s">
        <v>36</v>
      </c>
      <c r="BN559" t="s">
        <v>38</v>
      </c>
      <c r="BO559" s="4">
        <v>130000</v>
      </c>
      <c r="BP559" s="4">
        <v>130000</v>
      </c>
      <c r="BQ559">
        <v>0</v>
      </c>
      <c r="BR559" t="s">
        <v>28</v>
      </c>
      <c r="BS559" t="s">
        <v>18</v>
      </c>
      <c r="BT559">
        <v>38</v>
      </c>
    </row>
    <row r="560" spans="1:72" x14ac:dyDescent="0.25">
      <c r="A560">
        <v>15450</v>
      </c>
      <c r="B560" t="s">
        <v>35</v>
      </c>
      <c r="C560" t="s">
        <v>38</v>
      </c>
      <c r="D560" s="11">
        <v>10000</v>
      </c>
      <c r="E560">
        <v>1</v>
      </c>
      <c r="F560" t="s">
        <v>30</v>
      </c>
      <c r="G560" t="s">
        <v>20</v>
      </c>
      <c r="H560" t="s">
        <v>15</v>
      </c>
      <c r="I560">
        <v>0</v>
      </c>
      <c r="J560" t="s">
        <v>16</v>
      </c>
      <c r="K560" t="s">
        <v>17</v>
      </c>
      <c r="L560">
        <v>70</v>
      </c>
      <c r="M560" t="str">
        <f t="shared" si="8"/>
        <v>Old</v>
      </c>
      <c r="N560" t="s">
        <v>18</v>
      </c>
      <c r="BL560">
        <v>13082</v>
      </c>
      <c r="BM560" t="s">
        <v>36</v>
      </c>
      <c r="BN560" t="s">
        <v>38</v>
      </c>
      <c r="BO560" s="4">
        <v>130000</v>
      </c>
      <c r="BP560" s="4">
        <v>130000</v>
      </c>
      <c r="BQ560">
        <v>0</v>
      </c>
      <c r="BR560" t="s">
        <v>28</v>
      </c>
      <c r="BS560" t="s">
        <v>15</v>
      </c>
      <c r="BT560">
        <v>48</v>
      </c>
    </row>
    <row r="561" spans="1:14" x14ac:dyDescent="0.25">
      <c r="A561">
        <v>14544</v>
      </c>
      <c r="B561" t="s">
        <v>36</v>
      </c>
      <c r="C561" t="s">
        <v>38</v>
      </c>
      <c r="D561" s="11">
        <v>10000</v>
      </c>
      <c r="E561">
        <v>1</v>
      </c>
      <c r="F561" t="s">
        <v>19</v>
      </c>
      <c r="G561" t="s">
        <v>25</v>
      </c>
      <c r="H561" t="s">
        <v>15</v>
      </c>
      <c r="I561">
        <v>0</v>
      </c>
      <c r="J561" t="s">
        <v>16</v>
      </c>
      <c r="K561" t="s">
        <v>17</v>
      </c>
      <c r="L561">
        <v>49</v>
      </c>
      <c r="M561" t="str">
        <f t="shared" si="8"/>
        <v>MIddleAge</v>
      </c>
      <c r="N561" t="s">
        <v>18</v>
      </c>
    </row>
    <row r="562" spans="1:14" x14ac:dyDescent="0.25">
      <c r="A562">
        <v>12585</v>
      </c>
      <c r="B562" t="s">
        <v>35</v>
      </c>
      <c r="C562" t="s">
        <v>38</v>
      </c>
      <c r="D562" s="11">
        <v>10000</v>
      </c>
      <c r="E562">
        <v>1</v>
      </c>
      <c r="F562" t="s">
        <v>27</v>
      </c>
      <c r="G562" t="s">
        <v>25</v>
      </c>
      <c r="H562" t="s">
        <v>15</v>
      </c>
      <c r="I562">
        <v>0</v>
      </c>
      <c r="J562" t="s">
        <v>22</v>
      </c>
      <c r="K562" t="s">
        <v>24</v>
      </c>
      <c r="L562">
        <v>27</v>
      </c>
      <c r="M562" t="str">
        <f t="shared" si="8"/>
        <v>Adolescent</v>
      </c>
      <c r="N562" t="s">
        <v>15</v>
      </c>
    </row>
    <row r="563" spans="1:14" x14ac:dyDescent="0.25">
      <c r="A563">
        <v>11378</v>
      </c>
      <c r="B563" t="s">
        <v>36</v>
      </c>
      <c r="C563" t="s">
        <v>37</v>
      </c>
      <c r="D563" s="11">
        <v>10000</v>
      </c>
      <c r="E563">
        <v>1</v>
      </c>
      <c r="F563" t="s">
        <v>27</v>
      </c>
      <c r="G563" t="s">
        <v>25</v>
      </c>
      <c r="H563" t="s">
        <v>18</v>
      </c>
      <c r="I563">
        <v>1</v>
      </c>
      <c r="J563" t="s">
        <v>22</v>
      </c>
      <c r="K563" t="s">
        <v>17</v>
      </c>
      <c r="L563">
        <v>46</v>
      </c>
      <c r="M563" t="str">
        <f t="shared" si="8"/>
        <v>MIddleAge</v>
      </c>
      <c r="N563" t="s">
        <v>15</v>
      </c>
    </row>
    <row r="564" spans="1:14" x14ac:dyDescent="0.25">
      <c r="A564">
        <v>11340</v>
      </c>
      <c r="B564" t="s">
        <v>35</v>
      </c>
      <c r="C564" t="s">
        <v>37</v>
      </c>
      <c r="D564" s="11">
        <v>10000</v>
      </c>
      <c r="E564">
        <v>1</v>
      </c>
      <c r="F564" t="s">
        <v>30</v>
      </c>
      <c r="G564" t="s">
        <v>20</v>
      </c>
      <c r="H564" t="s">
        <v>15</v>
      </c>
      <c r="I564">
        <v>0</v>
      </c>
      <c r="J564" t="s">
        <v>16</v>
      </c>
      <c r="K564" t="s">
        <v>17</v>
      </c>
      <c r="L564">
        <v>70</v>
      </c>
      <c r="M564" t="str">
        <f t="shared" si="8"/>
        <v>Old</v>
      </c>
      <c r="N564" t="s">
        <v>15</v>
      </c>
    </row>
    <row r="565" spans="1:14" x14ac:dyDescent="0.25">
      <c r="A565">
        <v>25458</v>
      </c>
      <c r="B565" t="s">
        <v>35</v>
      </c>
      <c r="C565" t="s">
        <v>38</v>
      </c>
      <c r="D565" s="11">
        <v>20000</v>
      </c>
      <c r="E565">
        <v>1</v>
      </c>
      <c r="F565" t="s">
        <v>27</v>
      </c>
      <c r="G565" t="s">
        <v>25</v>
      </c>
      <c r="H565" t="s">
        <v>18</v>
      </c>
      <c r="I565">
        <v>1</v>
      </c>
      <c r="J565" t="s">
        <v>26</v>
      </c>
      <c r="K565" t="s">
        <v>17</v>
      </c>
      <c r="L565">
        <v>40</v>
      </c>
      <c r="M565" t="str">
        <f t="shared" si="8"/>
        <v>MIddleAge</v>
      </c>
      <c r="N565" t="s">
        <v>15</v>
      </c>
    </row>
    <row r="566" spans="1:14" x14ac:dyDescent="0.25">
      <c r="A566">
        <v>24151</v>
      </c>
      <c r="B566" t="s">
        <v>36</v>
      </c>
      <c r="C566" t="s">
        <v>38</v>
      </c>
      <c r="D566" s="11">
        <v>20000</v>
      </c>
      <c r="E566">
        <v>1</v>
      </c>
      <c r="F566" t="s">
        <v>13</v>
      </c>
      <c r="G566" t="s">
        <v>20</v>
      </c>
      <c r="H566" t="s">
        <v>18</v>
      </c>
      <c r="I566">
        <v>0</v>
      </c>
      <c r="J566" t="s">
        <v>16</v>
      </c>
      <c r="K566" t="s">
        <v>17</v>
      </c>
      <c r="L566">
        <v>51</v>
      </c>
      <c r="M566" t="str">
        <f t="shared" si="8"/>
        <v>MIddleAge</v>
      </c>
      <c r="N566" t="s">
        <v>18</v>
      </c>
    </row>
    <row r="567" spans="1:14" x14ac:dyDescent="0.25">
      <c r="A567">
        <v>23986</v>
      </c>
      <c r="B567" t="s">
        <v>35</v>
      </c>
      <c r="C567" t="s">
        <v>37</v>
      </c>
      <c r="D567" s="11">
        <v>20000</v>
      </c>
      <c r="E567">
        <v>1</v>
      </c>
      <c r="F567" t="s">
        <v>13</v>
      </c>
      <c r="G567" t="s">
        <v>20</v>
      </c>
      <c r="H567" t="s">
        <v>15</v>
      </c>
      <c r="I567">
        <v>0</v>
      </c>
      <c r="J567" t="s">
        <v>16</v>
      </c>
      <c r="K567" t="s">
        <v>17</v>
      </c>
      <c r="L567">
        <v>66</v>
      </c>
      <c r="M567" t="str">
        <f t="shared" si="8"/>
        <v>Old</v>
      </c>
      <c r="N567" t="s">
        <v>15</v>
      </c>
    </row>
    <row r="568" spans="1:14" x14ac:dyDescent="0.25">
      <c r="A568">
        <v>21738</v>
      </c>
      <c r="B568" t="s">
        <v>35</v>
      </c>
      <c r="C568" t="s">
        <v>38</v>
      </c>
      <c r="D568" s="11">
        <v>20000</v>
      </c>
      <c r="E568">
        <v>1</v>
      </c>
      <c r="F568" t="s">
        <v>30</v>
      </c>
      <c r="G568" t="s">
        <v>20</v>
      </c>
      <c r="H568" t="s">
        <v>15</v>
      </c>
      <c r="I568">
        <v>0</v>
      </c>
      <c r="J568" t="s">
        <v>16</v>
      </c>
      <c r="K568" t="s">
        <v>17</v>
      </c>
      <c r="L568">
        <v>43</v>
      </c>
      <c r="M568" t="str">
        <f t="shared" si="8"/>
        <v>MIddleAge</v>
      </c>
      <c r="N568" t="s">
        <v>18</v>
      </c>
    </row>
    <row r="569" spans="1:14" x14ac:dyDescent="0.25">
      <c r="A569">
        <v>20977</v>
      </c>
      <c r="B569" t="s">
        <v>35</v>
      </c>
      <c r="C569" t="s">
        <v>38</v>
      </c>
      <c r="D569" s="11">
        <v>20000</v>
      </c>
      <c r="E569">
        <v>1</v>
      </c>
      <c r="F569" t="s">
        <v>13</v>
      </c>
      <c r="G569" t="s">
        <v>20</v>
      </c>
      <c r="H569" t="s">
        <v>15</v>
      </c>
      <c r="I569">
        <v>0</v>
      </c>
      <c r="J569" t="s">
        <v>16</v>
      </c>
      <c r="K569" t="s">
        <v>17</v>
      </c>
      <c r="L569">
        <v>64</v>
      </c>
      <c r="M569" t="str">
        <f t="shared" si="8"/>
        <v>Old</v>
      </c>
      <c r="N569" t="s">
        <v>15</v>
      </c>
    </row>
    <row r="570" spans="1:14" x14ac:dyDescent="0.25">
      <c r="A570">
        <v>20962</v>
      </c>
      <c r="B570" t="s">
        <v>35</v>
      </c>
      <c r="C570" t="s">
        <v>37</v>
      </c>
      <c r="D570" s="11">
        <v>20000</v>
      </c>
      <c r="E570">
        <v>1</v>
      </c>
      <c r="F570" t="s">
        <v>30</v>
      </c>
      <c r="G570" t="s">
        <v>20</v>
      </c>
      <c r="H570" t="s">
        <v>15</v>
      </c>
      <c r="I570">
        <v>0</v>
      </c>
      <c r="J570" t="s">
        <v>16</v>
      </c>
      <c r="K570" t="s">
        <v>17</v>
      </c>
      <c r="L570">
        <v>45</v>
      </c>
      <c r="M570" t="str">
        <f t="shared" si="8"/>
        <v>MIddleAge</v>
      </c>
      <c r="N570" t="s">
        <v>18</v>
      </c>
    </row>
    <row r="571" spans="1:14" x14ac:dyDescent="0.25">
      <c r="A571">
        <v>17894</v>
      </c>
      <c r="B571" t="s">
        <v>35</v>
      </c>
      <c r="C571" t="s">
        <v>37</v>
      </c>
      <c r="D571" s="11">
        <v>20000</v>
      </c>
      <c r="E571">
        <v>1</v>
      </c>
      <c r="F571" t="s">
        <v>13</v>
      </c>
      <c r="G571" t="s">
        <v>20</v>
      </c>
      <c r="H571" t="s">
        <v>15</v>
      </c>
      <c r="I571">
        <v>0</v>
      </c>
      <c r="J571" t="s">
        <v>16</v>
      </c>
      <c r="K571" t="s">
        <v>17</v>
      </c>
      <c r="L571">
        <v>50</v>
      </c>
      <c r="M571" t="str">
        <f t="shared" si="8"/>
        <v>MIddleAge</v>
      </c>
      <c r="N571" t="s">
        <v>15</v>
      </c>
    </row>
    <row r="572" spans="1:14" x14ac:dyDescent="0.25">
      <c r="A572">
        <v>17882</v>
      </c>
      <c r="B572" t="s">
        <v>35</v>
      </c>
      <c r="C572" t="s">
        <v>38</v>
      </c>
      <c r="D572" s="11">
        <v>20000</v>
      </c>
      <c r="E572">
        <v>1</v>
      </c>
      <c r="F572" t="s">
        <v>30</v>
      </c>
      <c r="G572" t="s">
        <v>20</v>
      </c>
      <c r="H572" t="s">
        <v>15</v>
      </c>
      <c r="I572">
        <v>0</v>
      </c>
      <c r="J572" t="s">
        <v>16</v>
      </c>
      <c r="K572" t="s">
        <v>17</v>
      </c>
      <c r="L572">
        <v>44</v>
      </c>
      <c r="M572" t="str">
        <f t="shared" si="8"/>
        <v>MIddleAge</v>
      </c>
      <c r="N572" t="s">
        <v>18</v>
      </c>
    </row>
    <row r="573" spans="1:14" x14ac:dyDescent="0.25">
      <c r="A573">
        <v>14554</v>
      </c>
      <c r="B573" t="s">
        <v>35</v>
      </c>
      <c r="C573" t="s">
        <v>38</v>
      </c>
      <c r="D573" s="11">
        <v>20000</v>
      </c>
      <c r="E573">
        <v>1</v>
      </c>
      <c r="F573" t="s">
        <v>13</v>
      </c>
      <c r="G573" t="s">
        <v>20</v>
      </c>
      <c r="H573" t="s">
        <v>15</v>
      </c>
      <c r="I573">
        <v>0</v>
      </c>
      <c r="J573" t="s">
        <v>16</v>
      </c>
      <c r="K573" t="s">
        <v>17</v>
      </c>
      <c r="L573">
        <v>66</v>
      </c>
      <c r="M573" t="str">
        <f t="shared" si="8"/>
        <v>Old</v>
      </c>
      <c r="N573" t="s">
        <v>18</v>
      </c>
    </row>
    <row r="574" spans="1:14" x14ac:dyDescent="0.25">
      <c r="A574">
        <v>14135</v>
      </c>
      <c r="B574" t="s">
        <v>35</v>
      </c>
      <c r="C574" t="s">
        <v>38</v>
      </c>
      <c r="D574" s="11">
        <v>20000</v>
      </c>
      <c r="E574">
        <v>1</v>
      </c>
      <c r="F574" t="s">
        <v>19</v>
      </c>
      <c r="G574" t="s">
        <v>25</v>
      </c>
      <c r="H574" t="s">
        <v>15</v>
      </c>
      <c r="I574">
        <v>0</v>
      </c>
      <c r="J574" t="s">
        <v>26</v>
      </c>
      <c r="K574" t="s">
        <v>17</v>
      </c>
      <c r="L574">
        <v>35</v>
      </c>
      <c r="M574" t="str">
        <f t="shared" si="8"/>
        <v>MIddleAge</v>
      </c>
      <c r="N574" t="s">
        <v>18</v>
      </c>
    </row>
    <row r="575" spans="1:14" x14ac:dyDescent="0.25">
      <c r="A575">
        <v>12629</v>
      </c>
      <c r="B575" t="s">
        <v>36</v>
      </c>
      <c r="C575" t="s">
        <v>38</v>
      </c>
      <c r="D575" s="11">
        <v>20000</v>
      </c>
      <c r="E575">
        <v>1</v>
      </c>
      <c r="F575" t="s">
        <v>19</v>
      </c>
      <c r="G575" t="s">
        <v>25</v>
      </c>
      <c r="H575" t="s">
        <v>18</v>
      </c>
      <c r="I575">
        <v>0</v>
      </c>
      <c r="J575" t="s">
        <v>16</v>
      </c>
      <c r="K575" t="s">
        <v>17</v>
      </c>
      <c r="L575">
        <v>37</v>
      </c>
      <c r="M575" t="str">
        <f t="shared" si="8"/>
        <v>MIddleAge</v>
      </c>
      <c r="N575" t="s">
        <v>18</v>
      </c>
    </row>
    <row r="576" spans="1:14" x14ac:dyDescent="0.25">
      <c r="A576">
        <v>12558</v>
      </c>
      <c r="B576" t="s">
        <v>35</v>
      </c>
      <c r="C576" t="s">
        <v>37</v>
      </c>
      <c r="D576" s="11">
        <v>20000</v>
      </c>
      <c r="E576">
        <v>1</v>
      </c>
      <c r="F576" t="s">
        <v>13</v>
      </c>
      <c r="G576" t="s">
        <v>20</v>
      </c>
      <c r="H576" t="s">
        <v>15</v>
      </c>
      <c r="I576">
        <v>0</v>
      </c>
      <c r="J576" t="s">
        <v>16</v>
      </c>
      <c r="K576" t="s">
        <v>17</v>
      </c>
      <c r="L576">
        <v>65</v>
      </c>
      <c r="M576" t="str">
        <f t="shared" si="8"/>
        <v>Old</v>
      </c>
      <c r="N576" t="s">
        <v>18</v>
      </c>
    </row>
    <row r="577" spans="1:14" x14ac:dyDescent="0.25">
      <c r="A577">
        <v>12236</v>
      </c>
      <c r="B577" t="s">
        <v>35</v>
      </c>
      <c r="C577" t="s">
        <v>37</v>
      </c>
      <c r="D577" s="11">
        <v>20000</v>
      </c>
      <c r="E577">
        <v>1</v>
      </c>
      <c r="F577" t="s">
        <v>19</v>
      </c>
      <c r="G577" t="s">
        <v>25</v>
      </c>
      <c r="H577" t="s">
        <v>15</v>
      </c>
      <c r="I577">
        <v>0</v>
      </c>
      <c r="J577" t="s">
        <v>16</v>
      </c>
      <c r="K577" t="s">
        <v>17</v>
      </c>
      <c r="L577">
        <v>65</v>
      </c>
      <c r="M577" t="str">
        <f t="shared" si="8"/>
        <v>Old</v>
      </c>
      <c r="N577" t="s">
        <v>18</v>
      </c>
    </row>
    <row r="578" spans="1:14" x14ac:dyDescent="0.25">
      <c r="A578">
        <v>28379</v>
      </c>
      <c r="B578" t="s">
        <v>35</v>
      </c>
      <c r="C578" t="s">
        <v>38</v>
      </c>
      <c r="D578" s="11">
        <v>30000</v>
      </c>
      <c r="E578">
        <v>1</v>
      </c>
      <c r="F578" t="s">
        <v>13</v>
      </c>
      <c r="G578" t="s">
        <v>14</v>
      </c>
      <c r="H578" t="s">
        <v>15</v>
      </c>
      <c r="I578">
        <v>2</v>
      </c>
      <c r="J578" t="s">
        <v>16</v>
      </c>
      <c r="K578" t="s">
        <v>17</v>
      </c>
      <c r="L578">
        <v>40</v>
      </c>
      <c r="M578" t="str">
        <f t="shared" ref="M578:M641" si="9">IF(L578&gt; 54, "Old",IF(L578&gt;= 31, "MIddleAge",IF(L578&lt;31, "Adolescent", "Adult")))</f>
        <v>MIddleAge</v>
      </c>
      <c r="N578" t="s">
        <v>18</v>
      </c>
    </row>
    <row r="579" spans="1:14" x14ac:dyDescent="0.25">
      <c r="A579">
        <v>27771</v>
      </c>
      <c r="B579" t="s">
        <v>36</v>
      </c>
      <c r="C579" t="s">
        <v>38</v>
      </c>
      <c r="D579" s="11">
        <v>30000</v>
      </c>
      <c r="E579">
        <v>1</v>
      </c>
      <c r="F579" t="s">
        <v>13</v>
      </c>
      <c r="G579" t="s">
        <v>20</v>
      </c>
      <c r="H579" t="s">
        <v>15</v>
      </c>
      <c r="I579">
        <v>1</v>
      </c>
      <c r="J579" t="s">
        <v>26</v>
      </c>
      <c r="K579" t="s">
        <v>17</v>
      </c>
      <c r="L579">
        <v>39</v>
      </c>
      <c r="M579" t="str">
        <f t="shared" si="9"/>
        <v>MIddleAge</v>
      </c>
      <c r="N579" t="s">
        <v>15</v>
      </c>
    </row>
    <row r="580" spans="1:14" x14ac:dyDescent="0.25">
      <c r="A580">
        <v>26928</v>
      </c>
      <c r="B580" t="s">
        <v>36</v>
      </c>
      <c r="C580" t="s">
        <v>38</v>
      </c>
      <c r="D580" s="11">
        <v>30000</v>
      </c>
      <c r="E580">
        <v>1</v>
      </c>
      <c r="F580" t="s">
        <v>13</v>
      </c>
      <c r="G580" t="s">
        <v>20</v>
      </c>
      <c r="H580" t="s">
        <v>15</v>
      </c>
      <c r="I580">
        <v>0</v>
      </c>
      <c r="J580" t="s">
        <v>16</v>
      </c>
      <c r="K580" t="s">
        <v>17</v>
      </c>
      <c r="L580">
        <v>62</v>
      </c>
      <c r="M580" t="str">
        <f t="shared" si="9"/>
        <v>Old</v>
      </c>
      <c r="N580" t="s">
        <v>15</v>
      </c>
    </row>
    <row r="581" spans="1:14" x14ac:dyDescent="0.25">
      <c r="A581">
        <v>25553</v>
      </c>
      <c r="B581" t="s">
        <v>35</v>
      </c>
      <c r="C581" t="s">
        <v>38</v>
      </c>
      <c r="D581" s="11">
        <v>30000</v>
      </c>
      <c r="E581">
        <v>1</v>
      </c>
      <c r="F581" t="s">
        <v>13</v>
      </c>
      <c r="G581" t="s">
        <v>20</v>
      </c>
      <c r="H581" t="s">
        <v>15</v>
      </c>
      <c r="I581">
        <v>0</v>
      </c>
      <c r="J581" t="s">
        <v>16</v>
      </c>
      <c r="K581" t="s">
        <v>17</v>
      </c>
      <c r="L581">
        <v>65</v>
      </c>
      <c r="M581" t="str">
        <f t="shared" si="9"/>
        <v>Old</v>
      </c>
      <c r="N581" t="s">
        <v>15</v>
      </c>
    </row>
    <row r="582" spans="1:14" x14ac:dyDescent="0.25">
      <c r="A582">
        <v>23908</v>
      </c>
      <c r="B582" t="s">
        <v>36</v>
      </c>
      <c r="C582" t="s">
        <v>38</v>
      </c>
      <c r="D582" s="11">
        <v>30000</v>
      </c>
      <c r="E582">
        <v>1</v>
      </c>
      <c r="F582" t="s">
        <v>13</v>
      </c>
      <c r="G582" t="s">
        <v>20</v>
      </c>
      <c r="H582" t="s">
        <v>18</v>
      </c>
      <c r="I582">
        <v>1</v>
      </c>
      <c r="J582" t="s">
        <v>16</v>
      </c>
      <c r="K582" t="s">
        <v>17</v>
      </c>
      <c r="L582">
        <v>39</v>
      </c>
      <c r="M582" t="str">
        <f t="shared" si="9"/>
        <v>MIddleAge</v>
      </c>
      <c r="N582" t="s">
        <v>15</v>
      </c>
    </row>
    <row r="583" spans="1:14" x14ac:dyDescent="0.25">
      <c r="A583">
        <v>23256</v>
      </c>
      <c r="B583" t="s">
        <v>36</v>
      </c>
      <c r="C583" t="s">
        <v>38</v>
      </c>
      <c r="D583" s="11">
        <v>30000</v>
      </c>
      <c r="E583">
        <v>1</v>
      </c>
      <c r="F583" t="s">
        <v>27</v>
      </c>
      <c r="G583" t="s">
        <v>20</v>
      </c>
      <c r="H583" t="s">
        <v>18</v>
      </c>
      <c r="I583">
        <v>1</v>
      </c>
      <c r="J583" t="s">
        <v>23</v>
      </c>
      <c r="K583" t="s">
        <v>31</v>
      </c>
      <c r="L583">
        <v>52</v>
      </c>
      <c r="M583" t="str">
        <f t="shared" si="9"/>
        <v>MIddleAge</v>
      </c>
      <c r="N583" t="s">
        <v>18</v>
      </c>
    </row>
    <row r="584" spans="1:14" x14ac:dyDescent="0.25">
      <c r="A584">
        <v>22496</v>
      </c>
      <c r="B584" t="s">
        <v>35</v>
      </c>
      <c r="C584" t="s">
        <v>37</v>
      </c>
      <c r="D584" s="11">
        <v>30000</v>
      </c>
      <c r="E584">
        <v>1</v>
      </c>
      <c r="F584" t="s">
        <v>13</v>
      </c>
      <c r="G584" t="s">
        <v>14</v>
      </c>
      <c r="H584" t="s">
        <v>15</v>
      </c>
      <c r="I584">
        <v>2</v>
      </c>
      <c r="J584" t="s">
        <v>16</v>
      </c>
      <c r="K584" t="s">
        <v>17</v>
      </c>
      <c r="L584">
        <v>42</v>
      </c>
      <c r="M584" t="str">
        <f t="shared" si="9"/>
        <v>MIddleAge</v>
      </c>
      <c r="N584" t="s">
        <v>18</v>
      </c>
    </row>
    <row r="585" spans="1:14" x14ac:dyDescent="0.25">
      <c r="A585">
        <v>21006</v>
      </c>
      <c r="B585" t="s">
        <v>36</v>
      </c>
      <c r="C585" t="s">
        <v>37</v>
      </c>
      <c r="D585" s="11">
        <v>30000</v>
      </c>
      <c r="E585">
        <v>1</v>
      </c>
      <c r="F585" t="s">
        <v>19</v>
      </c>
      <c r="G585" t="s">
        <v>25</v>
      </c>
      <c r="H585" t="s">
        <v>18</v>
      </c>
      <c r="I585">
        <v>0</v>
      </c>
      <c r="J585" t="s">
        <v>16</v>
      </c>
      <c r="K585" t="s">
        <v>17</v>
      </c>
      <c r="L585">
        <v>46</v>
      </c>
      <c r="M585" t="str">
        <f t="shared" si="9"/>
        <v>MIddleAge</v>
      </c>
      <c r="N585" t="s">
        <v>15</v>
      </c>
    </row>
    <row r="586" spans="1:14" x14ac:dyDescent="0.25">
      <c r="A586">
        <v>20897</v>
      </c>
      <c r="B586" t="s">
        <v>35</v>
      </c>
      <c r="C586" t="s">
        <v>37</v>
      </c>
      <c r="D586" s="11">
        <v>30000</v>
      </c>
      <c r="E586">
        <v>1</v>
      </c>
      <c r="F586" t="s">
        <v>13</v>
      </c>
      <c r="G586" t="s">
        <v>14</v>
      </c>
      <c r="H586" t="s">
        <v>15</v>
      </c>
      <c r="I586">
        <v>2</v>
      </c>
      <c r="J586" t="s">
        <v>16</v>
      </c>
      <c r="K586" t="s">
        <v>17</v>
      </c>
      <c r="L586">
        <v>40</v>
      </c>
      <c r="M586" t="str">
        <f t="shared" si="9"/>
        <v>MIddleAge</v>
      </c>
      <c r="N586" t="s">
        <v>18</v>
      </c>
    </row>
    <row r="587" spans="1:14" x14ac:dyDescent="0.25">
      <c r="A587">
        <v>20877</v>
      </c>
      <c r="B587" t="s">
        <v>36</v>
      </c>
      <c r="C587" t="s">
        <v>38</v>
      </c>
      <c r="D587" s="11">
        <v>30000</v>
      </c>
      <c r="E587">
        <v>1</v>
      </c>
      <c r="F587" t="s">
        <v>13</v>
      </c>
      <c r="G587" t="s">
        <v>20</v>
      </c>
      <c r="H587" t="s">
        <v>15</v>
      </c>
      <c r="I587">
        <v>0</v>
      </c>
      <c r="J587" t="s">
        <v>26</v>
      </c>
      <c r="K587" t="s">
        <v>17</v>
      </c>
      <c r="L587">
        <v>37</v>
      </c>
      <c r="M587" t="str">
        <f t="shared" si="9"/>
        <v>MIddleAge</v>
      </c>
      <c r="N587" t="s">
        <v>15</v>
      </c>
    </row>
    <row r="588" spans="1:14" x14ac:dyDescent="0.25">
      <c r="A588">
        <v>20147</v>
      </c>
      <c r="B588" t="s">
        <v>35</v>
      </c>
      <c r="C588" t="s">
        <v>37</v>
      </c>
      <c r="D588" s="11">
        <v>30000</v>
      </c>
      <c r="E588">
        <v>1</v>
      </c>
      <c r="F588" t="s">
        <v>13</v>
      </c>
      <c r="G588" t="s">
        <v>20</v>
      </c>
      <c r="H588" t="s">
        <v>15</v>
      </c>
      <c r="I588">
        <v>0</v>
      </c>
      <c r="J588" t="s">
        <v>16</v>
      </c>
      <c r="K588" t="s">
        <v>17</v>
      </c>
      <c r="L588">
        <v>65</v>
      </c>
      <c r="M588" t="str">
        <f t="shared" si="9"/>
        <v>Old</v>
      </c>
      <c r="N588" t="s">
        <v>18</v>
      </c>
    </row>
    <row r="589" spans="1:14" x14ac:dyDescent="0.25">
      <c r="A589">
        <v>19482</v>
      </c>
      <c r="B589" t="s">
        <v>35</v>
      </c>
      <c r="C589" t="s">
        <v>38</v>
      </c>
      <c r="D589" s="11">
        <v>30000</v>
      </c>
      <c r="E589">
        <v>1</v>
      </c>
      <c r="F589" t="s">
        <v>19</v>
      </c>
      <c r="G589" t="s">
        <v>20</v>
      </c>
      <c r="H589" t="s">
        <v>15</v>
      </c>
      <c r="I589">
        <v>1</v>
      </c>
      <c r="J589" t="s">
        <v>16</v>
      </c>
      <c r="K589" t="s">
        <v>17</v>
      </c>
      <c r="L589">
        <v>44</v>
      </c>
      <c r="M589" t="str">
        <f t="shared" si="9"/>
        <v>MIddleAge</v>
      </c>
      <c r="N589" t="s">
        <v>15</v>
      </c>
    </row>
    <row r="590" spans="1:14" x14ac:dyDescent="0.25">
      <c r="A590">
        <v>18649</v>
      </c>
      <c r="B590" t="s">
        <v>36</v>
      </c>
      <c r="C590" t="s">
        <v>38</v>
      </c>
      <c r="D590" s="11">
        <v>30000</v>
      </c>
      <c r="E590">
        <v>1</v>
      </c>
      <c r="F590" t="s">
        <v>27</v>
      </c>
      <c r="G590" t="s">
        <v>20</v>
      </c>
      <c r="H590" t="s">
        <v>15</v>
      </c>
      <c r="I590">
        <v>2</v>
      </c>
      <c r="J590" t="s">
        <v>26</v>
      </c>
      <c r="K590" t="s">
        <v>31</v>
      </c>
      <c r="L590">
        <v>51</v>
      </c>
      <c r="M590" t="str">
        <f t="shared" si="9"/>
        <v>MIddleAge</v>
      </c>
      <c r="N590" t="s">
        <v>15</v>
      </c>
    </row>
    <row r="591" spans="1:14" x14ac:dyDescent="0.25">
      <c r="A591">
        <v>16390</v>
      </c>
      <c r="B591" t="s">
        <v>36</v>
      </c>
      <c r="C591" t="s">
        <v>38</v>
      </c>
      <c r="D591" s="11">
        <v>30000</v>
      </c>
      <c r="E591">
        <v>1</v>
      </c>
      <c r="F591" t="s">
        <v>13</v>
      </c>
      <c r="G591" t="s">
        <v>20</v>
      </c>
      <c r="H591" t="s">
        <v>18</v>
      </c>
      <c r="I591">
        <v>0</v>
      </c>
      <c r="J591" t="s">
        <v>16</v>
      </c>
      <c r="K591" t="s">
        <v>17</v>
      </c>
      <c r="L591">
        <v>38</v>
      </c>
      <c r="M591" t="str">
        <f t="shared" si="9"/>
        <v>MIddleAge</v>
      </c>
      <c r="N591" t="s">
        <v>15</v>
      </c>
    </row>
    <row r="592" spans="1:14" x14ac:dyDescent="0.25">
      <c r="A592">
        <v>14927</v>
      </c>
      <c r="B592" t="s">
        <v>35</v>
      </c>
      <c r="C592" t="s">
        <v>37</v>
      </c>
      <c r="D592" s="11">
        <v>30000</v>
      </c>
      <c r="E592">
        <v>1</v>
      </c>
      <c r="F592" t="s">
        <v>13</v>
      </c>
      <c r="G592" t="s">
        <v>20</v>
      </c>
      <c r="H592" t="s">
        <v>15</v>
      </c>
      <c r="I592">
        <v>0</v>
      </c>
      <c r="J592" t="s">
        <v>16</v>
      </c>
      <c r="K592" t="s">
        <v>17</v>
      </c>
      <c r="L592">
        <v>37</v>
      </c>
      <c r="M592" t="str">
        <f t="shared" si="9"/>
        <v>MIddleAge</v>
      </c>
      <c r="N592" t="s">
        <v>15</v>
      </c>
    </row>
    <row r="593" spans="1:14" x14ac:dyDescent="0.25">
      <c r="A593">
        <v>14926</v>
      </c>
      <c r="B593" t="s">
        <v>35</v>
      </c>
      <c r="C593" t="s">
        <v>38</v>
      </c>
      <c r="D593" s="11">
        <v>30000</v>
      </c>
      <c r="E593">
        <v>1</v>
      </c>
      <c r="F593" t="s">
        <v>13</v>
      </c>
      <c r="G593" t="s">
        <v>20</v>
      </c>
      <c r="H593" t="s">
        <v>15</v>
      </c>
      <c r="I593">
        <v>0</v>
      </c>
      <c r="J593" t="s">
        <v>16</v>
      </c>
      <c r="K593" t="s">
        <v>17</v>
      </c>
      <c r="L593">
        <v>38</v>
      </c>
      <c r="M593" t="str">
        <f t="shared" si="9"/>
        <v>MIddleAge</v>
      </c>
      <c r="N593" t="s">
        <v>15</v>
      </c>
    </row>
    <row r="594" spans="1:14" x14ac:dyDescent="0.25">
      <c r="A594">
        <v>14887</v>
      </c>
      <c r="B594" t="s">
        <v>35</v>
      </c>
      <c r="C594" t="s">
        <v>37</v>
      </c>
      <c r="D594" s="11">
        <v>30000</v>
      </c>
      <c r="E594">
        <v>1</v>
      </c>
      <c r="F594" t="s">
        <v>27</v>
      </c>
      <c r="G594" t="s">
        <v>20</v>
      </c>
      <c r="H594" t="s">
        <v>15</v>
      </c>
      <c r="I594">
        <v>1</v>
      </c>
      <c r="J594" t="s">
        <v>23</v>
      </c>
      <c r="K594" t="s">
        <v>31</v>
      </c>
      <c r="L594">
        <v>52</v>
      </c>
      <c r="M594" t="str">
        <f t="shared" si="9"/>
        <v>MIddleAge</v>
      </c>
      <c r="N594" t="s">
        <v>18</v>
      </c>
    </row>
    <row r="595" spans="1:14" x14ac:dyDescent="0.25">
      <c r="A595">
        <v>14883</v>
      </c>
      <c r="B595" t="s">
        <v>35</v>
      </c>
      <c r="C595" t="s">
        <v>37</v>
      </c>
      <c r="D595" s="11">
        <v>30000</v>
      </c>
      <c r="E595">
        <v>1</v>
      </c>
      <c r="F595" t="s">
        <v>13</v>
      </c>
      <c r="G595" t="s">
        <v>14</v>
      </c>
      <c r="H595" t="s">
        <v>15</v>
      </c>
      <c r="I595">
        <v>1</v>
      </c>
      <c r="J595" t="s">
        <v>23</v>
      </c>
      <c r="K595" t="s">
        <v>31</v>
      </c>
      <c r="L595">
        <v>53</v>
      </c>
      <c r="M595" t="str">
        <f t="shared" si="9"/>
        <v>MIddleAge</v>
      </c>
      <c r="N595" t="s">
        <v>15</v>
      </c>
    </row>
    <row r="596" spans="1:14" x14ac:dyDescent="0.25">
      <c r="A596">
        <v>14785</v>
      </c>
      <c r="B596" t="s">
        <v>36</v>
      </c>
      <c r="C596" t="s">
        <v>38</v>
      </c>
      <c r="D596" s="11">
        <v>30000</v>
      </c>
      <c r="E596">
        <v>1</v>
      </c>
      <c r="F596" t="s">
        <v>13</v>
      </c>
      <c r="G596" t="s">
        <v>20</v>
      </c>
      <c r="H596" t="s">
        <v>18</v>
      </c>
      <c r="I596">
        <v>1</v>
      </c>
      <c r="J596" t="s">
        <v>26</v>
      </c>
      <c r="K596" t="s">
        <v>17</v>
      </c>
      <c r="L596">
        <v>39</v>
      </c>
      <c r="M596" t="str">
        <f t="shared" si="9"/>
        <v>MIddleAge</v>
      </c>
      <c r="N596" t="s">
        <v>18</v>
      </c>
    </row>
    <row r="597" spans="1:14" x14ac:dyDescent="0.25">
      <c r="A597">
        <v>12768</v>
      </c>
      <c r="B597" t="s">
        <v>35</v>
      </c>
      <c r="C597" t="s">
        <v>38</v>
      </c>
      <c r="D597" s="11">
        <v>30000</v>
      </c>
      <c r="E597">
        <v>1</v>
      </c>
      <c r="F597" t="s">
        <v>27</v>
      </c>
      <c r="G597" t="s">
        <v>20</v>
      </c>
      <c r="H597" t="s">
        <v>15</v>
      </c>
      <c r="I597">
        <v>1</v>
      </c>
      <c r="J597" t="s">
        <v>22</v>
      </c>
      <c r="K597" t="s">
        <v>31</v>
      </c>
      <c r="L597">
        <v>52</v>
      </c>
      <c r="M597" t="str">
        <f t="shared" si="9"/>
        <v>MIddleAge</v>
      </c>
      <c r="N597" t="s">
        <v>15</v>
      </c>
    </row>
    <row r="598" spans="1:14" x14ac:dyDescent="0.25">
      <c r="A598">
        <v>12610</v>
      </c>
      <c r="B598" t="s">
        <v>35</v>
      </c>
      <c r="C598" t="s">
        <v>37</v>
      </c>
      <c r="D598" s="11">
        <v>30000</v>
      </c>
      <c r="E598">
        <v>1</v>
      </c>
      <c r="F598" t="s">
        <v>13</v>
      </c>
      <c r="G598" t="s">
        <v>20</v>
      </c>
      <c r="H598" t="s">
        <v>15</v>
      </c>
      <c r="I598">
        <v>0</v>
      </c>
      <c r="J598" t="s">
        <v>16</v>
      </c>
      <c r="K598" t="s">
        <v>17</v>
      </c>
      <c r="L598">
        <v>47</v>
      </c>
      <c r="M598" t="str">
        <f t="shared" si="9"/>
        <v>MIddleAge</v>
      </c>
      <c r="N598" t="s">
        <v>18</v>
      </c>
    </row>
    <row r="599" spans="1:14" x14ac:dyDescent="0.25">
      <c r="A599">
        <v>12590</v>
      </c>
      <c r="B599" t="s">
        <v>36</v>
      </c>
      <c r="C599" t="s">
        <v>38</v>
      </c>
      <c r="D599" s="11">
        <v>30000</v>
      </c>
      <c r="E599">
        <v>1</v>
      </c>
      <c r="F599" t="s">
        <v>13</v>
      </c>
      <c r="G599" t="s">
        <v>20</v>
      </c>
      <c r="H599" t="s">
        <v>15</v>
      </c>
      <c r="I599">
        <v>0</v>
      </c>
      <c r="J599" t="s">
        <v>16</v>
      </c>
      <c r="K599" t="s">
        <v>17</v>
      </c>
      <c r="L599">
        <v>63</v>
      </c>
      <c r="M599" t="str">
        <f t="shared" si="9"/>
        <v>Old</v>
      </c>
      <c r="N599" t="s">
        <v>18</v>
      </c>
    </row>
    <row r="600" spans="1:14" x14ac:dyDescent="0.25">
      <c r="A600">
        <v>12568</v>
      </c>
      <c r="B600" t="s">
        <v>35</v>
      </c>
      <c r="C600" t="s">
        <v>37</v>
      </c>
      <c r="D600" s="11">
        <v>30000</v>
      </c>
      <c r="E600">
        <v>1</v>
      </c>
      <c r="F600" t="s">
        <v>13</v>
      </c>
      <c r="G600" t="s">
        <v>20</v>
      </c>
      <c r="H600" t="s">
        <v>15</v>
      </c>
      <c r="I600">
        <v>0</v>
      </c>
      <c r="J600" t="s">
        <v>16</v>
      </c>
      <c r="K600" t="s">
        <v>17</v>
      </c>
      <c r="L600">
        <v>64</v>
      </c>
      <c r="M600" t="str">
        <f t="shared" si="9"/>
        <v>Old</v>
      </c>
      <c r="N600" t="s">
        <v>18</v>
      </c>
    </row>
    <row r="601" spans="1:14" x14ac:dyDescent="0.25">
      <c r="A601">
        <v>12507</v>
      </c>
      <c r="B601" t="s">
        <v>35</v>
      </c>
      <c r="C601" t="s">
        <v>38</v>
      </c>
      <c r="D601" s="11">
        <v>30000</v>
      </c>
      <c r="E601">
        <v>1</v>
      </c>
      <c r="F601" t="s">
        <v>19</v>
      </c>
      <c r="G601" t="s">
        <v>20</v>
      </c>
      <c r="H601" t="s">
        <v>15</v>
      </c>
      <c r="I601">
        <v>1</v>
      </c>
      <c r="J601" t="s">
        <v>16</v>
      </c>
      <c r="K601" t="s">
        <v>17</v>
      </c>
      <c r="L601">
        <v>43</v>
      </c>
      <c r="M601" t="str">
        <f t="shared" si="9"/>
        <v>MIddleAge</v>
      </c>
      <c r="N601" t="s">
        <v>18</v>
      </c>
    </row>
    <row r="602" spans="1:14" x14ac:dyDescent="0.25">
      <c r="A602">
        <v>12472</v>
      </c>
      <c r="B602" t="s">
        <v>35</v>
      </c>
      <c r="C602" t="s">
        <v>38</v>
      </c>
      <c r="D602" s="11">
        <v>30000</v>
      </c>
      <c r="E602">
        <v>1</v>
      </c>
      <c r="F602" t="s">
        <v>13</v>
      </c>
      <c r="G602" t="s">
        <v>20</v>
      </c>
      <c r="H602" t="s">
        <v>15</v>
      </c>
      <c r="I602">
        <v>1</v>
      </c>
      <c r="J602" t="s">
        <v>22</v>
      </c>
      <c r="K602" t="s">
        <v>17</v>
      </c>
      <c r="L602">
        <v>39</v>
      </c>
      <c r="M602" t="str">
        <f t="shared" si="9"/>
        <v>MIddleAge</v>
      </c>
      <c r="N602" t="s">
        <v>18</v>
      </c>
    </row>
    <row r="603" spans="1:14" x14ac:dyDescent="0.25">
      <c r="A603">
        <v>12273</v>
      </c>
      <c r="B603" t="s">
        <v>35</v>
      </c>
      <c r="C603" t="s">
        <v>38</v>
      </c>
      <c r="D603" s="11">
        <v>30000</v>
      </c>
      <c r="E603">
        <v>1</v>
      </c>
      <c r="F603" t="s">
        <v>13</v>
      </c>
      <c r="G603" t="s">
        <v>20</v>
      </c>
      <c r="H603" t="s">
        <v>15</v>
      </c>
      <c r="I603">
        <v>0</v>
      </c>
      <c r="J603" t="s">
        <v>16</v>
      </c>
      <c r="K603" t="s">
        <v>17</v>
      </c>
      <c r="L603">
        <v>47</v>
      </c>
      <c r="M603" t="str">
        <f t="shared" si="9"/>
        <v>MIddleAge</v>
      </c>
      <c r="N603" t="s">
        <v>18</v>
      </c>
    </row>
    <row r="604" spans="1:14" x14ac:dyDescent="0.25">
      <c r="A604">
        <v>11576</v>
      </c>
      <c r="B604" t="s">
        <v>35</v>
      </c>
      <c r="C604" t="s">
        <v>38</v>
      </c>
      <c r="D604" s="11">
        <v>30000</v>
      </c>
      <c r="E604">
        <v>1</v>
      </c>
      <c r="F604" t="s">
        <v>13</v>
      </c>
      <c r="G604" t="s">
        <v>14</v>
      </c>
      <c r="H604" t="s">
        <v>15</v>
      </c>
      <c r="I604">
        <v>2</v>
      </c>
      <c r="J604" t="s">
        <v>16</v>
      </c>
      <c r="K604" t="s">
        <v>17</v>
      </c>
      <c r="L604">
        <v>41</v>
      </c>
      <c r="M604" t="str">
        <f t="shared" si="9"/>
        <v>MIddleAge</v>
      </c>
      <c r="N604" t="s">
        <v>15</v>
      </c>
    </row>
    <row r="605" spans="1:14" x14ac:dyDescent="0.25">
      <c r="A605">
        <v>27261</v>
      </c>
      <c r="B605" t="s">
        <v>35</v>
      </c>
      <c r="C605" t="s">
        <v>38</v>
      </c>
      <c r="D605" s="11">
        <v>40000</v>
      </c>
      <c r="E605">
        <v>1</v>
      </c>
      <c r="F605" t="s">
        <v>13</v>
      </c>
      <c r="G605" t="s">
        <v>14</v>
      </c>
      <c r="H605" t="s">
        <v>18</v>
      </c>
      <c r="I605">
        <v>1</v>
      </c>
      <c r="J605" t="s">
        <v>16</v>
      </c>
      <c r="K605" t="s">
        <v>31</v>
      </c>
      <c r="L605">
        <v>36</v>
      </c>
      <c r="M605" t="str">
        <f t="shared" si="9"/>
        <v>MIddleAge</v>
      </c>
      <c r="N605" t="s">
        <v>15</v>
      </c>
    </row>
    <row r="606" spans="1:14" x14ac:dyDescent="0.25">
      <c r="A606">
        <v>26984</v>
      </c>
      <c r="B606" t="s">
        <v>35</v>
      </c>
      <c r="C606" t="s">
        <v>38</v>
      </c>
      <c r="D606" s="11">
        <v>40000</v>
      </c>
      <c r="E606">
        <v>1</v>
      </c>
      <c r="F606" t="s">
        <v>13</v>
      </c>
      <c r="G606" t="s">
        <v>14</v>
      </c>
      <c r="H606" t="s">
        <v>15</v>
      </c>
      <c r="I606">
        <v>1</v>
      </c>
      <c r="J606" t="s">
        <v>16</v>
      </c>
      <c r="K606" t="s">
        <v>17</v>
      </c>
      <c r="L606">
        <v>32</v>
      </c>
      <c r="M606" t="str">
        <f t="shared" si="9"/>
        <v>MIddleAge</v>
      </c>
      <c r="N606" t="s">
        <v>15</v>
      </c>
    </row>
    <row r="607" spans="1:14" x14ac:dyDescent="0.25">
      <c r="A607">
        <v>26219</v>
      </c>
      <c r="B607" t="s">
        <v>35</v>
      </c>
      <c r="C607" t="s">
        <v>37</v>
      </c>
      <c r="D607" s="11">
        <v>40000</v>
      </c>
      <c r="E607">
        <v>1</v>
      </c>
      <c r="F607" t="s">
        <v>13</v>
      </c>
      <c r="G607" t="s">
        <v>14</v>
      </c>
      <c r="H607" t="s">
        <v>15</v>
      </c>
      <c r="I607">
        <v>1</v>
      </c>
      <c r="J607" t="s">
        <v>26</v>
      </c>
      <c r="K607" t="s">
        <v>17</v>
      </c>
      <c r="L607">
        <v>33</v>
      </c>
      <c r="M607" t="str">
        <f t="shared" si="9"/>
        <v>MIddleAge</v>
      </c>
      <c r="N607" t="s">
        <v>15</v>
      </c>
    </row>
    <row r="608" spans="1:14" x14ac:dyDescent="0.25">
      <c r="A608">
        <v>25651</v>
      </c>
      <c r="B608" t="s">
        <v>35</v>
      </c>
      <c r="C608" t="s">
        <v>38</v>
      </c>
      <c r="D608" s="11">
        <v>40000</v>
      </c>
      <c r="E608">
        <v>1</v>
      </c>
      <c r="F608" t="s">
        <v>13</v>
      </c>
      <c r="G608" t="s">
        <v>14</v>
      </c>
      <c r="H608" t="s">
        <v>18</v>
      </c>
      <c r="I608">
        <v>0</v>
      </c>
      <c r="J608" t="s">
        <v>16</v>
      </c>
      <c r="K608" t="s">
        <v>17</v>
      </c>
      <c r="L608">
        <v>43</v>
      </c>
      <c r="M608" t="str">
        <f t="shared" si="9"/>
        <v>MIddleAge</v>
      </c>
      <c r="N608" t="s">
        <v>15</v>
      </c>
    </row>
    <row r="609" spans="1:14" x14ac:dyDescent="0.25">
      <c r="A609">
        <v>25502</v>
      </c>
      <c r="B609" t="s">
        <v>35</v>
      </c>
      <c r="C609" t="s">
        <v>37</v>
      </c>
      <c r="D609" s="11">
        <v>40000</v>
      </c>
      <c r="E609">
        <v>1</v>
      </c>
      <c r="F609" t="s">
        <v>13</v>
      </c>
      <c r="G609" t="s">
        <v>14</v>
      </c>
      <c r="H609" t="s">
        <v>15</v>
      </c>
      <c r="I609">
        <v>0</v>
      </c>
      <c r="J609" t="s">
        <v>16</v>
      </c>
      <c r="K609" t="s">
        <v>17</v>
      </c>
      <c r="L609">
        <v>43</v>
      </c>
      <c r="M609" t="str">
        <f t="shared" si="9"/>
        <v>MIddleAge</v>
      </c>
      <c r="N609" t="s">
        <v>15</v>
      </c>
    </row>
    <row r="610" spans="1:14" x14ac:dyDescent="0.25">
      <c r="A610">
        <v>25307</v>
      </c>
      <c r="B610" t="s">
        <v>35</v>
      </c>
      <c r="C610" t="s">
        <v>37</v>
      </c>
      <c r="D610" s="11">
        <v>40000</v>
      </c>
      <c r="E610">
        <v>1</v>
      </c>
      <c r="F610" t="s">
        <v>13</v>
      </c>
      <c r="G610" t="s">
        <v>14</v>
      </c>
      <c r="H610" t="s">
        <v>15</v>
      </c>
      <c r="I610">
        <v>1</v>
      </c>
      <c r="J610" t="s">
        <v>26</v>
      </c>
      <c r="K610" t="s">
        <v>17</v>
      </c>
      <c r="L610">
        <v>32</v>
      </c>
      <c r="M610" t="str">
        <f t="shared" si="9"/>
        <v>MIddleAge</v>
      </c>
      <c r="N610" t="s">
        <v>15</v>
      </c>
    </row>
    <row r="611" spans="1:14" x14ac:dyDescent="0.25">
      <c r="A611">
        <v>24738</v>
      </c>
      <c r="B611" t="s">
        <v>35</v>
      </c>
      <c r="C611" t="s">
        <v>37</v>
      </c>
      <c r="D611" s="11">
        <v>40000</v>
      </c>
      <c r="E611">
        <v>1</v>
      </c>
      <c r="F611" t="s">
        <v>19</v>
      </c>
      <c r="G611" t="s">
        <v>20</v>
      </c>
      <c r="H611" t="s">
        <v>15</v>
      </c>
      <c r="I611">
        <v>1</v>
      </c>
      <c r="J611" t="s">
        <v>26</v>
      </c>
      <c r="K611" t="s">
        <v>31</v>
      </c>
      <c r="L611">
        <v>51</v>
      </c>
      <c r="M611" t="str">
        <f t="shared" si="9"/>
        <v>MIddleAge</v>
      </c>
      <c r="N611" t="s">
        <v>15</v>
      </c>
    </row>
    <row r="612" spans="1:14" x14ac:dyDescent="0.25">
      <c r="A612">
        <v>23940</v>
      </c>
      <c r="B612" t="s">
        <v>35</v>
      </c>
      <c r="C612" t="s">
        <v>38</v>
      </c>
      <c r="D612" s="11">
        <v>40000</v>
      </c>
      <c r="E612">
        <v>1</v>
      </c>
      <c r="F612" t="s">
        <v>13</v>
      </c>
      <c r="G612" t="s">
        <v>14</v>
      </c>
      <c r="H612" t="s">
        <v>15</v>
      </c>
      <c r="I612">
        <v>1</v>
      </c>
      <c r="J612" t="s">
        <v>16</v>
      </c>
      <c r="K612" t="s">
        <v>17</v>
      </c>
      <c r="L612">
        <v>44</v>
      </c>
      <c r="M612" t="str">
        <f t="shared" si="9"/>
        <v>MIddleAge</v>
      </c>
      <c r="N612" t="s">
        <v>15</v>
      </c>
    </row>
    <row r="613" spans="1:14" x14ac:dyDescent="0.25">
      <c r="A613">
        <v>21108</v>
      </c>
      <c r="B613" t="s">
        <v>35</v>
      </c>
      <c r="C613" t="s">
        <v>37</v>
      </c>
      <c r="D613" s="11">
        <v>40000</v>
      </c>
      <c r="E613">
        <v>1</v>
      </c>
      <c r="F613" t="s">
        <v>13</v>
      </c>
      <c r="G613" t="s">
        <v>14</v>
      </c>
      <c r="H613" t="s">
        <v>15</v>
      </c>
      <c r="I613">
        <v>1</v>
      </c>
      <c r="J613" t="s">
        <v>16</v>
      </c>
      <c r="K613" t="s">
        <v>17</v>
      </c>
      <c r="L613">
        <v>43</v>
      </c>
      <c r="M613" t="str">
        <f t="shared" si="9"/>
        <v>MIddleAge</v>
      </c>
      <c r="N613" t="s">
        <v>15</v>
      </c>
    </row>
    <row r="614" spans="1:14" x14ac:dyDescent="0.25">
      <c r="A614">
        <v>20923</v>
      </c>
      <c r="B614" t="s">
        <v>35</v>
      </c>
      <c r="C614" t="s">
        <v>37</v>
      </c>
      <c r="D614" s="11">
        <v>40000</v>
      </c>
      <c r="E614">
        <v>1</v>
      </c>
      <c r="F614" t="s">
        <v>13</v>
      </c>
      <c r="G614" t="s">
        <v>14</v>
      </c>
      <c r="H614" t="s">
        <v>15</v>
      </c>
      <c r="I614">
        <v>0</v>
      </c>
      <c r="J614" t="s">
        <v>16</v>
      </c>
      <c r="K614" t="s">
        <v>17</v>
      </c>
      <c r="L614">
        <v>42</v>
      </c>
      <c r="M614" t="str">
        <f t="shared" si="9"/>
        <v>MIddleAge</v>
      </c>
      <c r="N614" t="s">
        <v>15</v>
      </c>
    </row>
    <row r="615" spans="1:14" x14ac:dyDescent="0.25">
      <c r="A615">
        <v>20711</v>
      </c>
      <c r="B615" t="s">
        <v>35</v>
      </c>
      <c r="C615" t="s">
        <v>37</v>
      </c>
      <c r="D615" s="11">
        <v>40000</v>
      </c>
      <c r="E615">
        <v>1</v>
      </c>
      <c r="F615" t="s">
        <v>13</v>
      </c>
      <c r="G615" t="s">
        <v>14</v>
      </c>
      <c r="H615" t="s">
        <v>15</v>
      </c>
      <c r="I615">
        <v>0</v>
      </c>
      <c r="J615" t="s">
        <v>26</v>
      </c>
      <c r="K615" t="s">
        <v>17</v>
      </c>
      <c r="L615">
        <v>32</v>
      </c>
      <c r="M615" t="str">
        <f t="shared" si="9"/>
        <v>MIddleAge</v>
      </c>
      <c r="N615" t="s">
        <v>15</v>
      </c>
    </row>
    <row r="616" spans="1:14" x14ac:dyDescent="0.25">
      <c r="A616">
        <v>19364</v>
      </c>
      <c r="B616" t="s">
        <v>35</v>
      </c>
      <c r="C616" t="s">
        <v>38</v>
      </c>
      <c r="D616" s="11">
        <v>40000</v>
      </c>
      <c r="E616">
        <v>1</v>
      </c>
      <c r="F616" t="s">
        <v>13</v>
      </c>
      <c r="G616" t="s">
        <v>14</v>
      </c>
      <c r="H616" t="s">
        <v>15</v>
      </c>
      <c r="I616">
        <v>0</v>
      </c>
      <c r="J616" t="s">
        <v>16</v>
      </c>
      <c r="K616" t="s">
        <v>17</v>
      </c>
      <c r="L616">
        <v>43</v>
      </c>
      <c r="M616" t="str">
        <f t="shared" si="9"/>
        <v>MIddleAge</v>
      </c>
      <c r="N616" t="s">
        <v>15</v>
      </c>
    </row>
    <row r="617" spans="1:14" x14ac:dyDescent="0.25">
      <c r="A617">
        <v>18012</v>
      </c>
      <c r="B617" t="s">
        <v>35</v>
      </c>
      <c r="C617" t="s">
        <v>37</v>
      </c>
      <c r="D617" s="11">
        <v>40000</v>
      </c>
      <c r="E617">
        <v>1</v>
      </c>
      <c r="F617" t="s">
        <v>13</v>
      </c>
      <c r="G617" t="s">
        <v>14</v>
      </c>
      <c r="H617" t="s">
        <v>15</v>
      </c>
      <c r="I617">
        <v>0</v>
      </c>
      <c r="J617" t="s">
        <v>16</v>
      </c>
      <c r="K617" t="s">
        <v>17</v>
      </c>
      <c r="L617">
        <v>41</v>
      </c>
      <c r="M617" t="str">
        <f t="shared" si="9"/>
        <v>MIddleAge</v>
      </c>
      <c r="N617" t="s">
        <v>18</v>
      </c>
    </row>
    <row r="618" spans="1:14" x14ac:dyDescent="0.25">
      <c r="A618">
        <v>15628</v>
      </c>
      <c r="B618" t="s">
        <v>35</v>
      </c>
      <c r="C618" t="s">
        <v>37</v>
      </c>
      <c r="D618" s="11">
        <v>40000</v>
      </c>
      <c r="E618">
        <v>1</v>
      </c>
      <c r="F618" t="s">
        <v>13</v>
      </c>
      <c r="G618" t="s">
        <v>14</v>
      </c>
      <c r="H618" t="s">
        <v>15</v>
      </c>
      <c r="I618">
        <v>1</v>
      </c>
      <c r="J618" t="s">
        <v>16</v>
      </c>
      <c r="K618" t="s">
        <v>17</v>
      </c>
      <c r="L618">
        <v>89</v>
      </c>
      <c r="M618" t="str">
        <f t="shared" si="9"/>
        <v>Old</v>
      </c>
      <c r="N618" t="s">
        <v>18</v>
      </c>
    </row>
    <row r="619" spans="1:14" x14ac:dyDescent="0.25">
      <c r="A619">
        <v>14914</v>
      </c>
      <c r="B619" t="s">
        <v>35</v>
      </c>
      <c r="C619" t="s">
        <v>37</v>
      </c>
      <c r="D619" s="11">
        <v>40000</v>
      </c>
      <c r="E619">
        <v>1</v>
      </c>
      <c r="F619" t="s">
        <v>19</v>
      </c>
      <c r="G619" t="s">
        <v>20</v>
      </c>
      <c r="H619" t="s">
        <v>15</v>
      </c>
      <c r="I619">
        <v>1</v>
      </c>
      <c r="J619" t="s">
        <v>26</v>
      </c>
      <c r="K619" t="s">
        <v>31</v>
      </c>
      <c r="L619">
        <v>49</v>
      </c>
      <c r="M619" t="str">
        <f t="shared" si="9"/>
        <v>MIddleAge</v>
      </c>
      <c r="N619" t="s">
        <v>15</v>
      </c>
    </row>
    <row r="620" spans="1:14" x14ac:dyDescent="0.25">
      <c r="A620">
        <v>14913</v>
      </c>
      <c r="B620" t="s">
        <v>35</v>
      </c>
      <c r="C620" t="s">
        <v>37</v>
      </c>
      <c r="D620" s="11">
        <v>40000</v>
      </c>
      <c r="E620">
        <v>1</v>
      </c>
      <c r="F620" t="s">
        <v>19</v>
      </c>
      <c r="G620" t="s">
        <v>20</v>
      </c>
      <c r="H620" t="s">
        <v>15</v>
      </c>
      <c r="I620">
        <v>1</v>
      </c>
      <c r="J620" t="s">
        <v>26</v>
      </c>
      <c r="K620" t="s">
        <v>31</v>
      </c>
      <c r="L620">
        <v>48</v>
      </c>
      <c r="M620" t="str">
        <f t="shared" si="9"/>
        <v>MIddleAge</v>
      </c>
      <c r="N620" t="s">
        <v>15</v>
      </c>
    </row>
    <row r="621" spans="1:14" x14ac:dyDescent="0.25">
      <c r="A621">
        <v>14900</v>
      </c>
      <c r="B621" t="s">
        <v>35</v>
      </c>
      <c r="C621" t="s">
        <v>37</v>
      </c>
      <c r="D621" s="11">
        <v>40000</v>
      </c>
      <c r="E621">
        <v>1</v>
      </c>
      <c r="F621" t="s">
        <v>19</v>
      </c>
      <c r="G621" t="s">
        <v>20</v>
      </c>
      <c r="H621" t="s">
        <v>15</v>
      </c>
      <c r="I621">
        <v>1</v>
      </c>
      <c r="J621" t="s">
        <v>26</v>
      </c>
      <c r="K621" t="s">
        <v>31</v>
      </c>
      <c r="L621">
        <v>49</v>
      </c>
      <c r="M621" t="str">
        <f t="shared" si="9"/>
        <v>MIddleAge</v>
      </c>
      <c r="N621" t="s">
        <v>15</v>
      </c>
    </row>
    <row r="622" spans="1:14" x14ac:dyDescent="0.25">
      <c r="A622">
        <v>14832</v>
      </c>
      <c r="B622" t="s">
        <v>35</v>
      </c>
      <c r="C622" t="s">
        <v>38</v>
      </c>
      <c r="D622" s="11">
        <v>40000</v>
      </c>
      <c r="E622">
        <v>1</v>
      </c>
      <c r="F622" t="s">
        <v>13</v>
      </c>
      <c r="G622" t="s">
        <v>14</v>
      </c>
      <c r="H622" t="s">
        <v>15</v>
      </c>
      <c r="I622">
        <v>0</v>
      </c>
      <c r="J622" t="s">
        <v>16</v>
      </c>
      <c r="K622" t="s">
        <v>17</v>
      </c>
      <c r="L622">
        <v>42</v>
      </c>
      <c r="M622" t="str">
        <f t="shared" si="9"/>
        <v>MIddleAge</v>
      </c>
      <c r="N622" t="s">
        <v>15</v>
      </c>
    </row>
    <row r="623" spans="1:14" x14ac:dyDescent="0.25">
      <c r="A623">
        <v>14754</v>
      </c>
      <c r="B623" t="s">
        <v>35</v>
      </c>
      <c r="C623" t="s">
        <v>38</v>
      </c>
      <c r="D623" s="11">
        <v>40000</v>
      </c>
      <c r="E623">
        <v>1</v>
      </c>
      <c r="F623" t="s">
        <v>19</v>
      </c>
      <c r="G623" t="s">
        <v>20</v>
      </c>
      <c r="H623" t="s">
        <v>15</v>
      </c>
      <c r="I623">
        <v>1</v>
      </c>
      <c r="J623" t="s">
        <v>26</v>
      </c>
      <c r="K623" t="s">
        <v>31</v>
      </c>
      <c r="L623">
        <v>48</v>
      </c>
      <c r="M623" t="str">
        <f t="shared" si="9"/>
        <v>MIddleAge</v>
      </c>
      <c r="N623" t="s">
        <v>15</v>
      </c>
    </row>
    <row r="624" spans="1:14" x14ac:dyDescent="0.25">
      <c r="A624">
        <v>13687</v>
      </c>
      <c r="B624" t="s">
        <v>35</v>
      </c>
      <c r="C624" t="s">
        <v>38</v>
      </c>
      <c r="D624" s="11">
        <v>40000</v>
      </c>
      <c r="E624">
        <v>1</v>
      </c>
      <c r="F624" t="s">
        <v>13</v>
      </c>
      <c r="G624" t="s">
        <v>14</v>
      </c>
      <c r="H624" t="s">
        <v>15</v>
      </c>
      <c r="I624">
        <v>1</v>
      </c>
      <c r="J624" t="s">
        <v>16</v>
      </c>
      <c r="K624" t="s">
        <v>17</v>
      </c>
      <c r="L624">
        <v>33</v>
      </c>
      <c r="M624" t="str">
        <f t="shared" si="9"/>
        <v>MIddleAge</v>
      </c>
      <c r="N624" t="s">
        <v>15</v>
      </c>
    </row>
    <row r="625" spans="1:14" x14ac:dyDescent="0.25">
      <c r="A625">
        <v>12774</v>
      </c>
      <c r="B625" t="s">
        <v>35</v>
      </c>
      <c r="C625" t="s">
        <v>37</v>
      </c>
      <c r="D625" s="11">
        <v>40000</v>
      </c>
      <c r="E625">
        <v>1</v>
      </c>
      <c r="F625" t="s">
        <v>19</v>
      </c>
      <c r="G625" t="s">
        <v>20</v>
      </c>
      <c r="H625" t="s">
        <v>15</v>
      </c>
      <c r="I625">
        <v>1</v>
      </c>
      <c r="J625" t="s">
        <v>26</v>
      </c>
      <c r="K625" t="s">
        <v>31</v>
      </c>
      <c r="L625">
        <v>51</v>
      </c>
      <c r="M625" t="str">
        <f t="shared" si="9"/>
        <v>MIddleAge</v>
      </c>
      <c r="N625" t="s">
        <v>15</v>
      </c>
    </row>
    <row r="626" spans="1:14" x14ac:dyDescent="0.25">
      <c r="A626">
        <v>12510</v>
      </c>
      <c r="B626" t="s">
        <v>35</v>
      </c>
      <c r="C626" t="s">
        <v>38</v>
      </c>
      <c r="D626" s="11">
        <v>40000</v>
      </c>
      <c r="E626">
        <v>1</v>
      </c>
      <c r="F626" t="s">
        <v>13</v>
      </c>
      <c r="G626" t="s">
        <v>14</v>
      </c>
      <c r="H626" t="s">
        <v>15</v>
      </c>
      <c r="I626">
        <v>1</v>
      </c>
      <c r="J626" t="s">
        <v>16</v>
      </c>
      <c r="K626" t="s">
        <v>17</v>
      </c>
      <c r="L626">
        <v>43</v>
      </c>
      <c r="M626" t="str">
        <f t="shared" si="9"/>
        <v>MIddleAge</v>
      </c>
      <c r="N626" t="s">
        <v>15</v>
      </c>
    </row>
    <row r="627" spans="1:14" x14ac:dyDescent="0.25">
      <c r="A627">
        <v>12497</v>
      </c>
      <c r="B627" t="s">
        <v>35</v>
      </c>
      <c r="C627" t="s">
        <v>37</v>
      </c>
      <c r="D627" s="11">
        <v>40000</v>
      </c>
      <c r="E627">
        <v>1</v>
      </c>
      <c r="F627" t="s">
        <v>13</v>
      </c>
      <c r="G627" t="s">
        <v>14</v>
      </c>
      <c r="H627" t="s">
        <v>15</v>
      </c>
      <c r="I627">
        <v>0</v>
      </c>
      <c r="J627" t="s">
        <v>16</v>
      </c>
      <c r="K627" t="s">
        <v>17</v>
      </c>
      <c r="L627">
        <v>42</v>
      </c>
      <c r="M627" t="str">
        <f t="shared" si="9"/>
        <v>MIddleAge</v>
      </c>
      <c r="N627" t="s">
        <v>18</v>
      </c>
    </row>
    <row r="628" spans="1:14" x14ac:dyDescent="0.25">
      <c r="A628">
        <v>12496</v>
      </c>
      <c r="B628" t="s">
        <v>35</v>
      </c>
      <c r="C628" t="s">
        <v>37</v>
      </c>
      <c r="D628" s="11">
        <v>40000</v>
      </c>
      <c r="E628">
        <v>1</v>
      </c>
      <c r="F628" t="s">
        <v>13</v>
      </c>
      <c r="G628" t="s">
        <v>14</v>
      </c>
      <c r="H628" t="s">
        <v>15</v>
      </c>
      <c r="I628">
        <v>0</v>
      </c>
      <c r="J628" t="s">
        <v>16</v>
      </c>
      <c r="K628" t="s">
        <v>17</v>
      </c>
      <c r="L628">
        <v>42</v>
      </c>
      <c r="M628" t="str">
        <f t="shared" si="9"/>
        <v>MIddleAge</v>
      </c>
      <c r="N628" t="s">
        <v>18</v>
      </c>
    </row>
    <row r="629" spans="1:14" x14ac:dyDescent="0.25">
      <c r="A629">
        <v>11585</v>
      </c>
      <c r="B629" t="s">
        <v>35</v>
      </c>
      <c r="C629" t="s">
        <v>37</v>
      </c>
      <c r="D629" s="11">
        <v>40000</v>
      </c>
      <c r="E629">
        <v>1</v>
      </c>
      <c r="F629" t="s">
        <v>13</v>
      </c>
      <c r="G629" t="s">
        <v>14</v>
      </c>
      <c r="H629" t="s">
        <v>15</v>
      </c>
      <c r="I629">
        <v>0</v>
      </c>
      <c r="J629" t="s">
        <v>16</v>
      </c>
      <c r="K629" t="s">
        <v>17</v>
      </c>
      <c r="L629">
        <v>41</v>
      </c>
      <c r="M629" t="str">
        <f t="shared" si="9"/>
        <v>MIddleAge</v>
      </c>
      <c r="N629" t="s">
        <v>18</v>
      </c>
    </row>
    <row r="630" spans="1:14" x14ac:dyDescent="0.25">
      <c r="A630">
        <v>11555</v>
      </c>
      <c r="B630" t="s">
        <v>35</v>
      </c>
      <c r="C630" t="s">
        <v>37</v>
      </c>
      <c r="D630" s="11">
        <v>40000</v>
      </c>
      <c r="E630">
        <v>1</v>
      </c>
      <c r="F630" t="s">
        <v>13</v>
      </c>
      <c r="G630" t="s">
        <v>20</v>
      </c>
      <c r="H630" t="s">
        <v>15</v>
      </c>
      <c r="I630">
        <v>0</v>
      </c>
      <c r="J630" t="s">
        <v>16</v>
      </c>
      <c r="K630" t="s">
        <v>17</v>
      </c>
      <c r="L630">
        <v>80</v>
      </c>
      <c r="M630" t="str">
        <f t="shared" si="9"/>
        <v>Old</v>
      </c>
      <c r="N630" t="s">
        <v>18</v>
      </c>
    </row>
    <row r="631" spans="1:14" x14ac:dyDescent="0.25">
      <c r="A631">
        <v>28815</v>
      </c>
      <c r="B631" t="s">
        <v>35</v>
      </c>
      <c r="C631" t="s">
        <v>37</v>
      </c>
      <c r="D631" s="11">
        <v>50000</v>
      </c>
      <c r="E631">
        <v>1</v>
      </c>
      <c r="F631" t="s">
        <v>30</v>
      </c>
      <c r="G631" t="s">
        <v>14</v>
      </c>
      <c r="H631" t="s">
        <v>15</v>
      </c>
      <c r="I631">
        <v>0</v>
      </c>
      <c r="J631" t="s">
        <v>16</v>
      </c>
      <c r="K631" t="s">
        <v>31</v>
      </c>
      <c r="L631">
        <v>35</v>
      </c>
      <c r="M631" t="str">
        <f t="shared" si="9"/>
        <v>MIddleAge</v>
      </c>
      <c r="N631" t="s">
        <v>18</v>
      </c>
    </row>
    <row r="632" spans="1:14" x14ac:dyDescent="0.25">
      <c r="A632">
        <v>26298</v>
      </c>
      <c r="B632" t="s">
        <v>35</v>
      </c>
      <c r="C632" t="s">
        <v>37</v>
      </c>
      <c r="D632" s="11">
        <v>50000</v>
      </c>
      <c r="E632">
        <v>1</v>
      </c>
      <c r="F632" t="s">
        <v>13</v>
      </c>
      <c r="G632" t="s">
        <v>14</v>
      </c>
      <c r="H632" t="s">
        <v>15</v>
      </c>
      <c r="I632">
        <v>0</v>
      </c>
      <c r="J632" t="s">
        <v>22</v>
      </c>
      <c r="K632" t="s">
        <v>31</v>
      </c>
      <c r="L632">
        <v>34</v>
      </c>
      <c r="M632" t="str">
        <f t="shared" si="9"/>
        <v>MIddleAge</v>
      </c>
      <c r="N632" t="s">
        <v>15</v>
      </c>
    </row>
    <row r="633" spans="1:14" x14ac:dyDescent="0.25">
      <c r="A633">
        <v>25375</v>
      </c>
      <c r="B633" t="s">
        <v>35</v>
      </c>
      <c r="C633" t="s">
        <v>38</v>
      </c>
      <c r="D633" s="11">
        <v>50000</v>
      </c>
      <c r="E633">
        <v>1</v>
      </c>
      <c r="F633" t="s">
        <v>30</v>
      </c>
      <c r="G633" t="s">
        <v>14</v>
      </c>
      <c r="H633" t="s">
        <v>15</v>
      </c>
      <c r="I633">
        <v>0</v>
      </c>
      <c r="J633" t="s">
        <v>26</v>
      </c>
      <c r="K633" t="s">
        <v>31</v>
      </c>
      <c r="L633">
        <v>34</v>
      </c>
      <c r="M633" t="str">
        <f t="shared" si="9"/>
        <v>MIddleAge</v>
      </c>
      <c r="N633" t="s">
        <v>18</v>
      </c>
    </row>
    <row r="634" spans="1:14" x14ac:dyDescent="0.25">
      <c r="A634">
        <v>23144</v>
      </c>
      <c r="B634" t="s">
        <v>35</v>
      </c>
      <c r="C634" t="s">
        <v>38</v>
      </c>
      <c r="D634" s="11">
        <v>50000</v>
      </c>
      <c r="E634">
        <v>1</v>
      </c>
      <c r="F634" t="s">
        <v>13</v>
      </c>
      <c r="G634" t="s">
        <v>14</v>
      </c>
      <c r="H634" t="s">
        <v>15</v>
      </c>
      <c r="I634">
        <v>0</v>
      </c>
      <c r="J634" t="s">
        <v>16</v>
      </c>
      <c r="K634" t="s">
        <v>31</v>
      </c>
      <c r="L634">
        <v>34</v>
      </c>
      <c r="M634" t="str">
        <f t="shared" si="9"/>
        <v>MIddleAge</v>
      </c>
      <c r="N634" t="s">
        <v>15</v>
      </c>
    </row>
    <row r="635" spans="1:14" x14ac:dyDescent="0.25">
      <c r="A635">
        <v>21583</v>
      </c>
      <c r="B635" t="s">
        <v>35</v>
      </c>
      <c r="C635" t="s">
        <v>37</v>
      </c>
      <c r="D635" s="11">
        <v>50000</v>
      </c>
      <c r="E635">
        <v>1</v>
      </c>
      <c r="F635" t="s">
        <v>13</v>
      </c>
      <c r="G635" t="s">
        <v>14</v>
      </c>
      <c r="H635" t="s">
        <v>15</v>
      </c>
      <c r="I635">
        <v>0</v>
      </c>
      <c r="J635" t="s">
        <v>16</v>
      </c>
      <c r="K635" t="s">
        <v>31</v>
      </c>
      <c r="L635">
        <v>34</v>
      </c>
      <c r="M635" t="str">
        <f t="shared" si="9"/>
        <v>MIddleAge</v>
      </c>
      <c r="N635" t="s">
        <v>15</v>
      </c>
    </row>
    <row r="636" spans="1:14" x14ac:dyDescent="0.25">
      <c r="A636">
        <v>15468</v>
      </c>
      <c r="B636" t="s">
        <v>35</v>
      </c>
      <c r="C636" t="s">
        <v>37</v>
      </c>
      <c r="D636" s="11">
        <v>50000</v>
      </c>
      <c r="E636">
        <v>1</v>
      </c>
      <c r="F636" t="s">
        <v>13</v>
      </c>
      <c r="G636" t="s">
        <v>14</v>
      </c>
      <c r="H636" t="s">
        <v>15</v>
      </c>
      <c r="I636">
        <v>1</v>
      </c>
      <c r="J636" t="s">
        <v>16</v>
      </c>
      <c r="K636" t="s">
        <v>31</v>
      </c>
      <c r="L636">
        <v>35</v>
      </c>
      <c r="M636" t="str">
        <f t="shared" si="9"/>
        <v>MIddleAge</v>
      </c>
      <c r="N636" t="s">
        <v>18</v>
      </c>
    </row>
    <row r="637" spans="1:14" x14ac:dyDescent="0.25">
      <c r="A637">
        <v>15287</v>
      </c>
      <c r="B637" t="s">
        <v>36</v>
      </c>
      <c r="C637" t="s">
        <v>37</v>
      </c>
      <c r="D637" s="11">
        <v>50000</v>
      </c>
      <c r="E637">
        <v>1</v>
      </c>
      <c r="F637" t="s">
        <v>30</v>
      </c>
      <c r="G637" t="s">
        <v>14</v>
      </c>
      <c r="H637" t="s">
        <v>15</v>
      </c>
      <c r="I637">
        <v>0</v>
      </c>
      <c r="J637" t="s">
        <v>26</v>
      </c>
      <c r="K637" t="s">
        <v>31</v>
      </c>
      <c r="L637">
        <v>33</v>
      </c>
      <c r="M637" t="str">
        <f t="shared" si="9"/>
        <v>MIddleAge</v>
      </c>
      <c r="N637" t="s">
        <v>15</v>
      </c>
    </row>
    <row r="638" spans="1:14" x14ac:dyDescent="0.25">
      <c r="A638">
        <v>12882</v>
      </c>
      <c r="B638" t="s">
        <v>35</v>
      </c>
      <c r="C638" t="s">
        <v>38</v>
      </c>
      <c r="D638" s="11">
        <v>50000</v>
      </c>
      <c r="E638">
        <v>1</v>
      </c>
      <c r="F638" t="s">
        <v>30</v>
      </c>
      <c r="G638" t="s">
        <v>14</v>
      </c>
      <c r="H638" t="s">
        <v>15</v>
      </c>
      <c r="I638">
        <v>0</v>
      </c>
      <c r="J638" t="s">
        <v>16</v>
      </c>
      <c r="K638" t="s">
        <v>31</v>
      </c>
      <c r="L638">
        <v>33</v>
      </c>
      <c r="M638" t="str">
        <f t="shared" si="9"/>
        <v>MIddleAge</v>
      </c>
      <c r="N638" t="s">
        <v>15</v>
      </c>
    </row>
    <row r="639" spans="1:14" x14ac:dyDescent="0.25">
      <c r="A639">
        <v>11641</v>
      </c>
      <c r="B639" t="s">
        <v>35</v>
      </c>
      <c r="C639" t="s">
        <v>38</v>
      </c>
      <c r="D639" s="11">
        <v>50000</v>
      </c>
      <c r="E639">
        <v>1</v>
      </c>
      <c r="F639" t="s">
        <v>13</v>
      </c>
      <c r="G639" t="s">
        <v>14</v>
      </c>
      <c r="H639" t="s">
        <v>15</v>
      </c>
      <c r="I639">
        <v>0</v>
      </c>
      <c r="J639" t="s">
        <v>16</v>
      </c>
      <c r="K639" t="s">
        <v>31</v>
      </c>
      <c r="L639">
        <v>36</v>
      </c>
      <c r="M639" t="str">
        <f t="shared" si="9"/>
        <v>MIddleAge</v>
      </c>
      <c r="N639" t="s">
        <v>18</v>
      </c>
    </row>
    <row r="640" spans="1:14" x14ac:dyDescent="0.25">
      <c r="A640">
        <v>29298</v>
      </c>
      <c r="B640" t="s">
        <v>36</v>
      </c>
      <c r="C640" t="s">
        <v>37</v>
      </c>
      <c r="D640" s="11">
        <v>60000</v>
      </c>
      <c r="E640">
        <v>1</v>
      </c>
      <c r="F640" t="s">
        <v>19</v>
      </c>
      <c r="G640" t="s">
        <v>14</v>
      </c>
      <c r="H640" t="s">
        <v>15</v>
      </c>
      <c r="I640">
        <v>1</v>
      </c>
      <c r="J640" t="s">
        <v>23</v>
      </c>
      <c r="K640" t="s">
        <v>24</v>
      </c>
      <c r="L640">
        <v>46</v>
      </c>
      <c r="M640" t="str">
        <f t="shared" si="9"/>
        <v>MIddleAge</v>
      </c>
      <c r="N640" t="s">
        <v>15</v>
      </c>
    </row>
    <row r="641" spans="1:14" x14ac:dyDescent="0.25">
      <c r="A641">
        <v>29143</v>
      </c>
      <c r="B641" t="s">
        <v>36</v>
      </c>
      <c r="C641" t="s">
        <v>37</v>
      </c>
      <c r="D641" s="11">
        <v>60000</v>
      </c>
      <c r="E641">
        <v>1</v>
      </c>
      <c r="F641" t="s">
        <v>13</v>
      </c>
      <c r="G641" t="s">
        <v>21</v>
      </c>
      <c r="H641" t="s">
        <v>18</v>
      </c>
      <c r="I641">
        <v>1</v>
      </c>
      <c r="J641" t="s">
        <v>16</v>
      </c>
      <c r="K641" t="s">
        <v>31</v>
      </c>
      <c r="L641">
        <v>44</v>
      </c>
      <c r="M641" t="str">
        <f t="shared" si="9"/>
        <v>MIddleAge</v>
      </c>
      <c r="N641" t="s">
        <v>15</v>
      </c>
    </row>
    <row r="642" spans="1:14" x14ac:dyDescent="0.25">
      <c r="A642">
        <v>28319</v>
      </c>
      <c r="B642" t="s">
        <v>36</v>
      </c>
      <c r="C642" t="s">
        <v>37</v>
      </c>
      <c r="D642" s="11">
        <v>60000</v>
      </c>
      <c r="E642">
        <v>1</v>
      </c>
      <c r="F642" t="s">
        <v>19</v>
      </c>
      <c r="G642" t="s">
        <v>14</v>
      </c>
      <c r="H642" t="s">
        <v>18</v>
      </c>
      <c r="I642">
        <v>1</v>
      </c>
      <c r="J642" t="s">
        <v>16</v>
      </c>
      <c r="K642" t="s">
        <v>24</v>
      </c>
      <c r="L642">
        <v>46</v>
      </c>
      <c r="M642" t="str">
        <f t="shared" ref="M642:M705" si="10">IF(L642&gt; 54, "Old",IF(L642&gt;= 31, "MIddleAge",IF(L642&lt;31, "Adolescent", "Adult")))</f>
        <v>MIddleAge</v>
      </c>
      <c r="N642" t="s">
        <v>15</v>
      </c>
    </row>
    <row r="643" spans="1:14" x14ac:dyDescent="0.25">
      <c r="A643">
        <v>27696</v>
      </c>
      <c r="B643" t="s">
        <v>35</v>
      </c>
      <c r="C643" t="s">
        <v>38</v>
      </c>
      <c r="D643" s="11">
        <v>60000</v>
      </c>
      <c r="E643">
        <v>1</v>
      </c>
      <c r="F643" t="s">
        <v>13</v>
      </c>
      <c r="G643" t="s">
        <v>21</v>
      </c>
      <c r="H643" t="s">
        <v>15</v>
      </c>
      <c r="I643">
        <v>1</v>
      </c>
      <c r="J643" t="s">
        <v>23</v>
      </c>
      <c r="K643" t="s">
        <v>24</v>
      </c>
      <c r="L643">
        <v>43</v>
      </c>
      <c r="M643" t="str">
        <f t="shared" si="10"/>
        <v>MIddleAge</v>
      </c>
      <c r="N643" t="s">
        <v>15</v>
      </c>
    </row>
    <row r="644" spans="1:14" x14ac:dyDescent="0.25">
      <c r="A644">
        <v>27090</v>
      </c>
      <c r="B644" t="s">
        <v>35</v>
      </c>
      <c r="C644" t="s">
        <v>37</v>
      </c>
      <c r="D644" s="11">
        <v>60000</v>
      </c>
      <c r="E644">
        <v>1</v>
      </c>
      <c r="F644" t="s">
        <v>30</v>
      </c>
      <c r="G644" t="s">
        <v>21</v>
      </c>
      <c r="H644" t="s">
        <v>15</v>
      </c>
      <c r="I644">
        <v>0</v>
      </c>
      <c r="J644" t="s">
        <v>22</v>
      </c>
      <c r="K644" t="s">
        <v>31</v>
      </c>
      <c r="L644">
        <v>37</v>
      </c>
      <c r="M644" t="str">
        <f t="shared" si="10"/>
        <v>MIddleAge</v>
      </c>
      <c r="N644" t="s">
        <v>15</v>
      </c>
    </row>
    <row r="645" spans="1:14" x14ac:dyDescent="0.25">
      <c r="A645">
        <v>26154</v>
      </c>
      <c r="B645" t="s">
        <v>35</v>
      </c>
      <c r="C645" t="s">
        <v>38</v>
      </c>
      <c r="D645" s="11">
        <v>60000</v>
      </c>
      <c r="E645">
        <v>1</v>
      </c>
      <c r="F645" t="s">
        <v>19</v>
      </c>
      <c r="G645" t="s">
        <v>14</v>
      </c>
      <c r="H645" t="s">
        <v>15</v>
      </c>
      <c r="I645">
        <v>1</v>
      </c>
      <c r="J645" t="s">
        <v>23</v>
      </c>
      <c r="K645" t="s">
        <v>24</v>
      </c>
      <c r="L645">
        <v>43</v>
      </c>
      <c r="M645" t="str">
        <f t="shared" si="10"/>
        <v>MIddleAge</v>
      </c>
      <c r="N645" t="s">
        <v>15</v>
      </c>
    </row>
    <row r="646" spans="1:14" x14ac:dyDescent="0.25">
      <c r="A646">
        <v>26139</v>
      </c>
      <c r="B646" t="s">
        <v>36</v>
      </c>
      <c r="C646" t="s">
        <v>38</v>
      </c>
      <c r="D646" s="11">
        <v>60000</v>
      </c>
      <c r="E646">
        <v>1</v>
      </c>
      <c r="F646" t="s">
        <v>19</v>
      </c>
      <c r="G646" t="s">
        <v>14</v>
      </c>
      <c r="H646" t="s">
        <v>15</v>
      </c>
      <c r="I646">
        <v>1</v>
      </c>
      <c r="J646" t="s">
        <v>23</v>
      </c>
      <c r="K646" t="s">
        <v>24</v>
      </c>
      <c r="L646">
        <v>45</v>
      </c>
      <c r="M646" t="str">
        <f t="shared" si="10"/>
        <v>MIddleAge</v>
      </c>
      <c r="N646" t="s">
        <v>18</v>
      </c>
    </row>
    <row r="647" spans="1:14" x14ac:dyDescent="0.25">
      <c r="A647">
        <v>25394</v>
      </c>
      <c r="B647" t="s">
        <v>35</v>
      </c>
      <c r="C647" t="s">
        <v>38</v>
      </c>
      <c r="D647" s="11">
        <v>60000</v>
      </c>
      <c r="E647">
        <v>1</v>
      </c>
      <c r="F647" t="s">
        <v>30</v>
      </c>
      <c r="G647" t="s">
        <v>21</v>
      </c>
      <c r="H647" t="s">
        <v>15</v>
      </c>
      <c r="I647">
        <v>0</v>
      </c>
      <c r="J647" t="s">
        <v>22</v>
      </c>
      <c r="K647" t="s">
        <v>31</v>
      </c>
      <c r="L647">
        <v>34</v>
      </c>
      <c r="M647" t="str">
        <f t="shared" si="10"/>
        <v>MIddleAge</v>
      </c>
      <c r="N647" t="s">
        <v>15</v>
      </c>
    </row>
    <row r="648" spans="1:14" x14ac:dyDescent="0.25">
      <c r="A648">
        <v>24801</v>
      </c>
      <c r="B648" t="s">
        <v>36</v>
      </c>
      <c r="C648" t="s">
        <v>38</v>
      </c>
      <c r="D648" s="11">
        <v>60000</v>
      </c>
      <c r="E648">
        <v>1</v>
      </c>
      <c r="F648" t="s">
        <v>30</v>
      </c>
      <c r="G648" t="s">
        <v>21</v>
      </c>
      <c r="H648" t="s">
        <v>15</v>
      </c>
      <c r="I648">
        <v>0</v>
      </c>
      <c r="J648" t="s">
        <v>22</v>
      </c>
      <c r="K648" t="s">
        <v>31</v>
      </c>
      <c r="L648">
        <v>35</v>
      </c>
      <c r="M648" t="str">
        <f t="shared" si="10"/>
        <v>MIddleAge</v>
      </c>
      <c r="N648" t="s">
        <v>15</v>
      </c>
    </row>
    <row r="649" spans="1:14" x14ac:dyDescent="0.25">
      <c r="A649">
        <v>24466</v>
      </c>
      <c r="B649" t="s">
        <v>35</v>
      </c>
      <c r="C649" t="s">
        <v>37</v>
      </c>
      <c r="D649" s="11">
        <v>60000</v>
      </c>
      <c r="E649">
        <v>1</v>
      </c>
      <c r="F649" t="s">
        <v>19</v>
      </c>
      <c r="G649" t="s">
        <v>14</v>
      </c>
      <c r="H649" t="s">
        <v>15</v>
      </c>
      <c r="I649">
        <v>1</v>
      </c>
      <c r="J649" t="s">
        <v>23</v>
      </c>
      <c r="K649" t="s">
        <v>24</v>
      </c>
      <c r="L649">
        <v>46</v>
      </c>
      <c r="M649" t="str">
        <f t="shared" si="10"/>
        <v>MIddleAge</v>
      </c>
      <c r="N649" t="s">
        <v>15</v>
      </c>
    </row>
    <row r="650" spans="1:14" x14ac:dyDescent="0.25">
      <c r="A650">
        <v>23542</v>
      </c>
      <c r="B650" t="s">
        <v>36</v>
      </c>
      <c r="C650" t="s">
        <v>38</v>
      </c>
      <c r="D650" s="11">
        <v>60000</v>
      </c>
      <c r="E650">
        <v>1</v>
      </c>
      <c r="F650" t="s">
        <v>19</v>
      </c>
      <c r="G650" t="s">
        <v>14</v>
      </c>
      <c r="H650" t="s">
        <v>18</v>
      </c>
      <c r="I650">
        <v>1</v>
      </c>
      <c r="J650" t="s">
        <v>16</v>
      </c>
      <c r="K650" t="s">
        <v>24</v>
      </c>
      <c r="L650">
        <v>45</v>
      </c>
      <c r="M650" t="str">
        <f t="shared" si="10"/>
        <v>MIddleAge</v>
      </c>
      <c r="N650" t="s">
        <v>15</v>
      </c>
    </row>
    <row r="651" spans="1:14" x14ac:dyDescent="0.25">
      <c r="A651">
        <v>23158</v>
      </c>
      <c r="B651" t="s">
        <v>35</v>
      </c>
      <c r="C651" t="s">
        <v>37</v>
      </c>
      <c r="D651" s="11">
        <v>60000</v>
      </c>
      <c r="E651">
        <v>1</v>
      </c>
      <c r="F651" t="s">
        <v>30</v>
      </c>
      <c r="G651" t="s">
        <v>21</v>
      </c>
      <c r="H651" t="s">
        <v>18</v>
      </c>
      <c r="I651">
        <v>0</v>
      </c>
      <c r="J651" t="s">
        <v>16</v>
      </c>
      <c r="K651" t="s">
        <v>31</v>
      </c>
      <c r="L651">
        <v>35</v>
      </c>
      <c r="M651" t="str">
        <f t="shared" si="10"/>
        <v>MIddleAge</v>
      </c>
      <c r="N651" t="s">
        <v>15</v>
      </c>
    </row>
    <row r="652" spans="1:14" x14ac:dyDescent="0.25">
      <c r="A652">
        <v>22936</v>
      </c>
      <c r="B652" t="s">
        <v>36</v>
      </c>
      <c r="C652" t="s">
        <v>37</v>
      </c>
      <c r="D652" s="11">
        <v>60000</v>
      </c>
      <c r="E652">
        <v>1</v>
      </c>
      <c r="F652" t="s">
        <v>19</v>
      </c>
      <c r="G652" t="s">
        <v>14</v>
      </c>
      <c r="H652" t="s">
        <v>18</v>
      </c>
      <c r="I652">
        <v>1</v>
      </c>
      <c r="J652" t="s">
        <v>16</v>
      </c>
      <c r="K652" t="s">
        <v>24</v>
      </c>
      <c r="L652">
        <v>45</v>
      </c>
      <c r="M652" t="str">
        <f t="shared" si="10"/>
        <v>MIddleAge</v>
      </c>
      <c r="N652" t="s">
        <v>15</v>
      </c>
    </row>
    <row r="653" spans="1:14" x14ac:dyDescent="0.25">
      <c r="A653">
        <v>22252</v>
      </c>
      <c r="B653" t="s">
        <v>36</v>
      </c>
      <c r="C653" t="s">
        <v>37</v>
      </c>
      <c r="D653" s="11">
        <v>60000</v>
      </c>
      <c r="E653">
        <v>1</v>
      </c>
      <c r="F653" t="s">
        <v>30</v>
      </c>
      <c r="G653" t="s">
        <v>21</v>
      </c>
      <c r="H653" t="s">
        <v>15</v>
      </c>
      <c r="I653">
        <v>0</v>
      </c>
      <c r="J653" t="s">
        <v>22</v>
      </c>
      <c r="K653" t="s">
        <v>31</v>
      </c>
      <c r="L653">
        <v>36</v>
      </c>
      <c r="M653" t="str">
        <f t="shared" si="10"/>
        <v>MIddleAge</v>
      </c>
      <c r="N653" t="s">
        <v>15</v>
      </c>
    </row>
    <row r="654" spans="1:14" x14ac:dyDescent="0.25">
      <c r="A654">
        <v>21980</v>
      </c>
      <c r="B654" t="s">
        <v>36</v>
      </c>
      <c r="C654" t="s">
        <v>37</v>
      </c>
      <c r="D654" s="11">
        <v>60000</v>
      </c>
      <c r="E654">
        <v>1</v>
      </c>
      <c r="F654" t="s">
        <v>13</v>
      </c>
      <c r="G654" t="s">
        <v>21</v>
      </c>
      <c r="H654" t="s">
        <v>15</v>
      </c>
      <c r="I654">
        <v>1</v>
      </c>
      <c r="J654" t="s">
        <v>23</v>
      </c>
      <c r="K654" t="s">
        <v>24</v>
      </c>
      <c r="L654">
        <v>44</v>
      </c>
      <c r="M654" t="str">
        <f t="shared" si="10"/>
        <v>MIddleAge</v>
      </c>
      <c r="N654" t="s">
        <v>15</v>
      </c>
    </row>
    <row r="655" spans="1:14" x14ac:dyDescent="0.25">
      <c r="A655">
        <v>21599</v>
      </c>
      <c r="B655" t="s">
        <v>35</v>
      </c>
      <c r="C655" t="s">
        <v>37</v>
      </c>
      <c r="D655" s="11">
        <v>60000</v>
      </c>
      <c r="E655">
        <v>1</v>
      </c>
      <c r="F655" t="s">
        <v>30</v>
      </c>
      <c r="G655" t="s">
        <v>21</v>
      </c>
      <c r="H655" t="s">
        <v>15</v>
      </c>
      <c r="I655">
        <v>0</v>
      </c>
      <c r="J655" t="s">
        <v>22</v>
      </c>
      <c r="K655" t="s">
        <v>31</v>
      </c>
      <c r="L655">
        <v>36</v>
      </c>
      <c r="M655" t="str">
        <f t="shared" si="10"/>
        <v>MIddleAge</v>
      </c>
      <c r="N655" t="s">
        <v>15</v>
      </c>
    </row>
    <row r="656" spans="1:14" x14ac:dyDescent="0.25">
      <c r="A656">
        <v>21587</v>
      </c>
      <c r="B656" t="s">
        <v>35</v>
      </c>
      <c r="C656" t="s">
        <v>37</v>
      </c>
      <c r="D656" s="11">
        <v>60000</v>
      </c>
      <c r="E656">
        <v>1</v>
      </c>
      <c r="F656" t="s">
        <v>30</v>
      </c>
      <c r="G656" t="s">
        <v>14</v>
      </c>
      <c r="H656" t="s">
        <v>15</v>
      </c>
      <c r="I656">
        <v>0</v>
      </c>
      <c r="J656" t="s">
        <v>22</v>
      </c>
      <c r="K656" t="s">
        <v>31</v>
      </c>
      <c r="L656">
        <v>34</v>
      </c>
      <c r="M656" t="str">
        <f t="shared" si="10"/>
        <v>MIddleAge</v>
      </c>
      <c r="N656" t="s">
        <v>15</v>
      </c>
    </row>
    <row r="657" spans="1:14" x14ac:dyDescent="0.25">
      <c r="A657">
        <v>21207</v>
      </c>
      <c r="B657" t="s">
        <v>35</v>
      </c>
      <c r="C657" t="s">
        <v>38</v>
      </c>
      <c r="D657" s="11">
        <v>60000</v>
      </c>
      <c r="E657">
        <v>1</v>
      </c>
      <c r="F657" t="s">
        <v>19</v>
      </c>
      <c r="G657" t="s">
        <v>14</v>
      </c>
      <c r="H657" t="s">
        <v>15</v>
      </c>
      <c r="I657">
        <v>1</v>
      </c>
      <c r="J657" t="s">
        <v>23</v>
      </c>
      <c r="K657" t="s">
        <v>24</v>
      </c>
      <c r="L657">
        <v>46</v>
      </c>
      <c r="M657" t="str">
        <f t="shared" si="10"/>
        <v>MIddleAge</v>
      </c>
      <c r="N657" t="s">
        <v>18</v>
      </c>
    </row>
    <row r="658" spans="1:14" x14ac:dyDescent="0.25">
      <c r="A658">
        <v>20196</v>
      </c>
      <c r="B658" t="s">
        <v>35</v>
      </c>
      <c r="C658" t="s">
        <v>38</v>
      </c>
      <c r="D658" s="11">
        <v>60000</v>
      </c>
      <c r="E658">
        <v>1</v>
      </c>
      <c r="F658" t="s">
        <v>19</v>
      </c>
      <c r="G658" t="s">
        <v>14</v>
      </c>
      <c r="H658" t="s">
        <v>15</v>
      </c>
      <c r="I658">
        <v>1</v>
      </c>
      <c r="J658" t="s">
        <v>22</v>
      </c>
      <c r="K658" t="s">
        <v>31</v>
      </c>
      <c r="L658">
        <v>45</v>
      </c>
      <c r="M658" t="str">
        <f t="shared" si="10"/>
        <v>MIddleAge</v>
      </c>
      <c r="N658" t="s">
        <v>15</v>
      </c>
    </row>
    <row r="659" spans="1:14" x14ac:dyDescent="0.25">
      <c r="A659">
        <v>20000</v>
      </c>
      <c r="B659" t="s">
        <v>35</v>
      </c>
      <c r="C659" t="s">
        <v>38</v>
      </c>
      <c r="D659" s="11">
        <v>60000</v>
      </c>
      <c r="E659">
        <v>1</v>
      </c>
      <c r="F659" t="s">
        <v>30</v>
      </c>
      <c r="G659" t="s">
        <v>21</v>
      </c>
      <c r="H659" t="s">
        <v>15</v>
      </c>
      <c r="I659">
        <v>0</v>
      </c>
      <c r="J659" t="s">
        <v>16</v>
      </c>
      <c r="K659" t="s">
        <v>31</v>
      </c>
      <c r="L659">
        <v>35</v>
      </c>
      <c r="M659" t="str">
        <f t="shared" si="10"/>
        <v>MIddleAge</v>
      </c>
      <c r="N659" t="s">
        <v>15</v>
      </c>
    </row>
    <row r="660" spans="1:14" x14ac:dyDescent="0.25">
      <c r="A660">
        <v>19117</v>
      </c>
      <c r="B660" t="s">
        <v>36</v>
      </c>
      <c r="C660" t="s">
        <v>37</v>
      </c>
      <c r="D660" s="11">
        <v>60000</v>
      </c>
      <c r="E660">
        <v>1</v>
      </c>
      <c r="F660" t="s">
        <v>30</v>
      </c>
      <c r="G660" t="s">
        <v>21</v>
      </c>
      <c r="H660" t="s">
        <v>15</v>
      </c>
      <c r="I660">
        <v>0</v>
      </c>
      <c r="J660" t="s">
        <v>22</v>
      </c>
      <c r="K660" t="s">
        <v>31</v>
      </c>
      <c r="L660">
        <v>36</v>
      </c>
      <c r="M660" t="str">
        <f t="shared" si="10"/>
        <v>MIddleAge</v>
      </c>
      <c r="N660" t="s">
        <v>15</v>
      </c>
    </row>
    <row r="661" spans="1:14" x14ac:dyDescent="0.25">
      <c r="A661">
        <v>18052</v>
      </c>
      <c r="B661" t="s">
        <v>35</v>
      </c>
      <c r="C661" t="s">
        <v>37</v>
      </c>
      <c r="D661" s="11">
        <v>60000</v>
      </c>
      <c r="E661">
        <v>1</v>
      </c>
      <c r="F661" t="s">
        <v>19</v>
      </c>
      <c r="G661" t="s">
        <v>14</v>
      </c>
      <c r="H661" t="s">
        <v>15</v>
      </c>
      <c r="I661">
        <v>1</v>
      </c>
      <c r="J661" t="s">
        <v>16</v>
      </c>
      <c r="K661" t="s">
        <v>31</v>
      </c>
      <c r="L661">
        <v>45</v>
      </c>
      <c r="M661" t="str">
        <f t="shared" si="10"/>
        <v>MIddleAge</v>
      </c>
      <c r="N661" t="s">
        <v>15</v>
      </c>
    </row>
    <row r="662" spans="1:14" x14ac:dyDescent="0.25">
      <c r="A662">
        <v>18050</v>
      </c>
      <c r="B662" t="s">
        <v>35</v>
      </c>
      <c r="C662" t="s">
        <v>37</v>
      </c>
      <c r="D662" s="11">
        <v>60000</v>
      </c>
      <c r="E662">
        <v>1</v>
      </c>
      <c r="F662" t="s">
        <v>19</v>
      </c>
      <c r="G662" t="s">
        <v>14</v>
      </c>
      <c r="H662" t="s">
        <v>15</v>
      </c>
      <c r="I662">
        <v>1</v>
      </c>
      <c r="J662" t="s">
        <v>16</v>
      </c>
      <c r="K662" t="s">
        <v>31</v>
      </c>
      <c r="L662">
        <v>45</v>
      </c>
      <c r="M662" t="str">
        <f t="shared" si="10"/>
        <v>MIddleAge</v>
      </c>
      <c r="N662" t="s">
        <v>15</v>
      </c>
    </row>
    <row r="663" spans="1:14" x14ac:dyDescent="0.25">
      <c r="A663">
        <v>17864</v>
      </c>
      <c r="B663" t="s">
        <v>35</v>
      </c>
      <c r="C663" t="s">
        <v>37</v>
      </c>
      <c r="D663" s="11">
        <v>60000</v>
      </c>
      <c r="E663">
        <v>1</v>
      </c>
      <c r="F663" t="s">
        <v>19</v>
      </c>
      <c r="G663" t="s">
        <v>14</v>
      </c>
      <c r="H663" t="s">
        <v>15</v>
      </c>
      <c r="I663">
        <v>1</v>
      </c>
      <c r="J663" t="s">
        <v>22</v>
      </c>
      <c r="K663" t="s">
        <v>31</v>
      </c>
      <c r="L663">
        <v>46</v>
      </c>
      <c r="M663" t="str">
        <f t="shared" si="10"/>
        <v>MIddleAge</v>
      </c>
      <c r="N663" t="s">
        <v>15</v>
      </c>
    </row>
    <row r="664" spans="1:14" x14ac:dyDescent="0.25">
      <c r="A664">
        <v>17699</v>
      </c>
      <c r="B664" t="s">
        <v>35</v>
      </c>
      <c r="C664" t="s">
        <v>38</v>
      </c>
      <c r="D664" s="11">
        <v>60000</v>
      </c>
      <c r="E664">
        <v>1</v>
      </c>
      <c r="F664" t="s">
        <v>30</v>
      </c>
      <c r="G664" t="s">
        <v>14</v>
      </c>
      <c r="H664" t="s">
        <v>18</v>
      </c>
      <c r="I664">
        <v>0</v>
      </c>
      <c r="J664" t="s">
        <v>16</v>
      </c>
      <c r="K664" t="s">
        <v>31</v>
      </c>
      <c r="L664">
        <v>55</v>
      </c>
      <c r="M664" t="str">
        <f t="shared" si="10"/>
        <v>Old</v>
      </c>
      <c r="N664" t="s">
        <v>18</v>
      </c>
    </row>
    <row r="665" spans="1:14" x14ac:dyDescent="0.25">
      <c r="A665">
        <v>17310</v>
      </c>
      <c r="B665" t="s">
        <v>35</v>
      </c>
      <c r="C665" t="s">
        <v>38</v>
      </c>
      <c r="D665" s="11">
        <v>60000</v>
      </c>
      <c r="E665">
        <v>1</v>
      </c>
      <c r="F665" t="s">
        <v>19</v>
      </c>
      <c r="G665" t="s">
        <v>14</v>
      </c>
      <c r="H665" t="s">
        <v>15</v>
      </c>
      <c r="I665">
        <v>1</v>
      </c>
      <c r="J665" t="s">
        <v>16</v>
      </c>
      <c r="K665" t="s">
        <v>24</v>
      </c>
      <c r="L665">
        <v>45</v>
      </c>
      <c r="M665" t="str">
        <f t="shared" si="10"/>
        <v>MIddleAge</v>
      </c>
      <c r="N665" t="s">
        <v>15</v>
      </c>
    </row>
    <row r="666" spans="1:14" x14ac:dyDescent="0.25">
      <c r="A666">
        <v>16773</v>
      </c>
      <c r="B666" t="s">
        <v>35</v>
      </c>
      <c r="C666" t="s">
        <v>38</v>
      </c>
      <c r="D666" s="11">
        <v>60000</v>
      </c>
      <c r="E666">
        <v>1</v>
      </c>
      <c r="F666" t="s">
        <v>30</v>
      </c>
      <c r="G666" t="s">
        <v>14</v>
      </c>
      <c r="H666" t="s">
        <v>15</v>
      </c>
      <c r="I666">
        <v>0</v>
      </c>
      <c r="J666" t="s">
        <v>16</v>
      </c>
      <c r="K666" t="s">
        <v>31</v>
      </c>
      <c r="L666">
        <v>33</v>
      </c>
      <c r="M666" t="str">
        <f t="shared" si="10"/>
        <v>MIddleAge</v>
      </c>
      <c r="N666" t="s">
        <v>18</v>
      </c>
    </row>
    <row r="667" spans="1:14" x14ac:dyDescent="0.25">
      <c r="A667">
        <v>16151</v>
      </c>
      <c r="B667" t="s">
        <v>35</v>
      </c>
      <c r="C667" t="s">
        <v>37</v>
      </c>
      <c r="D667" s="11">
        <v>60000</v>
      </c>
      <c r="E667">
        <v>1</v>
      </c>
      <c r="F667" t="s">
        <v>13</v>
      </c>
      <c r="G667" t="s">
        <v>21</v>
      </c>
      <c r="H667" t="s">
        <v>15</v>
      </c>
      <c r="I667">
        <v>1</v>
      </c>
      <c r="J667" t="s">
        <v>22</v>
      </c>
      <c r="K667" t="s">
        <v>31</v>
      </c>
      <c r="L667">
        <v>48</v>
      </c>
      <c r="M667" t="str">
        <f t="shared" si="10"/>
        <v>MIddleAge</v>
      </c>
      <c r="N667" t="s">
        <v>15</v>
      </c>
    </row>
    <row r="668" spans="1:14" x14ac:dyDescent="0.25">
      <c r="A668">
        <v>15555</v>
      </c>
      <c r="B668" t="s">
        <v>35</v>
      </c>
      <c r="C668" t="s">
        <v>37</v>
      </c>
      <c r="D668" s="11">
        <v>60000</v>
      </c>
      <c r="E668">
        <v>1</v>
      </c>
      <c r="F668" t="s">
        <v>19</v>
      </c>
      <c r="G668" t="s">
        <v>14</v>
      </c>
      <c r="H668" t="s">
        <v>15</v>
      </c>
      <c r="I668">
        <v>1</v>
      </c>
      <c r="J668" t="s">
        <v>22</v>
      </c>
      <c r="K668" t="s">
        <v>31</v>
      </c>
      <c r="L668">
        <v>45</v>
      </c>
      <c r="M668" t="str">
        <f t="shared" si="10"/>
        <v>MIddleAge</v>
      </c>
      <c r="N668" t="s">
        <v>15</v>
      </c>
    </row>
    <row r="669" spans="1:14" x14ac:dyDescent="0.25">
      <c r="A669">
        <v>15292</v>
      </c>
      <c r="B669" t="s">
        <v>36</v>
      </c>
      <c r="C669" t="s">
        <v>37</v>
      </c>
      <c r="D669" s="11">
        <v>60000</v>
      </c>
      <c r="E669">
        <v>1</v>
      </c>
      <c r="F669" t="s">
        <v>30</v>
      </c>
      <c r="G669" t="s">
        <v>14</v>
      </c>
      <c r="H669" t="s">
        <v>15</v>
      </c>
      <c r="I669">
        <v>0</v>
      </c>
      <c r="J669" t="s">
        <v>26</v>
      </c>
      <c r="K669" t="s">
        <v>31</v>
      </c>
      <c r="L669">
        <v>35</v>
      </c>
      <c r="M669" t="str">
        <f t="shared" si="10"/>
        <v>MIddleAge</v>
      </c>
      <c r="N669" t="s">
        <v>18</v>
      </c>
    </row>
    <row r="670" spans="1:14" x14ac:dyDescent="0.25">
      <c r="A670">
        <v>14662</v>
      </c>
      <c r="B670" t="s">
        <v>35</v>
      </c>
      <c r="C670" t="s">
        <v>38</v>
      </c>
      <c r="D670" s="11">
        <v>60000</v>
      </c>
      <c r="E670">
        <v>1</v>
      </c>
      <c r="F670" t="s">
        <v>13</v>
      </c>
      <c r="G670" t="s">
        <v>21</v>
      </c>
      <c r="H670" t="s">
        <v>15</v>
      </c>
      <c r="I670">
        <v>1</v>
      </c>
      <c r="J670" t="s">
        <v>16</v>
      </c>
      <c r="K670" t="s">
        <v>31</v>
      </c>
      <c r="L670">
        <v>48</v>
      </c>
      <c r="M670" t="str">
        <f t="shared" si="10"/>
        <v>MIddleAge</v>
      </c>
      <c r="N670" t="s">
        <v>15</v>
      </c>
    </row>
    <row r="671" spans="1:14" x14ac:dyDescent="0.25">
      <c r="A671">
        <v>14633</v>
      </c>
      <c r="B671" t="s">
        <v>35</v>
      </c>
      <c r="C671" t="s">
        <v>38</v>
      </c>
      <c r="D671" s="11">
        <v>60000</v>
      </c>
      <c r="E671">
        <v>1</v>
      </c>
      <c r="F671" t="s">
        <v>19</v>
      </c>
      <c r="G671" t="s">
        <v>14</v>
      </c>
      <c r="H671" t="s">
        <v>15</v>
      </c>
      <c r="I671">
        <v>1</v>
      </c>
      <c r="J671" t="s">
        <v>22</v>
      </c>
      <c r="K671" t="s">
        <v>31</v>
      </c>
      <c r="L671">
        <v>44</v>
      </c>
      <c r="M671" t="str">
        <f t="shared" si="10"/>
        <v>MIddleAge</v>
      </c>
      <c r="N671" t="s">
        <v>18</v>
      </c>
    </row>
    <row r="672" spans="1:14" x14ac:dyDescent="0.25">
      <c r="A672">
        <v>14569</v>
      </c>
      <c r="B672" t="s">
        <v>35</v>
      </c>
      <c r="C672" t="s">
        <v>38</v>
      </c>
      <c r="D672" s="11">
        <v>60000</v>
      </c>
      <c r="E672">
        <v>1</v>
      </c>
      <c r="F672" t="s">
        <v>30</v>
      </c>
      <c r="G672" t="s">
        <v>21</v>
      </c>
      <c r="H672" t="s">
        <v>15</v>
      </c>
      <c r="I672">
        <v>0</v>
      </c>
      <c r="J672" t="s">
        <v>16</v>
      </c>
      <c r="K672" t="s">
        <v>31</v>
      </c>
      <c r="L672">
        <v>35</v>
      </c>
      <c r="M672" t="str">
        <f t="shared" si="10"/>
        <v>MIddleAge</v>
      </c>
      <c r="N672" t="s">
        <v>18</v>
      </c>
    </row>
    <row r="673" spans="1:14" x14ac:dyDescent="0.25">
      <c r="A673">
        <v>14312</v>
      </c>
      <c r="B673" t="s">
        <v>35</v>
      </c>
      <c r="C673" t="s">
        <v>37</v>
      </c>
      <c r="D673" s="11">
        <v>60000</v>
      </c>
      <c r="E673">
        <v>1</v>
      </c>
      <c r="F673" t="s">
        <v>19</v>
      </c>
      <c r="G673" t="s">
        <v>14</v>
      </c>
      <c r="H673" t="s">
        <v>15</v>
      </c>
      <c r="I673">
        <v>1</v>
      </c>
      <c r="J673" t="s">
        <v>23</v>
      </c>
      <c r="K673" t="s">
        <v>24</v>
      </c>
      <c r="L673">
        <v>45</v>
      </c>
      <c r="M673" t="str">
        <f t="shared" si="10"/>
        <v>MIddleAge</v>
      </c>
      <c r="N673" t="s">
        <v>18</v>
      </c>
    </row>
    <row r="674" spans="1:14" x14ac:dyDescent="0.25">
      <c r="A674">
        <v>13942</v>
      </c>
      <c r="B674" t="s">
        <v>35</v>
      </c>
      <c r="C674" t="s">
        <v>38</v>
      </c>
      <c r="D674" s="11">
        <v>60000</v>
      </c>
      <c r="E674">
        <v>1</v>
      </c>
      <c r="F674" t="s">
        <v>19</v>
      </c>
      <c r="G674" t="s">
        <v>14</v>
      </c>
      <c r="H674" t="s">
        <v>15</v>
      </c>
      <c r="I674">
        <v>1</v>
      </c>
      <c r="J674" t="s">
        <v>16</v>
      </c>
      <c r="K674" t="s">
        <v>31</v>
      </c>
      <c r="L674">
        <v>46</v>
      </c>
      <c r="M674" t="str">
        <f t="shared" si="10"/>
        <v>MIddleAge</v>
      </c>
      <c r="N674" t="s">
        <v>18</v>
      </c>
    </row>
    <row r="675" spans="1:14" x14ac:dyDescent="0.25">
      <c r="A675">
        <v>11801</v>
      </c>
      <c r="B675" t="s">
        <v>35</v>
      </c>
      <c r="C675" t="s">
        <v>38</v>
      </c>
      <c r="D675" s="11">
        <v>60000</v>
      </c>
      <c r="E675">
        <v>1</v>
      </c>
      <c r="F675" t="s">
        <v>30</v>
      </c>
      <c r="G675" t="s">
        <v>21</v>
      </c>
      <c r="H675" t="s">
        <v>15</v>
      </c>
      <c r="I675">
        <v>0</v>
      </c>
      <c r="J675" t="s">
        <v>22</v>
      </c>
      <c r="K675" t="s">
        <v>31</v>
      </c>
      <c r="L675">
        <v>36</v>
      </c>
      <c r="M675" t="str">
        <f t="shared" si="10"/>
        <v>MIddleAge</v>
      </c>
      <c r="N675" t="s">
        <v>18</v>
      </c>
    </row>
    <row r="676" spans="1:14" x14ac:dyDescent="0.25">
      <c r="A676">
        <v>11783</v>
      </c>
      <c r="B676" t="s">
        <v>35</v>
      </c>
      <c r="C676" t="s">
        <v>37</v>
      </c>
      <c r="D676" s="11">
        <v>60000</v>
      </c>
      <c r="E676">
        <v>1</v>
      </c>
      <c r="F676" t="s">
        <v>30</v>
      </c>
      <c r="G676" t="s">
        <v>14</v>
      </c>
      <c r="H676" t="s">
        <v>15</v>
      </c>
      <c r="I676">
        <v>0</v>
      </c>
      <c r="J676" t="s">
        <v>16</v>
      </c>
      <c r="K676" t="s">
        <v>31</v>
      </c>
      <c r="L676">
        <v>34</v>
      </c>
      <c r="M676" t="str">
        <f t="shared" si="10"/>
        <v>MIddleAge</v>
      </c>
      <c r="N676" t="s">
        <v>18</v>
      </c>
    </row>
    <row r="677" spans="1:14" x14ac:dyDescent="0.25">
      <c r="A677">
        <v>11745</v>
      </c>
      <c r="B677" t="s">
        <v>35</v>
      </c>
      <c r="C677" t="s">
        <v>37</v>
      </c>
      <c r="D677" s="11">
        <v>60000</v>
      </c>
      <c r="E677">
        <v>1</v>
      </c>
      <c r="F677" t="s">
        <v>13</v>
      </c>
      <c r="G677" t="s">
        <v>21</v>
      </c>
      <c r="H677" t="s">
        <v>15</v>
      </c>
      <c r="I677">
        <v>1</v>
      </c>
      <c r="J677" t="s">
        <v>16</v>
      </c>
      <c r="K677" t="s">
        <v>31</v>
      </c>
      <c r="L677">
        <v>47</v>
      </c>
      <c r="M677" t="str">
        <f t="shared" si="10"/>
        <v>MIddleAge</v>
      </c>
      <c r="N677" t="s">
        <v>15</v>
      </c>
    </row>
    <row r="678" spans="1:14" x14ac:dyDescent="0.25">
      <c r="A678">
        <v>11734</v>
      </c>
      <c r="B678" t="s">
        <v>35</v>
      </c>
      <c r="C678" t="s">
        <v>38</v>
      </c>
      <c r="D678" s="11">
        <v>60000</v>
      </c>
      <c r="E678">
        <v>1</v>
      </c>
      <c r="F678" t="s">
        <v>19</v>
      </c>
      <c r="G678" t="s">
        <v>14</v>
      </c>
      <c r="H678" t="s">
        <v>18</v>
      </c>
      <c r="I678">
        <v>1</v>
      </c>
      <c r="J678" t="s">
        <v>16</v>
      </c>
      <c r="K678" t="s">
        <v>31</v>
      </c>
      <c r="L678">
        <v>47</v>
      </c>
      <c r="M678" t="str">
        <f t="shared" si="10"/>
        <v>MIddleAge</v>
      </c>
      <c r="N678" t="s">
        <v>18</v>
      </c>
    </row>
    <row r="679" spans="1:14" x14ac:dyDescent="0.25">
      <c r="A679">
        <v>27074</v>
      </c>
      <c r="B679" t="s">
        <v>35</v>
      </c>
      <c r="C679" t="s">
        <v>37</v>
      </c>
      <c r="D679" s="11">
        <v>70000</v>
      </c>
      <c r="E679">
        <v>1</v>
      </c>
      <c r="F679" t="s">
        <v>30</v>
      </c>
      <c r="G679" t="s">
        <v>14</v>
      </c>
      <c r="H679" t="s">
        <v>15</v>
      </c>
      <c r="I679">
        <v>0</v>
      </c>
      <c r="J679" t="s">
        <v>16</v>
      </c>
      <c r="K679" t="s">
        <v>31</v>
      </c>
      <c r="L679">
        <v>35</v>
      </c>
      <c r="M679" t="str">
        <f t="shared" si="10"/>
        <v>MIddleAge</v>
      </c>
      <c r="N679" t="s">
        <v>15</v>
      </c>
    </row>
    <row r="680" spans="1:14" x14ac:dyDescent="0.25">
      <c r="A680">
        <v>23378</v>
      </c>
      <c r="B680" t="s">
        <v>35</v>
      </c>
      <c r="C680" t="s">
        <v>38</v>
      </c>
      <c r="D680" s="11">
        <v>70000</v>
      </c>
      <c r="E680">
        <v>1</v>
      </c>
      <c r="F680" t="s">
        <v>19</v>
      </c>
      <c r="G680" t="s">
        <v>14</v>
      </c>
      <c r="H680" t="s">
        <v>15</v>
      </c>
      <c r="I680">
        <v>1</v>
      </c>
      <c r="J680" t="s">
        <v>22</v>
      </c>
      <c r="K680" t="s">
        <v>31</v>
      </c>
      <c r="L680">
        <v>44</v>
      </c>
      <c r="M680" t="str">
        <f t="shared" si="10"/>
        <v>MIddleAge</v>
      </c>
      <c r="N680" t="s">
        <v>15</v>
      </c>
    </row>
    <row r="681" spans="1:14" x14ac:dyDescent="0.25">
      <c r="A681">
        <v>23376</v>
      </c>
      <c r="B681" t="s">
        <v>35</v>
      </c>
      <c r="C681" t="s">
        <v>38</v>
      </c>
      <c r="D681" s="11">
        <v>70000</v>
      </c>
      <c r="E681">
        <v>1</v>
      </c>
      <c r="F681" t="s">
        <v>13</v>
      </c>
      <c r="G681" t="s">
        <v>21</v>
      </c>
      <c r="H681" t="s">
        <v>15</v>
      </c>
      <c r="I681">
        <v>1</v>
      </c>
      <c r="J681" t="s">
        <v>22</v>
      </c>
      <c r="K681" t="s">
        <v>31</v>
      </c>
      <c r="L681">
        <v>44</v>
      </c>
      <c r="M681" t="str">
        <f t="shared" si="10"/>
        <v>MIddleAge</v>
      </c>
      <c r="N681" t="s">
        <v>15</v>
      </c>
    </row>
    <row r="682" spans="1:14" x14ac:dyDescent="0.25">
      <c r="A682">
        <v>17546</v>
      </c>
      <c r="B682" t="s">
        <v>35</v>
      </c>
      <c r="C682" t="s">
        <v>37</v>
      </c>
      <c r="D682" s="11">
        <v>70000</v>
      </c>
      <c r="E682">
        <v>1</v>
      </c>
      <c r="F682" t="s">
        <v>19</v>
      </c>
      <c r="G682" t="s">
        <v>14</v>
      </c>
      <c r="H682" t="s">
        <v>15</v>
      </c>
      <c r="I682">
        <v>1</v>
      </c>
      <c r="J682" t="s">
        <v>16</v>
      </c>
      <c r="K682" t="s">
        <v>31</v>
      </c>
      <c r="L682">
        <v>44</v>
      </c>
      <c r="M682" t="str">
        <f t="shared" si="10"/>
        <v>MIddleAge</v>
      </c>
      <c r="N682" t="s">
        <v>15</v>
      </c>
    </row>
    <row r="683" spans="1:14" x14ac:dyDescent="0.25">
      <c r="A683">
        <v>16144</v>
      </c>
      <c r="B683" t="s">
        <v>35</v>
      </c>
      <c r="C683" t="s">
        <v>38</v>
      </c>
      <c r="D683" s="11">
        <v>70000</v>
      </c>
      <c r="E683">
        <v>1</v>
      </c>
      <c r="F683" t="s">
        <v>30</v>
      </c>
      <c r="G683" t="s">
        <v>21</v>
      </c>
      <c r="H683" t="s">
        <v>15</v>
      </c>
      <c r="I683">
        <v>1</v>
      </c>
      <c r="J683" t="s">
        <v>16</v>
      </c>
      <c r="K683" t="s">
        <v>31</v>
      </c>
      <c r="L683">
        <v>46</v>
      </c>
      <c r="M683" t="str">
        <f t="shared" si="10"/>
        <v>MIddleAge</v>
      </c>
      <c r="N683" t="s">
        <v>15</v>
      </c>
    </row>
    <row r="684" spans="1:14" x14ac:dyDescent="0.25">
      <c r="A684">
        <v>15302</v>
      </c>
      <c r="B684" t="s">
        <v>36</v>
      </c>
      <c r="C684" t="s">
        <v>37</v>
      </c>
      <c r="D684" s="11">
        <v>70000</v>
      </c>
      <c r="E684">
        <v>1</v>
      </c>
      <c r="F684" t="s">
        <v>30</v>
      </c>
      <c r="G684" t="s">
        <v>21</v>
      </c>
      <c r="H684" t="s">
        <v>15</v>
      </c>
      <c r="I684">
        <v>0</v>
      </c>
      <c r="J684" t="s">
        <v>22</v>
      </c>
      <c r="K684" t="s">
        <v>31</v>
      </c>
      <c r="L684">
        <v>34</v>
      </c>
      <c r="M684" t="str">
        <f t="shared" si="10"/>
        <v>MIddleAge</v>
      </c>
      <c r="N684" t="s">
        <v>15</v>
      </c>
    </row>
    <row r="685" spans="1:14" x14ac:dyDescent="0.25">
      <c r="A685">
        <v>12964</v>
      </c>
      <c r="B685" t="s">
        <v>35</v>
      </c>
      <c r="C685" t="s">
        <v>38</v>
      </c>
      <c r="D685" s="11">
        <v>70000</v>
      </c>
      <c r="E685">
        <v>1</v>
      </c>
      <c r="F685" t="s">
        <v>19</v>
      </c>
      <c r="G685" t="s">
        <v>14</v>
      </c>
      <c r="H685" t="s">
        <v>15</v>
      </c>
      <c r="I685">
        <v>1</v>
      </c>
      <c r="J685" t="s">
        <v>16</v>
      </c>
      <c r="K685" t="s">
        <v>31</v>
      </c>
      <c r="L685">
        <v>44</v>
      </c>
      <c r="M685" t="str">
        <f t="shared" si="10"/>
        <v>MIddleAge</v>
      </c>
      <c r="N685" t="s">
        <v>18</v>
      </c>
    </row>
    <row r="686" spans="1:14" x14ac:dyDescent="0.25">
      <c r="A686">
        <v>12957</v>
      </c>
      <c r="B686" t="s">
        <v>36</v>
      </c>
      <c r="C686" t="s">
        <v>37</v>
      </c>
      <c r="D686" s="11">
        <v>70000</v>
      </c>
      <c r="E686">
        <v>1</v>
      </c>
      <c r="F686" t="s">
        <v>13</v>
      </c>
      <c r="G686" t="s">
        <v>21</v>
      </c>
      <c r="H686" t="s">
        <v>18</v>
      </c>
      <c r="I686">
        <v>1</v>
      </c>
      <c r="J686" t="s">
        <v>16</v>
      </c>
      <c r="K686" t="s">
        <v>31</v>
      </c>
      <c r="L686">
        <v>44</v>
      </c>
      <c r="M686" t="str">
        <f t="shared" si="10"/>
        <v>MIddleAge</v>
      </c>
      <c r="N686" t="s">
        <v>18</v>
      </c>
    </row>
    <row r="687" spans="1:14" x14ac:dyDescent="0.25">
      <c r="A687">
        <v>11788</v>
      </c>
      <c r="B687" t="s">
        <v>36</v>
      </c>
      <c r="C687" t="s">
        <v>37</v>
      </c>
      <c r="D687" s="11">
        <v>70000</v>
      </c>
      <c r="E687">
        <v>1</v>
      </c>
      <c r="F687" t="s">
        <v>30</v>
      </c>
      <c r="G687" t="s">
        <v>21</v>
      </c>
      <c r="H687" t="s">
        <v>15</v>
      </c>
      <c r="I687">
        <v>0</v>
      </c>
      <c r="J687" t="s">
        <v>22</v>
      </c>
      <c r="K687" t="s">
        <v>31</v>
      </c>
      <c r="L687">
        <v>34</v>
      </c>
      <c r="M687" t="str">
        <f t="shared" si="10"/>
        <v>MIddleAge</v>
      </c>
      <c r="N687" t="s">
        <v>18</v>
      </c>
    </row>
    <row r="688" spans="1:14" x14ac:dyDescent="0.25">
      <c r="A688">
        <v>26012</v>
      </c>
      <c r="B688" t="s">
        <v>35</v>
      </c>
      <c r="C688" t="s">
        <v>38</v>
      </c>
      <c r="D688" s="11">
        <v>80000</v>
      </c>
      <c r="E688">
        <v>1</v>
      </c>
      <c r="F688" t="s">
        <v>19</v>
      </c>
      <c r="G688" t="s">
        <v>14</v>
      </c>
      <c r="H688" t="s">
        <v>15</v>
      </c>
      <c r="I688">
        <v>1</v>
      </c>
      <c r="J688" t="s">
        <v>22</v>
      </c>
      <c r="K688" t="s">
        <v>31</v>
      </c>
      <c r="L688">
        <v>48</v>
      </c>
      <c r="M688" t="str">
        <f t="shared" si="10"/>
        <v>MIddleAge</v>
      </c>
      <c r="N688" t="s">
        <v>15</v>
      </c>
    </row>
    <row r="689" spans="1:14" x14ac:dyDescent="0.25">
      <c r="A689">
        <v>14657</v>
      </c>
      <c r="B689" t="s">
        <v>35</v>
      </c>
      <c r="C689" t="s">
        <v>38</v>
      </c>
      <c r="D689" s="11">
        <v>80000</v>
      </c>
      <c r="E689">
        <v>1</v>
      </c>
      <c r="F689" t="s">
        <v>19</v>
      </c>
      <c r="G689" t="s">
        <v>14</v>
      </c>
      <c r="H689" t="s">
        <v>18</v>
      </c>
      <c r="I689">
        <v>1</v>
      </c>
      <c r="J689" t="s">
        <v>16</v>
      </c>
      <c r="K689" t="s">
        <v>31</v>
      </c>
      <c r="L689">
        <v>47</v>
      </c>
      <c r="M689" t="str">
        <f t="shared" si="10"/>
        <v>MIddleAge</v>
      </c>
      <c r="N689" t="s">
        <v>15</v>
      </c>
    </row>
    <row r="690" spans="1:14" x14ac:dyDescent="0.25">
      <c r="A690">
        <v>26757</v>
      </c>
      <c r="B690" t="s">
        <v>36</v>
      </c>
      <c r="C690" t="s">
        <v>38</v>
      </c>
      <c r="D690" s="11">
        <v>90000</v>
      </c>
      <c r="E690">
        <v>1</v>
      </c>
      <c r="F690" t="s">
        <v>13</v>
      </c>
      <c r="G690" t="s">
        <v>21</v>
      </c>
      <c r="H690" t="s">
        <v>15</v>
      </c>
      <c r="I690">
        <v>1</v>
      </c>
      <c r="J690" t="s">
        <v>22</v>
      </c>
      <c r="K690" t="s">
        <v>24</v>
      </c>
      <c r="L690">
        <v>47</v>
      </c>
      <c r="M690" t="str">
        <f t="shared" si="10"/>
        <v>MIddleAge</v>
      </c>
      <c r="N690" t="s">
        <v>15</v>
      </c>
    </row>
    <row r="691" spans="1:14" x14ac:dyDescent="0.25">
      <c r="A691">
        <v>26654</v>
      </c>
      <c r="B691" t="s">
        <v>35</v>
      </c>
      <c r="C691" t="s">
        <v>37</v>
      </c>
      <c r="D691" s="11">
        <v>90000</v>
      </c>
      <c r="E691">
        <v>1</v>
      </c>
      <c r="F691" t="s">
        <v>30</v>
      </c>
      <c r="G691" t="s">
        <v>28</v>
      </c>
      <c r="H691" t="s">
        <v>15</v>
      </c>
      <c r="I691">
        <v>0</v>
      </c>
      <c r="J691" t="s">
        <v>16</v>
      </c>
      <c r="K691" t="s">
        <v>24</v>
      </c>
      <c r="L691">
        <v>37</v>
      </c>
      <c r="M691" t="str">
        <f t="shared" si="10"/>
        <v>MIddleAge</v>
      </c>
      <c r="N691" t="s">
        <v>15</v>
      </c>
    </row>
    <row r="692" spans="1:14" x14ac:dyDescent="0.25">
      <c r="A692">
        <v>18294</v>
      </c>
      <c r="B692" t="s">
        <v>35</v>
      </c>
      <c r="C692" t="s">
        <v>37</v>
      </c>
      <c r="D692" s="11">
        <v>90000</v>
      </c>
      <c r="E692">
        <v>1</v>
      </c>
      <c r="F692" t="s">
        <v>13</v>
      </c>
      <c r="G692" t="s">
        <v>21</v>
      </c>
      <c r="H692" t="s">
        <v>15</v>
      </c>
      <c r="I692">
        <v>1</v>
      </c>
      <c r="J692" t="s">
        <v>23</v>
      </c>
      <c r="K692" t="s">
        <v>24</v>
      </c>
      <c r="L692">
        <v>46</v>
      </c>
      <c r="M692" t="str">
        <f t="shared" si="10"/>
        <v>MIddleAge</v>
      </c>
      <c r="N692" t="s">
        <v>18</v>
      </c>
    </row>
    <row r="693" spans="1:14" x14ac:dyDescent="0.25">
      <c r="A693">
        <v>17048</v>
      </c>
      <c r="B693" t="s">
        <v>36</v>
      </c>
      <c r="C693" t="s">
        <v>37</v>
      </c>
      <c r="D693" s="11">
        <v>90000</v>
      </c>
      <c r="E693">
        <v>1</v>
      </c>
      <c r="F693" t="s">
        <v>30</v>
      </c>
      <c r="G693" t="s">
        <v>28</v>
      </c>
      <c r="H693" t="s">
        <v>15</v>
      </c>
      <c r="I693">
        <v>0</v>
      </c>
      <c r="J693" t="s">
        <v>16</v>
      </c>
      <c r="K693" t="s">
        <v>24</v>
      </c>
      <c r="L693">
        <v>36</v>
      </c>
      <c r="M693" t="str">
        <f t="shared" si="10"/>
        <v>MIddleAge</v>
      </c>
      <c r="N693" t="s">
        <v>15</v>
      </c>
    </row>
    <row r="694" spans="1:14" x14ac:dyDescent="0.25">
      <c r="A694">
        <v>15799</v>
      </c>
      <c r="B694" t="s">
        <v>35</v>
      </c>
      <c r="C694" t="s">
        <v>37</v>
      </c>
      <c r="D694" s="11">
        <v>90000</v>
      </c>
      <c r="E694">
        <v>1</v>
      </c>
      <c r="F694" t="s">
        <v>13</v>
      </c>
      <c r="G694" t="s">
        <v>21</v>
      </c>
      <c r="H694" t="s">
        <v>15</v>
      </c>
      <c r="I694">
        <v>1</v>
      </c>
      <c r="J694" t="s">
        <v>22</v>
      </c>
      <c r="K694" t="s">
        <v>24</v>
      </c>
      <c r="L694">
        <v>47</v>
      </c>
      <c r="M694" t="str">
        <f t="shared" si="10"/>
        <v>MIddleAge</v>
      </c>
      <c r="N694" t="s">
        <v>15</v>
      </c>
    </row>
    <row r="695" spans="1:14" x14ac:dyDescent="0.25">
      <c r="A695">
        <v>29120</v>
      </c>
      <c r="B695" t="s">
        <v>36</v>
      </c>
      <c r="C695" t="s">
        <v>37</v>
      </c>
      <c r="D695" s="11">
        <v>100000</v>
      </c>
      <c r="E695">
        <v>1</v>
      </c>
      <c r="F695" t="s">
        <v>13</v>
      </c>
      <c r="G695" t="s">
        <v>28</v>
      </c>
      <c r="H695" t="s">
        <v>15</v>
      </c>
      <c r="I695">
        <v>4</v>
      </c>
      <c r="J695" t="s">
        <v>22</v>
      </c>
      <c r="K695" t="s">
        <v>24</v>
      </c>
      <c r="L695">
        <v>48</v>
      </c>
      <c r="M695" t="str">
        <f t="shared" si="10"/>
        <v>MIddleAge</v>
      </c>
      <c r="N695" t="s">
        <v>18</v>
      </c>
    </row>
    <row r="696" spans="1:14" x14ac:dyDescent="0.25">
      <c r="A696">
        <v>29117</v>
      </c>
      <c r="B696" t="s">
        <v>36</v>
      </c>
      <c r="C696" t="s">
        <v>38</v>
      </c>
      <c r="D696" s="11">
        <v>100000</v>
      </c>
      <c r="E696">
        <v>1</v>
      </c>
      <c r="F696" t="s">
        <v>13</v>
      </c>
      <c r="G696" t="s">
        <v>28</v>
      </c>
      <c r="H696" t="s">
        <v>18</v>
      </c>
      <c r="I696">
        <v>3</v>
      </c>
      <c r="J696" t="s">
        <v>16</v>
      </c>
      <c r="K696" t="s">
        <v>24</v>
      </c>
      <c r="L696">
        <v>48</v>
      </c>
      <c r="M696" t="str">
        <f t="shared" si="10"/>
        <v>MIddleAge</v>
      </c>
      <c r="N696" t="s">
        <v>18</v>
      </c>
    </row>
    <row r="697" spans="1:14" x14ac:dyDescent="0.25">
      <c r="A697">
        <v>27638</v>
      </c>
      <c r="B697" t="s">
        <v>36</v>
      </c>
      <c r="C697" t="s">
        <v>38</v>
      </c>
      <c r="D697" s="11">
        <v>100000</v>
      </c>
      <c r="E697">
        <v>1</v>
      </c>
      <c r="F697" t="s">
        <v>19</v>
      </c>
      <c r="G697" t="s">
        <v>21</v>
      </c>
      <c r="H697" t="s">
        <v>18</v>
      </c>
      <c r="I697">
        <v>3</v>
      </c>
      <c r="J697" t="s">
        <v>26</v>
      </c>
      <c r="K697" t="s">
        <v>31</v>
      </c>
      <c r="L697">
        <v>44</v>
      </c>
      <c r="M697" t="str">
        <f t="shared" si="10"/>
        <v>MIddleAge</v>
      </c>
      <c r="N697" t="s">
        <v>18</v>
      </c>
    </row>
    <row r="698" spans="1:14" x14ac:dyDescent="0.25">
      <c r="A698">
        <v>27637</v>
      </c>
      <c r="B698" t="s">
        <v>36</v>
      </c>
      <c r="C698" t="s">
        <v>37</v>
      </c>
      <c r="D698" s="11">
        <v>100000</v>
      </c>
      <c r="E698">
        <v>1</v>
      </c>
      <c r="F698" t="s">
        <v>19</v>
      </c>
      <c r="G698" t="s">
        <v>21</v>
      </c>
      <c r="H698" t="s">
        <v>18</v>
      </c>
      <c r="I698">
        <v>3</v>
      </c>
      <c r="J698" t="s">
        <v>26</v>
      </c>
      <c r="K698" t="s">
        <v>31</v>
      </c>
      <c r="L698">
        <v>44</v>
      </c>
      <c r="M698" t="str">
        <f t="shared" si="10"/>
        <v>MIddleAge</v>
      </c>
      <c r="N698" t="s">
        <v>18</v>
      </c>
    </row>
    <row r="699" spans="1:14" x14ac:dyDescent="0.25">
      <c r="A699">
        <v>25058</v>
      </c>
      <c r="B699" t="s">
        <v>35</v>
      </c>
      <c r="C699" t="s">
        <v>38</v>
      </c>
      <c r="D699" s="11">
        <v>100000</v>
      </c>
      <c r="E699">
        <v>1</v>
      </c>
      <c r="F699" t="s">
        <v>13</v>
      </c>
      <c r="G699" t="s">
        <v>28</v>
      </c>
      <c r="H699" t="s">
        <v>15</v>
      </c>
      <c r="I699">
        <v>3</v>
      </c>
      <c r="J699" t="s">
        <v>22</v>
      </c>
      <c r="K699" t="s">
        <v>24</v>
      </c>
      <c r="L699">
        <v>47</v>
      </c>
      <c r="M699" t="str">
        <f t="shared" si="10"/>
        <v>MIddleAge</v>
      </c>
      <c r="N699" t="s">
        <v>18</v>
      </c>
    </row>
    <row r="700" spans="1:14" x14ac:dyDescent="0.25">
      <c r="A700">
        <v>24305</v>
      </c>
      <c r="B700" t="s">
        <v>36</v>
      </c>
      <c r="C700" t="s">
        <v>38</v>
      </c>
      <c r="D700" s="11">
        <v>100000</v>
      </c>
      <c r="E700">
        <v>1</v>
      </c>
      <c r="F700" t="s">
        <v>13</v>
      </c>
      <c r="G700" t="s">
        <v>28</v>
      </c>
      <c r="H700" t="s">
        <v>18</v>
      </c>
      <c r="I700">
        <v>3</v>
      </c>
      <c r="J700" t="s">
        <v>16</v>
      </c>
      <c r="K700" t="s">
        <v>24</v>
      </c>
      <c r="L700">
        <v>46</v>
      </c>
      <c r="M700" t="str">
        <f t="shared" si="10"/>
        <v>MIddleAge</v>
      </c>
      <c r="N700" t="s">
        <v>15</v>
      </c>
    </row>
    <row r="701" spans="1:14" x14ac:dyDescent="0.25">
      <c r="A701">
        <v>13415</v>
      </c>
      <c r="B701" t="s">
        <v>36</v>
      </c>
      <c r="C701" t="s">
        <v>38</v>
      </c>
      <c r="D701" s="11">
        <v>100000</v>
      </c>
      <c r="E701">
        <v>1</v>
      </c>
      <c r="F701" t="s">
        <v>30</v>
      </c>
      <c r="G701" t="s">
        <v>28</v>
      </c>
      <c r="H701" t="s">
        <v>15</v>
      </c>
      <c r="I701">
        <v>3</v>
      </c>
      <c r="J701" t="s">
        <v>22</v>
      </c>
      <c r="K701" t="s">
        <v>31</v>
      </c>
      <c r="L701">
        <v>73</v>
      </c>
      <c r="M701" t="str">
        <f t="shared" si="10"/>
        <v>Old</v>
      </c>
      <c r="N701" t="s">
        <v>15</v>
      </c>
    </row>
    <row r="702" spans="1:14" x14ac:dyDescent="0.25">
      <c r="A702">
        <v>11896</v>
      </c>
      <c r="B702" t="s">
        <v>35</v>
      </c>
      <c r="C702" t="s">
        <v>38</v>
      </c>
      <c r="D702" s="11">
        <v>100000</v>
      </c>
      <c r="E702">
        <v>1</v>
      </c>
      <c r="F702" t="s">
        <v>30</v>
      </c>
      <c r="G702" t="s">
        <v>28</v>
      </c>
      <c r="H702" t="s">
        <v>15</v>
      </c>
      <c r="I702">
        <v>0</v>
      </c>
      <c r="J702" t="s">
        <v>22</v>
      </c>
      <c r="K702" t="s">
        <v>24</v>
      </c>
      <c r="L702">
        <v>36</v>
      </c>
      <c r="M702" t="str">
        <f t="shared" si="10"/>
        <v>MIddleAge</v>
      </c>
      <c r="N702" t="s">
        <v>15</v>
      </c>
    </row>
    <row r="703" spans="1:14" x14ac:dyDescent="0.25">
      <c r="A703">
        <v>29243</v>
      </c>
      <c r="B703" t="s">
        <v>36</v>
      </c>
      <c r="C703" t="s">
        <v>38</v>
      </c>
      <c r="D703" s="11">
        <v>110000</v>
      </c>
      <c r="E703">
        <v>1</v>
      </c>
      <c r="F703" t="s">
        <v>13</v>
      </c>
      <c r="G703" t="s">
        <v>28</v>
      </c>
      <c r="H703" t="s">
        <v>15</v>
      </c>
      <c r="I703">
        <v>1</v>
      </c>
      <c r="J703" t="s">
        <v>23</v>
      </c>
      <c r="K703" t="s">
        <v>31</v>
      </c>
      <c r="L703">
        <v>43</v>
      </c>
      <c r="M703" t="str">
        <f t="shared" si="10"/>
        <v>MIddleAge</v>
      </c>
      <c r="N703" t="s">
        <v>18</v>
      </c>
    </row>
    <row r="704" spans="1:14" x14ac:dyDescent="0.25">
      <c r="A704">
        <v>25184</v>
      </c>
      <c r="B704" t="s">
        <v>36</v>
      </c>
      <c r="C704" t="s">
        <v>38</v>
      </c>
      <c r="D704" s="11">
        <v>110000</v>
      </c>
      <c r="E704">
        <v>1</v>
      </c>
      <c r="F704" t="s">
        <v>19</v>
      </c>
      <c r="G704" t="s">
        <v>21</v>
      </c>
      <c r="H704" t="s">
        <v>15</v>
      </c>
      <c r="I704">
        <v>4</v>
      </c>
      <c r="J704" t="s">
        <v>23</v>
      </c>
      <c r="K704" t="s">
        <v>31</v>
      </c>
      <c r="L704">
        <v>45</v>
      </c>
      <c r="M704" t="str">
        <f t="shared" si="10"/>
        <v>MIddleAge</v>
      </c>
      <c r="N704" t="s">
        <v>15</v>
      </c>
    </row>
    <row r="705" spans="1:14" x14ac:dyDescent="0.25">
      <c r="A705">
        <v>15382</v>
      </c>
      <c r="B705" t="s">
        <v>35</v>
      </c>
      <c r="C705" t="s">
        <v>37</v>
      </c>
      <c r="D705" s="11">
        <v>110000</v>
      </c>
      <c r="E705">
        <v>1</v>
      </c>
      <c r="F705" t="s">
        <v>13</v>
      </c>
      <c r="G705" t="s">
        <v>28</v>
      </c>
      <c r="H705" t="s">
        <v>15</v>
      </c>
      <c r="I705">
        <v>2</v>
      </c>
      <c r="J705" t="s">
        <v>26</v>
      </c>
      <c r="K705" t="s">
        <v>31</v>
      </c>
      <c r="L705">
        <v>44</v>
      </c>
      <c r="M705" t="str">
        <f t="shared" si="10"/>
        <v>MIddleAge</v>
      </c>
      <c r="N705" t="s">
        <v>18</v>
      </c>
    </row>
    <row r="706" spans="1:14" x14ac:dyDescent="0.25">
      <c r="A706">
        <v>13296</v>
      </c>
      <c r="B706" t="s">
        <v>35</v>
      </c>
      <c r="C706" t="s">
        <v>38</v>
      </c>
      <c r="D706" s="11">
        <v>110000</v>
      </c>
      <c r="E706">
        <v>1</v>
      </c>
      <c r="F706" t="s">
        <v>13</v>
      </c>
      <c r="G706" t="s">
        <v>28</v>
      </c>
      <c r="H706" t="s">
        <v>15</v>
      </c>
      <c r="I706">
        <v>3</v>
      </c>
      <c r="J706" t="s">
        <v>23</v>
      </c>
      <c r="K706" t="s">
        <v>31</v>
      </c>
      <c r="L706">
        <v>45</v>
      </c>
      <c r="M706" t="str">
        <f t="shared" ref="M706:M769" si="11">IF(L706&gt; 54, "Old",IF(L706&gt;= 31, "MIddleAge",IF(L706&lt;31, "Adolescent", "Adult")))</f>
        <v>MIddleAge</v>
      </c>
      <c r="N706" t="s">
        <v>18</v>
      </c>
    </row>
    <row r="707" spans="1:14" x14ac:dyDescent="0.25">
      <c r="A707">
        <v>16917</v>
      </c>
      <c r="B707" t="s">
        <v>35</v>
      </c>
      <c r="C707" t="s">
        <v>38</v>
      </c>
      <c r="D707" s="11">
        <v>120000</v>
      </c>
      <c r="E707">
        <v>1</v>
      </c>
      <c r="F707" t="s">
        <v>13</v>
      </c>
      <c r="G707" t="s">
        <v>28</v>
      </c>
      <c r="H707" t="s">
        <v>15</v>
      </c>
      <c r="I707">
        <v>4</v>
      </c>
      <c r="J707" t="s">
        <v>16</v>
      </c>
      <c r="K707" t="s">
        <v>31</v>
      </c>
      <c r="L707">
        <v>38</v>
      </c>
      <c r="M707" t="str">
        <f t="shared" si="11"/>
        <v>MIddleAge</v>
      </c>
      <c r="N707" t="s">
        <v>18</v>
      </c>
    </row>
    <row r="708" spans="1:14" x14ac:dyDescent="0.25">
      <c r="A708">
        <v>13314</v>
      </c>
      <c r="B708" t="s">
        <v>35</v>
      </c>
      <c r="C708" t="s">
        <v>38</v>
      </c>
      <c r="D708" s="11">
        <v>120000</v>
      </c>
      <c r="E708">
        <v>1</v>
      </c>
      <c r="F708" t="s">
        <v>27</v>
      </c>
      <c r="G708" t="s">
        <v>21</v>
      </c>
      <c r="H708" t="s">
        <v>15</v>
      </c>
      <c r="I708">
        <v>4</v>
      </c>
      <c r="J708" t="s">
        <v>23</v>
      </c>
      <c r="K708" t="s">
        <v>31</v>
      </c>
      <c r="L708">
        <v>46</v>
      </c>
      <c r="M708" t="str">
        <f t="shared" si="11"/>
        <v>MIddleAge</v>
      </c>
      <c r="N708" t="s">
        <v>15</v>
      </c>
    </row>
    <row r="709" spans="1:14" x14ac:dyDescent="0.25">
      <c r="A709">
        <v>13313</v>
      </c>
      <c r="B709" t="s">
        <v>35</v>
      </c>
      <c r="C709" t="s">
        <v>37</v>
      </c>
      <c r="D709" s="11">
        <v>120000</v>
      </c>
      <c r="E709">
        <v>1</v>
      </c>
      <c r="F709" t="s">
        <v>27</v>
      </c>
      <c r="G709" t="s">
        <v>21</v>
      </c>
      <c r="H709" t="s">
        <v>18</v>
      </c>
      <c r="I709">
        <v>4</v>
      </c>
      <c r="J709" t="s">
        <v>22</v>
      </c>
      <c r="K709" t="s">
        <v>31</v>
      </c>
      <c r="L709">
        <v>45</v>
      </c>
      <c r="M709" t="str">
        <f t="shared" si="11"/>
        <v>MIddleAge</v>
      </c>
      <c r="N709" t="s">
        <v>18</v>
      </c>
    </row>
    <row r="710" spans="1:14" x14ac:dyDescent="0.25">
      <c r="A710">
        <v>13089</v>
      </c>
      <c r="B710" t="s">
        <v>35</v>
      </c>
      <c r="C710" t="s">
        <v>37</v>
      </c>
      <c r="D710" s="11">
        <v>120000</v>
      </c>
      <c r="E710">
        <v>1</v>
      </c>
      <c r="F710" t="s">
        <v>13</v>
      </c>
      <c r="G710" t="s">
        <v>28</v>
      </c>
      <c r="H710" t="s">
        <v>15</v>
      </c>
      <c r="I710">
        <v>2</v>
      </c>
      <c r="J710" t="s">
        <v>16</v>
      </c>
      <c r="K710" t="s">
        <v>24</v>
      </c>
      <c r="L710">
        <v>46</v>
      </c>
      <c r="M710" t="str">
        <f t="shared" si="11"/>
        <v>MIddleAge</v>
      </c>
      <c r="N710" t="s">
        <v>15</v>
      </c>
    </row>
    <row r="711" spans="1:14" x14ac:dyDescent="0.25">
      <c r="A711">
        <v>29191</v>
      </c>
      <c r="B711" t="s">
        <v>36</v>
      </c>
      <c r="C711" t="s">
        <v>37</v>
      </c>
      <c r="D711" s="11">
        <v>130000</v>
      </c>
      <c r="E711">
        <v>1</v>
      </c>
      <c r="F711" t="s">
        <v>30</v>
      </c>
      <c r="G711" t="s">
        <v>28</v>
      </c>
      <c r="H711" t="s">
        <v>18</v>
      </c>
      <c r="I711">
        <v>1</v>
      </c>
      <c r="J711" t="s">
        <v>16</v>
      </c>
      <c r="K711" t="s">
        <v>24</v>
      </c>
      <c r="L711">
        <v>36</v>
      </c>
      <c r="M711" t="str">
        <f t="shared" si="11"/>
        <v>MIddleAge</v>
      </c>
      <c r="N711" t="s">
        <v>15</v>
      </c>
    </row>
    <row r="712" spans="1:14" x14ac:dyDescent="0.25">
      <c r="A712">
        <v>28269</v>
      </c>
      <c r="B712" t="s">
        <v>36</v>
      </c>
      <c r="C712" t="s">
        <v>37</v>
      </c>
      <c r="D712" s="11">
        <v>130000</v>
      </c>
      <c r="E712">
        <v>1</v>
      </c>
      <c r="F712" t="s">
        <v>13</v>
      </c>
      <c r="G712" t="s">
        <v>28</v>
      </c>
      <c r="H712" t="s">
        <v>18</v>
      </c>
      <c r="I712">
        <v>1</v>
      </c>
      <c r="J712" t="s">
        <v>22</v>
      </c>
      <c r="K712" t="s">
        <v>31</v>
      </c>
      <c r="L712">
        <v>45</v>
      </c>
      <c r="M712" t="str">
        <f t="shared" si="11"/>
        <v>MIddleAge</v>
      </c>
      <c r="N712" t="s">
        <v>18</v>
      </c>
    </row>
    <row r="713" spans="1:14" x14ac:dyDescent="0.25">
      <c r="A713">
        <v>24398</v>
      </c>
      <c r="B713" t="s">
        <v>35</v>
      </c>
      <c r="C713" t="s">
        <v>38</v>
      </c>
      <c r="D713" s="11">
        <v>130000</v>
      </c>
      <c r="E713">
        <v>1</v>
      </c>
      <c r="F713" t="s">
        <v>30</v>
      </c>
      <c r="G713" t="s">
        <v>28</v>
      </c>
      <c r="H713" t="s">
        <v>15</v>
      </c>
      <c r="I713">
        <v>4</v>
      </c>
      <c r="J713" t="s">
        <v>16</v>
      </c>
      <c r="K713" t="s">
        <v>31</v>
      </c>
      <c r="L713">
        <v>41</v>
      </c>
      <c r="M713" t="str">
        <f t="shared" si="11"/>
        <v>MIddleAge</v>
      </c>
      <c r="N713" t="s">
        <v>18</v>
      </c>
    </row>
    <row r="714" spans="1:14" x14ac:dyDescent="0.25">
      <c r="A714">
        <v>23027</v>
      </c>
      <c r="B714" t="s">
        <v>36</v>
      </c>
      <c r="C714" t="s">
        <v>38</v>
      </c>
      <c r="D714" s="11">
        <v>130000</v>
      </c>
      <c r="E714">
        <v>1</v>
      </c>
      <c r="F714" t="s">
        <v>13</v>
      </c>
      <c r="G714" t="s">
        <v>28</v>
      </c>
      <c r="H714" t="s">
        <v>18</v>
      </c>
      <c r="I714">
        <v>4</v>
      </c>
      <c r="J714" t="s">
        <v>16</v>
      </c>
      <c r="K714" t="s">
        <v>31</v>
      </c>
      <c r="L714">
        <v>44</v>
      </c>
      <c r="M714" t="str">
        <f t="shared" si="11"/>
        <v>MIddleAge</v>
      </c>
      <c r="N714" t="s">
        <v>18</v>
      </c>
    </row>
    <row r="715" spans="1:14" x14ac:dyDescent="0.25">
      <c r="A715">
        <v>22088</v>
      </c>
      <c r="B715" t="s">
        <v>35</v>
      </c>
      <c r="C715" t="s">
        <v>37</v>
      </c>
      <c r="D715" s="11">
        <v>130000</v>
      </c>
      <c r="E715">
        <v>1</v>
      </c>
      <c r="F715" t="s">
        <v>13</v>
      </c>
      <c r="G715" t="s">
        <v>28</v>
      </c>
      <c r="H715" t="s">
        <v>15</v>
      </c>
      <c r="I715">
        <v>2</v>
      </c>
      <c r="J715" t="s">
        <v>16</v>
      </c>
      <c r="K715" t="s">
        <v>31</v>
      </c>
      <c r="L715">
        <v>45</v>
      </c>
      <c r="M715" t="str">
        <f t="shared" si="11"/>
        <v>MIddleAge</v>
      </c>
      <c r="N715" t="s">
        <v>15</v>
      </c>
    </row>
    <row r="716" spans="1:14" x14ac:dyDescent="0.25">
      <c r="A716">
        <v>20339</v>
      </c>
      <c r="B716" t="s">
        <v>35</v>
      </c>
      <c r="C716" t="s">
        <v>37</v>
      </c>
      <c r="D716" s="11">
        <v>130000</v>
      </c>
      <c r="E716">
        <v>1</v>
      </c>
      <c r="F716" t="s">
        <v>13</v>
      </c>
      <c r="G716" t="s">
        <v>28</v>
      </c>
      <c r="H716" t="s">
        <v>15</v>
      </c>
      <c r="I716">
        <v>4</v>
      </c>
      <c r="J716" t="s">
        <v>22</v>
      </c>
      <c r="K716" t="s">
        <v>31</v>
      </c>
      <c r="L716">
        <v>44</v>
      </c>
      <c r="M716" t="str">
        <f t="shared" si="11"/>
        <v>MIddleAge</v>
      </c>
      <c r="N716" t="s">
        <v>15</v>
      </c>
    </row>
    <row r="717" spans="1:14" x14ac:dyDescent="0.25">
      <c r="A717">
        <v>16867</v>
      </c>
      <c r="B717" t="s">
        <v>36</v>
      </c>
      <c r="C717" t="s">
        <v>37</v>
      </c>
      <c r="D717" s="11">
        <v>130000</v>
      </c>
      <c r="E717">
        <v>1</v>
      </c>
      <c r="F717" t="s">
        <v>13</v>
      </c>
      <c r="G717" t="s">
        <v>28</v>
      </c>
      <c r="H717" t="s">
        <v>18</v>
      </c>
      <c r="I717">
        <v>3</v>
      </c>
      <c r="J717" t="s">
        <v>16</v>
      </c>
      <c r="K717" t="s">
        <v>31</v>
      </c>
      <c r="L717">
        <v>45</v>
      </c>
      <c r="M717" t="str">
        <f t="shared" si="11"/>
        <v>MIddleAge</v>
      </c>
      <c r="N717" t="s">
        <v>15</v>
      </c>
    </row>
    <row r="718" spans="1:14" x14ac:dyDescent="0.25">
      <c r="A718">
        <v>14443</v>
      </c>
      <c r="B718" t="s">
        <v>35</v>
      </c>
      <c r="C718" t="s">
        <v>38</v>
      </c>
      <c r="D718" s="11">
        <v>130000</v>
      </c>
      <c r="E718">
        <v>1</v>
      </c>
      <c r="F718" t="s">
        <v>30</v>
      </c>
      <c r="G718" t="s">
        <v>28</v>
      </c>
      <c r="H718" t="s">
        <v>15</v>
      </c>
      <c r="I718">
        <v>4</v>
      </c>
      <c r="J718" t="s">
        <v>16</v>
      </c>
      <c r="K718" t="s">
        <v>31</v>
      </c>
      <c r="L718">
        <v>40</v>
      </c>
      <c r="M718" t="str">
        <f t="shared" si="11"/>
        <v>MIddleAge</v>
      </c>
      <c r="N718" t="s">
        <v>18</v>
      </c>
    </row>
    <row r="719" spans="1:14" x14ac:dyDescent="0.25">
      <c r="A719">
        <v>11292</v>
      </c>
      <c r="B719" t="s">
        <v>36</v>
      </c>
      <c r="C719" t="s">
        <v>38</v>
      </c>
      <c r="D719" s="11">
        <v>150000</v>
      </c>
      <c r="E719">
        <v>1</v>
      </c>
      <c r="F719" t="s">
        <v>19</v>
      </c>
      <c r="G719" t="s">
        <v>21</v>
      </c>
      <c r="H719" t="s">
        <v>18</v>
      </c>
      <c r="I719">
        <v>3</v>
      </c>
      <c r="J719" t="s">
        <v>16</v>
      </c>
      <c r="K719" t="s">
        <v>31</v>
      </c>
      <c r="L719">
        <v>44</v>
      </c>
      <c r="M719" t="str">
        <f t="shared" si="11"/>
        <v>MIddleAge</v>
      </c>
      <c r="N719" t="s">
        <v>15</v>
      </c>
    </row>
    <row r="720" spans="1:14" x14ac:dyDescent="0.25">
      <c r="A720">
        <v>16009</v>
      </c>
      <c r="B720" t="s">
        <v>36</v>
      </c>
      <c r="C720" t="s">
        <v>38</v>
      </c>
      <c r="D720" s="11">
        <v>170000</v>
      </c>
      <c r="E720">
        <v>1</v>
      </c>
      <c r="F720" t="s">
        <v>30</v>
      </c>
      <c r="G720" t="s">
        <v>28</v>
      </c>
      <c r="H720" t="s">
        <v>18</v>
      </c>
      <c r="I720">
        <v>4</v>
      </c>
      <c r="J720" t="s">
        <v>16</v>
      </c>
      <c r="K720" t="s">
        <v>31</v>
      </c>
      <c r="L720">
        <v>66</v>
      </c>
      <c r="M720" t="str">
        <f t="shared" si="11"/>
        <v>Old</v>
      </c>
      <c r="N720" t="s">
        <v>18</v>
      </c>
    </row>
    <row r="721" spans="1:14" x14ac:dyDescent="0.25">
      <c r="A721">
        <v>29424</v>
      </c>
      <c r="B721" t="s">
        <v>35</v>
      </c>
      <c r="C721" t="s">
        <v>38</v>
      </c>
      <c r="D721" s="11">
        <v>10000</v>
      </c>
      <c r="E721">
        <v>0</v>
      </c>
      <c r="F721" t="s">
        <v>29</v>
      </c>
      <c r="G721" t="s">
        <v>25</v>
      </c>
      <c r="H721" t="s">
        <v>15</v>
      </c>
      <c r="I721">
        <v>2</v>
      </c>
      <c r="J721" t="s">
        <v>16</v>
      </c>
      <c r="K721" t="s">
        <v>17</v>
      </c>
      <c r="L721">
        <v>32</v>
      </c>
      <c r="M721" t="str">
        <f t="shared" si="11"/>
        <v>MIddleAge</v>
      </c>
      <c r="N721" t="s">
        <v>18</v>
      </c>
    </row>
    <row r="722" spans="1:14" x14ac:dyDescent="0.25">
      <c r="A722">
        <v>25555</v>
      </c>
      <c r="B722" t="s">
        <v>35</v>
      </c>
      <c r="C722" t="s">
        <v>37</v>
      </c>
      <c r="D722" s="11">
        <v>10000</v>
      </c>
      <c r="E722">
        <v>0</v>
      </c>
      <c r="F722" t="s">
        <v>19</v>
      </c>
      <c r="G722" t="s">
        <v>25</v>
      </c>
      <c r="H722" t="s">
        <v>18</v>
      </c>
      <c r="I722">
        <v>1</v>
      </c>
      <c r="J722" t="s">
        <v>16</v>
      </c>
      <c r="K722" t="s">
        <v>24</v>
      </c>
      <c r="L722">
        <v>26</v>
      </c>
      <c r="M722" t="str">
        <f t="shared" si="11"/>
        <v>Adolescent</v>
      </c>
      <c r="N722" t="s">
        <v>15</v>
      </c>
    </row>
    <row r="723" spans="1:14" x14ac:dyDescent="0.25">
      <c r="A723">
        <v>25313</v>
      </c>
      <c r="B723" t="s">
        <v>36</v>
      </c>
      <c r="C723" t="s">
        <v>38</v>
      </c>
      <c r="D723" s="11">
        <v>10000</v>
      </c>
      <c r="E723">
        <v>0</v>
      </c>
      <c r="F723" t="s">
        <v>29</v>
      </c>
      <c r="G723" t="s">
        <v>25</v>
      </c>
      <c r="H723" t="s">
        <v>18</v>
      </c>
      <c r="I723">
        <v>2</v>
      </c>
      <c r="J723" t="s">
        <v>26</v>
      </c>
      <c r="K723" t="s">
        <v>17</v>
      </c>
      <c r="L723">
        <v>35</v>
      </c>
      <c r="M723" t="str">
        <f t="shared" si="11"/>
        <v>MIddleAge</v>
      </c>
      <c r="N723" t="s">
        <v>18</v>
      </c>
    </row>
    <row r="724" spans="1:14" x14ac:dyDescent="0.25">
      <c r="A724">
        <v>24140</v>
      </c>
      <c r="B724" t="s">
        <v>36</v>
      </c>
      <c r="C724" t="s">
        <v>38</v>
      </c>
      <c r="D724" s="11">
        <v>10000</v>
      </c>
      <c r="E724">
        <v>0</v>
      </c>
      <c r="F724" t="s">
        <v>30</v>
      </c>
      <c r="G724" t="s">
        <v>25</v>
      </c>
      <c r="H724" t="s">
        <v>18</v>
      </c>
      <c r="I724">
        <v>0</v>
      </c>
      <c r="J724" t="s">
        <v>16</v>
      </c>
      <c r="K724" t="s">
        <v>17</v>
      </c>
      <c r="L724">
        <v>30</v>
      </c>
      <c r="M724" t="str">
        <f t="shared" si="11"/>
        <v>Adolescent</v>
      </c>
      <c r="N724" t="s">
        <v>15</v>
      </c>
    </row>
    <row r="725" spans="1:14" x14ac:dyDescent="0.25">
      <c r="A725">
        <v>23993</v>
      </c>
      <c r="B725" t="s">
        <v>36</v>
      </c>
      <c r="C725" t="s">
        <v>37</v>
      </c>
      <c r="D725" s="11">
        <v>10000</v>
      </c>
      <c r="E725">
        <v>0</v>
      </c>
      <c r="F725" t="s">
        <v>19</v>
      </c>
      <c r="G725" t="s">
        <v>25</v>
      </c>
      <c r="H725" t="s">
        <v>18</v>
      </c>
      <c r="I725">
        <v>1</v>
      </c>
      <c r="J725" t="s">
        <v>16</v>
      </c>
      <c r="K725" t="s">
        <v>24</v>
      </c>
      <c r="L725">
        <v>26</v>
      </c>
      <c r="M725" t="str">
        <f t="shared" si="11"/>
        <v>Adolescent</v>
      </c>
      <c r="N725" t="s">
        <v>15</v>
      </c>
    </row>
    <row r="726" spans="1:14" x14ac:dyDescent="0.25">
      <c r="A726">
        <v>23963</v>
      </c>
      <c r="B726" t="s">
        <v>35</v>
      </c>
      <c r="C726" t="s">
        <v>38</v>
      </c>
      <c r="D726" s="11">
        <v>10000</v>
      </c>
      <c r="E726">
        <v>0</v>
      </c>
      <c r="F726" t="s">
        <v>29</v>
      </c>
      <c r="G726" t="s">
        <v>25</v>
      </c>
      <c r="H726" t="s">
        <v>18</v>
      </c>
      <c r="I726">
        <v>2</v>
      </c>
      <c r="J726" t="s">
        <v>16</v>
      </c>
      <c r="K726" t="s">
        <v>17</v>
      </c>
      <c r="L726">
        <v>33</v>
      </c>
      <c r="M726" t="str">
        <f t="shared" si="11"/>
        <v>MIddleAge</v>
      </c>
      <c r="N726" t="s">
        <v>18</v>
      </c>
    </row>
    <row r="727" spans="1:14" x14ac:dyDescent="0.25">
      <c r="A727">
        <v>23962</v>
      </c>
      <c r="B727" t="s">
        <v>35</v>
      </c>
      <c r="C727" t="s">
        <v>37</v>
      </c>
      <c r="D727" s="11">
        <v>10000</v>
      </c>
      <c r="E727">
        <v>0</v>
      </c>
      <c r="F727" t="s">
        <v>29</v>
      </c>
      <c r="G727" t="s">
        <v>25</v>
      </c>
      <c r="H727" t="s">
        <v>15</v>
      </c>
      <c r="I727">
        <v>2</v>
      </c>
      <c r="J727" t="s">
        <v>26</v>
      </c>
      <c r="K727" t="s">
        <v>17</v>
      </c>
      <c r="L727">
        <v>32</v>
      </c>
      <c r="M727" t="str">
        <f t="shared" si="11"/>
        <v>MIddleAge</v>
      </c>
      <c r="N727" t="s">
        <v>18</v>
      </c>
    </row>
    <row r="728" spans="1:14" x14ac:dyDescent="0.25">
      <c r="A728">
        <v>22538</v>
      </c>
      <c r="B728" t="s">
        <v>36</v>
      </c>
      <c r="C728" t="s">
        <v>37</v>
      </c>
      <c r="D728" s="11">
        <v>10000</v>
      </c>
      <c r="E728">
        <v>0</v>
      </c>
      <c r="F728" t="s">
        <v>29</v>
      </c>
      <c r="G728" t="s">
        <v>25</v>
      </c>
      <c r="H728" t="s">
        <v>15</v>
      </c>
      <c r="I728">
        <v>2</v>
      </c>
      <c r="J728" t="s">
        <v>26</v>
      </c>
      <c r="K728" t="s">
        <v>17</v>
      </c>
      <c r="L728">
        <v>33</v>
      </c>
      <c r="M728" t="str">
        <f t="shared" si="11"/>
        <v>MIddleAge</v>
      </c>
      <c r="N728" t="s">
        <v>18</v>
      </c>
    </row>
    <row r="729" spans="1:14" x14ac:dyDescent="0.25">
      <c r="A729">
        <v>22402</v>
      </c>
      <c r="B729" t="s">
        <v>35</v>
      </c>
      <c r="C729" t="s">
        <v>38</v>
      </c>
      <c r="D729" s="11">
        <v>10000</v>
      </c>
      <c r="E729">
        <v>0</v>
      </c>
      <c r="F729" t="s">
        <v>19</v>
      </c>
      <c r="G729" t="s">
        <v>25</v>
      </c>
      <c r="H729" t="s">
        <v>15</v>
      </c>
      <c r="I729">
        <v>1</v>
      </c>
      <c r="J729" t="s">
        <v>22</v>
      </c>
      <c r="K729" t="s">
        <v>24</v>
      </c>
      <c r="L729">
        <v>25</v>
      </c>
      <c r="M729" t="str">
        <f t="shared" si="11"/>
        <v>Adolescent</v>
      </c>
      <c r="N729" t="s">
        <v>15</v>
      </c>
    </row>
    <row r="730" spans="1:14" x14ac:dyDescent="0.25">
      <c r="A730">
        <v>22400</v>
      </c>
      <c r="B730" t="s">
        <v>35</v>
      </c>
      <c r="C730" t="s">
        <v>38</v>
      </c>
      <c r="D730" s="11">
        <v>10000</v>
      </c>
      <c r="E730">
        <v>0</v>
      </c>
      <c r="F730" t="s">
        <v>19</v>
      </c>
      <c r="G730" t="s">
        <v>25</v>
      </c>
      <c r="H730" t="s">
        <v>18</v>
      </c>
      <c r="I730">
        <v>1</v>
      </c>
      <c r="J730" t="s">
        <v>16</v>
      </c>
      <c r="K730" t="s">
        <v>24</v>
      </c>
      <c r="L730">
        <v>26</v>
      </c>
      <c r="M730" t="str">
        <f t="shared" si="11"/>
        <v>Adolescent</v>
      </c>
      <c r="N730" t="s">
        <v>15</v>
      </c>
    </row>
    <row r="731" spans="1:14" x14ac:dyDescent="0.25">
      <c r="A731">
        <v>22399</v>
      </c>
      <c r="B731" t="s">
        <v>36</v>
      </c>
      <c r="C731" t="s">
        <v>38</v>
      </c>
      <c r="D731" s="11">
        <v>10000</v>
      </c>
      <c r="E731">
        <v>0</v>
      </c>
      <c r="F731" t="s">
        <v>19</v>
      </c>
      <c r="G731" t="s">
        <v>25</v>
      </c>
      <c r="H731" t="s">
        <v>15</v>
      </c>
      <c r="I731">
        <v>1</v>
      </c>
      <c r="J731" t="s">
        <v>26</v>
      </c>
      <c r="K731" t="s">
        <v>24</v>
      </c>
      <c r="L731">
        <v>26</v>
      </c>
      <c r="M731" t="str">
        <f t="shared" si="11"/>
        <v>Adolescent</v>
      </c>
      <c r="N731" t="s">
        <v>15</v>
      </c>
    </row>
    <row r="732" spans="1:14" x14ac:dyDescent="0.25">
      <c r="A732">
        <v>19508</v>
      </c>
      <c r="B732" t="s">
        <v>35</v>
      </c>
      <c r="C732" t="s">
        <v>38</v>
      </c>
      <c r="D732" s="11">
        <v>10000</v>
      </c>
      <c r="E732">
        <v>0</v>
      </c>
      <c r="F732" t="s">
        <v>29</v>
      </c>
      <c r="G732" t="s">
        <v>25</v>
      </c>
      <c r="H732" t="s">
        <v>18</v>
      </c>
      <c r="I732">
        <v>2</v>
      </c>
      <c r="J732" t="s">
        <v>16</v>
      </c>
      <c r="K732" t="s">
        <v>17</v>
      </c>
      <c r="L732">
        <v>30</v>
      </c>
      <c r="M732" t="str">
        <f t="shared" si="11"/>
        <v>Adolescent</v>
      </c>
      <c r="N732" t="s">
        <v>18</v>
      </c>
    </row>
    <row r="733" spans="1:14" x14ac:dyDescent="0.25">
      <c r="A733">
        <v>19183</v>
      </c>
      <c r="B733" t="s">
        <v>36</v>
      </c>
      <c r="C733" t="s">
        <v>38</v>
      </c>
      <c r="D733" s="11">
        <v>10000</v>
      </c>
      <c r="E733">
        <v>0</v>
      </c>
      <c r="F733" t="s">
        <v>29</v>
      </c>
      <c r="G733" t="s">
        <v>25</v>
      </c>
      <c r="H733" t="s">
        <v>15</v>
      </c>
      <c r="I733">
        <v>2</v>
      </c>
      <c r="J733" t="s">
        <v>26</v>
      </c>
      <c r="K733" t="s">
        <v>17</v>
      </c>
      <c r="L733">
        <v>35</v>
      </c>
      <c r="M733" t="str">
        <f t="shared" si="11"/>
        <v>MIddleAge</v>
      </c>
      <c r="N733" t="s">
        <v>18</v>
      </c>
    </row>
    <row r="734" spans="1:14" x14ac:dyDescent="0.25">
      <c r="A734">
        <v>17907</v>
      </c>
      <c r="B734" t="s">
        <v>35</v>
      </c>
      <c r="C734" t="s">
        <v>37</v>
      </c>
      <c r="D734" s="11">
        <v>10000</v>
      </c>
      <c r="E734">
        <v>0</v>
      </c>
      <c r="F734" t="s">
        <v>19</v>
      </c>
      <c r="G734" t="s">
        <v>25</v>
      </c>
      <c r="H734" t="s">
        <v>15</v>
      </c>
      <c r="I734">
        <v>1</v>
      </c>
      <c r="J734" t="s">
        <v>22</v>
      </c>
      <c r="K734" t="s">
        <v>24</v>
      </c>
      <c r="L734">
        <v>27</v>
      </c>
      <c r="M734" t="str">
        <f t="shared" si="11"/>
        <v>Adolescent</v>
      </c>
      <c r="N734" t="s">
        <v>18</v>
      </c>
    </row>
    <row r="735" spans="1:14" x14ac:dyDescent="0.25">
      <c r="A735">
        <v>17843</v>
      </c>
      <c r="B735" t="s">
        <v>36</v>
      </c>
      <c r="C735" t="s">
        <v>37</v>
      </c>
      <c r="D735" s="11">
        <v>10000</v>
      </c>
      <c r="E735">
        <v>0</v>
      </c>
      <c r="F735" t="s">
        <v>29</v>
      </c>
      <c r="G735" t="s">
        <v>25</v>
      </c>
      <c r="H735" t="s">
        <v>18</v>
      </c>
      <c r="I735">
        <v>2</v>
      </c>
      <c r="J735" t="s">
        <v>16</v>
      </c>
      <c r="K735" t="s">
        <v>17</v>
      </c>
      <c r="L735">
        <v>32</v>
      </c>
      <c r="M735" t="str">
        <f t="shared" si="11"/>
        <v>MIddleAge</v>
      </c>
      <c r="N735" t="s">
        <v>18</v>
      </c>
    </row>
    <row r="736" spans="1:14" x14ac:dyDescent="0.25">
      <c r="A736">
        <v>16514</v>
      </c>
      <c r="B736" t="s">
        <v>36</v>
      </c>
      <c r="C736" t="s">
        <v>38</v>
      </c>
      <c r="D736" s="11">
        <v>10000</v>
      </c>
      <c r="E736">
        <v>0</v>
      </c>
      <c r="F736" t="s">
        <v>19</v>
      </c>
      <c r="G736" t="s">
        <v>25</v>
      </c>
      <c r="H736" t="s">
        <v>15</v>
      </c>
      <c r="I736">
        <v>1</v>
      </c>
      <c r="J736" t="s">
        <v>26</v>
      </c>
      <c r="K736" t="s">
        <v>24</v>
      </c>
      <c r="L736">
        <v>26</v>
      </c>
      <c r="M736" t="str">
        <f t="shared" si="11"/>
        <v>Adolescent</v>
      </c>
      <c r="N736" t="s">
        <v>15</v>
      </c>
    </row>
    <row r="737" spans="1:14" x14ac:dyDescent="0.25">
      <c r="A737">
        <v>16438</v>
      </c>
      <c r="B737" t="s">
        <v>35</v>
      </c>
      <c r="C737" t="s">
        <v>37</v>
      </c>
      <c r="D737" s="11">
        <v>10000</v>
      </c>
      <c r="E737">
        <v>0</v>
      </c>
      <c r="F737" t="s">
        <v>29</v>
      </c>
      <c r="G737" t="s">
        <v>25</v>
      </c>
      <c r="H737" t="s">
        <v>18</v>
      </c>
      <c r="I737">
        <v>2</v>
      </c>
      <c r="J737" t="s">
        <v>16</v>
      </c>
      <c r="K737" t="s">
        <v>17</v>
      </c>
      <c r="L737">
        <v>30</v>
      </c>
      <c r="M737" t="str">
        <f t="shared" si="11"/>
        <v>Adolescent</v>
      </c>
      <c r="N737" t="s">
        <v>18</v>
      </c>
    </row>
    <row r="738" spans="1:14" x14ac:dyDescent="0.25">
      <c r="A738">
        <v>16200</v>
      </c>
      <c r="B738" t="s">
        <v>36</v>
      </c>
      <c r="C738" t="s">
        <v>37</v>
      </c>
      <c r="D738" s="11">
        <v>10000</v>
      </c>
      <c r="E738">
        <v>0</v>
      </c>
      <c r="F738" t="s">
        <v>29</v>
      </c>
      <c r="G738" t="s">
        <v>25</v>
      </c>
      <c r="H738" t="s">
        <v>18</v>
      </c>
      <c r="I738">
        <v>2</v>
      </c>
      <c r="J738" t="s">
        <v>16</v>
      </c>
      <c r="K738" t="s">
        <v>17</v>
      </c>
      <c r="L738">
        <v>35</v>
      </c>
      <c r="M738" t="str">
        <f t="shared" si="11"/>
        <v>MIddleAge</v>
      </c>
      <c r="N738" t="s">
        <v>18</v>
      </c>
    </row>
    <row r="739" spans="1:14" x14ac:dyDescent="0.25">
      <c r="A739">
        <v>15629</v>
      </c>
      <c r="B739" t="s">
        <v>36</v>
      </c>
      <c r="C739" t="s">
        <v>37</v>
      </c>
      <c r="D739" s="11">
        <v>10000</v>
      </c>
      <c r="E739">
        <v>0</v>
      </c>
      <c r="F739" t="s">
        <v>29</v>
      </c>
      <c r="G739" t="s">
        <v>25</v>
      </c>
      <c r="H739" t="s">
        <v>15</v>
      </c>
      <c r="I739">
        <v>2</v>
      </c>
      <c r="J739" t="s">
        <v>26</v>
      </c>
      <c r="K739" t="s">
        <v>17</v>
      </c>
      <c r="L739">
        <v>34</v>
      </c>
      <c r="M739" t="str">
        <f t="shared" si="11"/>
        <v>MIddleAge</v>
      </c>
      <c r="N739" t="s">
        <v>18</v>
      </c>
    </row>
    <row r="740" spans="1:14" x14ac:dyDescent="0.25">
      <c r="A740">
        <v>15465</v>
      </c>
      <c r="B740" t="s">
        <v>35</v>
      </c>
      <c r="C740" t="s">
        <v>37</v>
      </c>
      <c r="D740" s="11">
        <v>10000</v>
      </c>
      <c r="E740">
        <v>0</v>
      </c>
      <c r="F740" t="s">
        <v>19</v>
      </c>
      <c r="G740" t="s">
        <v>25</v>
      </c>
      <c r="H740" t="s">
        <v>18</v>
      </c>
      <c r="I740">
        <v>1</v>
      </c>
      <c r="J740" t="s">
        <v>16</v>
      </c>
      <c r="K740" t="s">
        <v>24</v>
      </c>
      <c r="L740">
        <v>25</v>
      </c>
      <c r="M740" t="str">
        <f t="shared" si="11"/>
        <v>Adolescent</v>
      </c>
      <c r="N740" t="s">
        <v>18</v>
      </c>
    </row>
    <row r="741" spans="1:14" x14ac:dyDescent="0.25">
      <c r="A741">
        <v>14696</v>
      </c>
      <c r="B741" t="s">
        <v>36</v>
      </c>
      <c r="C741" t="s">
        <v>38</v>
      </c>
      <c r="D741" s="11">
        <v>10000</v>
      </c>
      <c r="E741">
        <v>0</v>
      </c>
      <c r="F741" t="s">
        <v>29</v>
      </c>
      <c r="G741" t="s">
        <v>25</v>
      </c>
      <c r="H741" t="s">
        <v>18</v>
      </c>
      <c r="I741">
        <v>2</v>
      </c>
      <c r="J741" t="s">
        <v>16</v>
      </c>
      <c r="K741" t="s">
        <v>17</v>
      </c>
      <c r="L741">
        <v>34</v>
      </c>
      <c r="M741" t="str">
        <f t="shared" si="11"/>
        <v>MIddleAge</v>
      </c>
      <c r="N741" t="s">
        <v>18</v>
      </c>
    </row>
    <row r="742" spans="1:14" x14ac:dyDescent="0.25">
      <c r="A742">
        <v>12581</v>
      </c>
      <c r="B742" t="s">
        <v>36</v>
      </c>
      <c r="C742" t="s">
        <v>37</v>
      </c>
      <c r="D742" s="11">
        <v>10000</v>
      </c>
      <c r="E742">
        <v>0</v>
      </c>
      <c r="F742" t="s">
        <v>19</v>
      </c>
      <c r="G742" t="s">
        <v>25</v>
      </c>
      <c r="H742" t="s">
        <v>18</v>
      </c>
      <c r="I742">
        <v>1</v>
      </c>
      <c r="J742" t="s">
        <v>16</v>
      </c>
      <c r="K742" t="s">
        <v>24</v>
      </c>
      <c r="L742">
        <v>28</v>
      </c>
      <c r="M742" t="str">
        <f t="shared" si="11"/>
        <v>Adolescent</v>
      </c>
      <c r="N742" t="s">
        <v>15</v>
      </c>
    </row>
    <row r="743" spans="1:14" x14ac:dyDescent="0.25">
      <c r="A743">
        <v>12212</v>
      </c>
      <c r="B743" t="s">
        <v>35</v>
      </c>
      <c r="C743" t="s">
        <v>37</v>
      </c>
      <c r="D743" s="11">
        <v>10000</v>
      </c>
      <c r="E743">
        <v>0</v>
      </c>
      <c r="F743" t="s">
        <v>30</v>
      </c>
      <c r="G743" t="s">
        <v>25</v>
      </c>
      <c r="H743" t="s">
        <v>15</v>
      </c>
      <c r="I743">
        <v>0</v>
      </c>
      <c r="J743" t="s">
        <v>16</v>
      </c>
      <c r="K743" t="s">
        <v>17</v>
      </c>
      <c r="L743">
        <v>37</v>
      </c>
      <c r="M743" t="str">
        <f t="shared" si="11"/>
        <v>MIddleAge</v>
      </c>
      <c r="N743" t="s">
        <v>15</v>
      </c>
    </row>
    <row r="744" spans="1:14" x14ac:dyDescent="0.25">
      <c r="A744">
        <v>28729</v>
      </c>
      <c r="B744" t="s">
        <v>36</v>
      </c>
      <c r="C744" t="s">
        <v>37</v>
      </c>
      <c r="D744" s="11">
        <v>20000</v>
      </c>
      <c r="E744">
        <v>0</v>
      </c>
      <c r="F744" t="s">
        <v>29</v>
      </c>
      <c r="G744" t="s">
        <v>25</v>
      </c>
      <c r="H744" t="s">
        <v>15</v>
      </c>
      <c r="I744">
        <v>2</v>
      </c>
      <c r="J744" t="s">
        <v>26</v>
      </c>
      <c r="K744" t="s">
        <v>17</v>
      </c>
      <c r="L744">
        <v>26</v>
      </c>
      <c r="M744" t="str">
        <f t="shared" si="11"/>
        <v>Adolescent</v>
      </c>
      <c r="N744" t="s">
        <v>15</v>
      </c>
    </row>
    <row r="745" spans="1:14" x14ac:dyDescent="0.25">
      <c r="A745">
        <v>28488</v>
      </c>
      <c r="B745" t="s">
        <v>36</v>
      </c>
      <c r="C745" t="s">
        <v>38</v>
      </c>
      <c r="D745" s="11">
        <v>20000</v>
      </c>
      <c r="E745">
        <v>0</v>
      </c>
      <c r="F745" t="s">
        <v>19</v>
      </c>
      <c r="G745" t="s">
        <v>25</v>
      </c>
      <c r="H745" t="s">
        <v>15</v>
      </c>
      <c r="I745">
        <v>0</v>
      </c>
      <c r="J745" t="s">
        <v>16</v>
      </c>
      <c r="K745" t="s">
        <v>24</v>
      </c>
      <c r="L745">
        <v>28</v>
      </c>
      <c r="M745" t="str">
        <f t="shared" si="11"/>
        <v>Adolescent</v>
      </c>
      <c r="N745" t="s">
        <v>15</v>
      </c>
    </row>
    <row r="746" spans="1:14" x14ac:dyDescent="0.25">
      <c r="A746">
        <v>28412</v>
      </c>
      <c r="B746" t="s">
        <v>36</v>
      </c>
      <c r="C746" t="s">
        <v>38</v>
      </c>
      <c r="D746" s="11">
        <v>20000</v>
      </c>
      <c r="E746">
        <v>0</v>
      </c>
      <c r="F746" t="s">
        <v>27</v>
      </c>
      <c r="G746" t="s">
        <v>25</v>
      </c>
      <c r="H746" t="s">
        <v>18</v>
      </c>
      <c r="I746">
        <v>1</v>
      </c>
      <c r="J746" t="s">
        <v>22</v>
      </c>
      <c r="K746" t="s">
        <v>17</v>
      </c>
      <c r="L746">
        <v>29</v>
      </c>
      <c r="M746" t="str">
        <f t="shared" si="11"/>
        <v>Adolescent</v>
      </c>
      <c r="N746" t="s">
        <v>18</v>
      </c>
    </row>
    <row r="747" spans="1:14" x14ac:dyDescent="0.25">
      <c r="A747">
        <v>27878</v>
      </c>
      <c r="B747" t="s">
        <v>36</v>
      </c>
      <c r="C747" t="s">
        <v>38</v>
      </c>
      <c r="D747" s="11">
        <v>20000</v>
      </c>
      <c r="E747">
        <v>0</v>
      </c>
      <c r="F747" t="s">
        <v>19</v>
      </c>
      <c r="G747" t="s">
        <v>25</v>
      </c>
      <c r="H747" t="s">
        <v>18</v>
      </c>
      <c r="I747">
        <v>0</v>
      </c>
      <c r="J747" t="s">
        <v>16</v>
      </c>
      <c r="K747" t="s">
        <v>24</v>
      </c>
      <c r="L747">
        <v>28</v>
      </c>
      <c r="M747" t="str">
        <f t="shared" si="11"/>
        <v>Adolescent</v>
      </c>
      <c r="N747" t="s">
        <v>15</v>
      </c>
    </row>
    <row r="748" spans="1:14" x14ac:dyDescent="0.25">
      <c r="A748">
        <v>27835</v>
      </c>
      <c r="B748" t="s">
        <v>35</v>
      </c>
      <c r="C748" t="s">
        <v>38</v>
      </c>
      <c r="D748" s="11">
        <v>20000</v>
      </c>
      <c r="E748">
        <v>0</v>
      </c>
      <c r="F748" t="s">
        <v>29</v>
      </c>
      <c r="G748" t="s">
        <v>25</v>
      </c>
      <c r="H748" t="s">
        <v>15</v>
      </c>
      <c r="I748">
        <v>2</v>
      </c>
      <c r="J748" t="s">
        <v>16</v>
      </c>
      <c r="K748" t="s">
        <v>17</v>
      </c>
      <c r="L748">
        <v>32</v>
      </c>
      <c r="M748" t="str">
        <f t="shared" si="11"/>
        <v>MIddleAge</v>
      </c>
      <c r="N748" t="s">
        <v>18</v>
      </c>
    </row>
    <row r="749" spans="1:14" x14ac:dyDescent="0.25">
      <c r="A749">
        <v>27165</v>
      </c>
      <c r="B749" t="s">
        <v>36</v>
      </c>
      <c r="C749" t="s">
        <v>38</v>
      </c>
      <c r="D749" s="11">
        <v>20000</v>
      </c>
      <c r="E749">
        <v>0</v>
      </c>
      <c r="F749" t="s">
        <v>29</v>
      </c>
      <c r="G749" t="s">
        <v>25</v>
      </c>
      <c r="H749" t="s">
        <v>18</v>
      </c>
      <c r="I749">
        <v>2</v>
      </c>
      <c r="J749" t="s">
        <v>16</v>
      </c>
      <c r="K749" t="s">
        <v>17</v>
      </c>
      <c r="L749">
        <v>34</v>
      </c>
      <c r="M749" t="str">
        <f t="shared" si="11"/>
        <v>MIddleAge</v>
      </c>
      <c r="N749" t="s">
        <v>18</v>
      </c>
    </row>
    <row r="750" spans="1:14" x14ac:dyDescent="0.25">
      <c r="A750">
        <v>26956</v>
      </c>
      <c r="B750" t="s">
        <v>36</v>
      </c>
      <c r="C750" t="s">
        <v>37</v>
      </c>
      <c r="D750" s="11">
        <v>20000</v>
      </c>
      <c r="E750">
        <v>0</v>
      </c>
      <c r="F750" t="s">
        <v>19</v>
      </c>
      <c r="G750" t="s">
        <v>25</v>
      </c>
      <c r="H750" t="s">
        <v>18</v>
      </c>
      <c r="I750">
        <v>1</v>
      </c>
      <c r="J750" t="s">
        <v>22</v>
      </c>
      <c r="K750" t="s">
        <v>17</v>
      </c>
      <c r="L750">
        <v>36</v>
      </c>
      <c r="M750" t="str">
        <f t="shared" si="11"/>
        <v>MIddleAge</v>
      </c>
      <c r="N750" t="s">
        <v>15</v>
      </c>
    </row>
    <row r="751" spans="1:14" x14ac:dyDescent="0.25">
      <c r="A751">
        <v>26879</v>
      </c>
      <c r="B751" t="s">
        <v>36</v>
      </c>
      <c r="C751" t="s">
        <v>37</v>
      </c>
      <c r="D751" s="11">
        <v>20000</v>
      </c>
      <c r="E751">
        <v>0</v>
      </c>
      <c r="F751" t="s">
        <v>27</v>
      </c>
      <c r="G751" t="s">
        <v>25</v>
      </c>
      <c r="H751" t="s">
        <v>18</v>
      </c>
      <c r="I751">
        <v>1</v>
      </c>
      <c r="J751" t="s">
        <v>22</v>
      </c>
      <c r="K751" t="s">
        <v>17</v>
      </c>
      <c r="L751">
        <v>30</v>
      </c>
      <c r="M751" t="str">
        <f t="shared" si="11"/>
        <v>Adolescent</v>
      </c>
      <c r="N751" t="s">
        <v>18</v>
      </c>
    </row>
    <row r="752" spans="1:14" x14ac:dyDescent="0.25">
      <c r="A752">
        <v>26863</v>
      </c>
      <c r="B752" t="s">
        <v>36</v>
      </c>
      <c r="C752" t="s">
        <v>38</v>
      </c>
      <c r="D752" s="11">
        <v>20000</v>
      </c>
      <c r="E752">
        <v>0</v>
      </c>
      <c r="F752" t="s">
        <v>27</v>
      </c>
      <c r="G752" t="s">
        <v>25</v>
      </c>
      <c r="H752" t="s">
        <v>18</v>
      </c>
      <c r="I752">
        <v>1</v>
      </c>
      <c r="J752" t="s">
        <v>22</v>
      </c>
      <c r="K752" t="s">
        <v>17</v>
      </c>
      <c r="L752">
        <v>28</v>
      </c>
      <c r="M752" t="str">
        <f t="shared" si="11"/>
        <v>Adolescent</v>
      </c>
      <c r="N752" t="s">
        <v>18</v>
      </c>
    </row>
    <row r="753" spans="1:14" x14ac:dyDescent="0.25">
      <c r="A753">
        <v>25665</v>
      </c>
      <c r="B753" t="s">
        <v>36</v>
      </c>
      <c r="C753" t="s">
        <v>37</v>
      </c>
      <c r="D753" s="11">
        <v>20000</v>
      </c>
      <c r="E753">
        <v>0</v>
      </c>
      <c r="F753" t="s">
        <v>27</v>
      </c>
      <c r="G753" t="s">
        <v>25</v>
      </c>
      <c r="H753" t="s">
        <v>18</v>
      </c>
      <c r="I753">
        <v>1</v>
      </c>
      <c r="J753" t="s">
        <v>26</v>
      </c>
      <c r="K753" t="s">
        <v>17</v>
      </c>
      <c r="L753">
        <v>28</v>
      </c>
      <c r="M753" t="str">
        <f t="shared" si="11"/>
        <v>Adolescent</v>
      </c>
      <c r="N753" t="s">
        <v>18</v>
      </c>
    </row>
    <row r="754" spans="1:14" x14ac:dyDescent="0.25">
      <c r="A754">
        <v>25559</v>
      </c>
      <c r="B754" t="s">
        <v>36</v>
      </c>
      <c r="C754" t="s">
        <v>38</v>
      </c>
      <c r="D754" s="11">
        <v>20000</v>
      </c>
      <c r="E754">
        <v>0</v>
      </c>
      <c r="F754" t="s">
        <v>13</v>
      </c>
      <c r="G754" t="s">
        <v>20</v>
      </c>
      <c r="H754" t="s">
        <v>15</v>
      </c>
      <c r="I754">
        <v>0</v>
      </c>
      <c r="J754" t="s">
        <v>16</v>
      </c>
      <c r="K754" t="s">
        <v>24</v>
      </c>
      <c r="L754">
        <v>25</v>
      </c>
      <c r="M754" t="str">
        <f t="shared" si="11"/>
        <v>Adolescent</v>
      </c>
      <c r="N754" t="s">
        <v>15</v>
      </c>
    </row>
    <row r="755" spans="1:14" x14ac:dyDescent="0.25">
      <c r="A755">
        <v>25512</v>
      </c>
      <c r="B755" t="s">
        <v>36</v>
      </c>
      <c r="C755" t="s">
        <v>38</v>
      </c>
      <c r="D755" s="11">
        <v>20000</v>
      </c>
      <c r="E755">
        <v>0</v>
      </c>
      <c r="F755" t="s">
        <v>27</v>
      </c>
      <c r="G755" t="s">
        <v>25</v>
      </c>
      <c r="H755" t="s">
        <v>18</v>
      </c>
      <c r="I755">
        <v>1</v>
      </c>
      <c r="J755" t="s">
        <v>22</v>
      </c>
      <c r="K755" t="s">
        <v>17</v>
      </c>
      <c r="L755">
        <v>30</v>
      </c>
      <c r="M755" t="str">
        <f t="shared" si="11"/>
        <v>Adolescent</v>
      </c>
      <c r="N755" t="s">
        <v>18</v>
      </c>
    </row>
    <row r="756" spans="1:14" x14ac:dyDescent="0.25">
      <c r="A756">
        <v>24174</v>
      </c>
      <c r="B756" t="s">
        <v>35</v>
      </c>
      <c r="C756" t="s">
        <v>38</v>
      </c>
      <c r="D756" s="11">
        <v>20000</v>
      </c>
      <c r="E756">
        <v>0</v>
      </c>
      <c r="F756" t="s">
        <v>13</v>
      </c>
      <c r="G756" t="s">
        <v>20</v>
      </c>
      <c r="H756" t="s">
        <v>15</v>
      </c>
      <c r="I756">
        <v>0</v>
      </c>
      <c r="J756" t="s">
        <v>16</v>
      </c>
      <c r="K756" t="s">
        <v>24</v>
      </c>
      <c r="L756">
        <v>27</v>
      </c>
      <c r="M756" t="str">
        <f t="shared" si="11"/>
        <v>Adolescent</v>
      </c>
      <c r="N756" t="s">
        <v>15</v>
      </c>
    </row>
    <row r="757" spans="1:14" x14ac:dyDescent="0.25">
      <c r="A757">
        <v>24065</v>
      </c>
      <c r="B757" t="s">
        <v>36</v>
      </c>
      <c r="C757" t="s">
        <v>37</v>
      </c>
      <c r="D757" s="11">
        <v>20000</v>
      </c>
      <c r="E757">
        <v>0</v>
      </c>
      <c r="F757" t="s">
        <v>27</v>
      </c>
      <c r="G757" t="s">
        <v>25</v>
      </c>
      <c r="H757" t="s">
        <v>15</v>
      </c>
      <c r="I757">
        <v>0</v>
      </c>
      <c r="J757" t="s">
        <v>16</v>
      </c>
      <c r="K757" t="s">
        <v>17</v>
      </c>
      <c r="L757">
        <v>40</v>
      </c>
      <c r="M757" t="str">
        <f t="shared" si="11"/>
        <v>MIddleAge</v>
      </c>
      <c r="N757" t="s">
        <v>15</v>
      </c>
    </row>
    <row r="758" spans="1:14" x14ac:dyDescent="0.25">
      <c r="A758">
        <v>22527</v>
      </c>
      <c r="B758" t="s">
        <v>36</v>
      </c>
      <c r="C758" t="s">
        <v>37</v>
      </c>
      <c r="D758" s="11">
        <v>20000</v>
      </c>
      <c r="E758">
        <v>0</v>
      </c>
      <c r="F758" t="s">
        <v>27</v>
      </c>
      <c r="G758" t="s">
        <v>25</v>
      </c>
      <c r="H758" t="s">
        <v>18</v>
      </c>
      <c r="I758">
        <v>1</v>
      </c>
      <c r="J758" t="s">
        <v>22</v>
      </c>
      <c r="K758" t="s">
        <v>17</v>
      </c>
      <c r="L758">
        <v>29</v>
      </c>
      <c r="M758" t="str">
        <f t="shared" si="11"/>
        <v>Adolescent</v>
      </c>
      <c r="N758" t="s">
        <v>18</v>
      </c>
    </row>
    <row r="759" spans="1:14" x14ac:dyDescent="0.25">
      <c r="A759">
        <v>20994</v>
      </c>
      <c r="B759" t="s">
        <v>35</v>
      </c>
      <c r="C759" t="s">
        <v>37</v>
      </c>
      <c r="D759" s="11">
        <v>20000</v>
      </c>
      <c r="E759">
        <v>0</v>
      </c>
      <c r="F759" t="s">
        <v>13</v>
      </c>
      <c r="G759" t="s">
        <v>20</v>
      </c>
      <c r="H759" t="s">
        <v>18</v>
      </c>
      <c r="I759">
        <v>0</v>
      </c>
      <c r="J759" t="s">
        <v>16</v>
      </c>
      <c r="K759" t="s">
        <v>24</v>
      </c>
      <c r="L759">
        <v>26</v>
      </c>
      <c r="M759" t="str">
        <f t="shared" si="11"/>
        <v>Adolescent</v>
      </c>
      <c r="N759" t="s">
        <v>15</v>
      </c>
    </row>
    <row r="760" spans="1:14" x14ac:dyDescent="0.25">
      <c r="A760">
        <v>20942</v>
      </c>
      <c r="B760" t="s">
        <v>36</v>
      </c>
      <c r="C760" t="s">
        <v>37</v>
      </c>
      <c r="D760" s="11">
        <v>20000</v>
      </c>
      <c r="E760">
        <v>0</v>
      </c>
      <c r="F760" t="s">
        <v>27</v>
      </c>
      <c r="G760" t="s">
        <v>25</v>
      </c>
      <c r="H760" t="s">
        <v>18</v>
      </c>
      <c r="I760">
        <v>1</v>
      </c>
      <c r="J760" t="s">
        <v>23</v>
      </c>
      <c r="K760" t="s">
        <v>17</v>
      </c>
      <c r="L760">
        <v>31</v>
      </c>
      <c r="M760" t="str">
        <f t="shared" si="11"/>
        <v>MIddleAge</v>
      </c>
      <c r="N760" t="s">
        <v>18</v>
      </c>
    </row>
    <row r="761" spans="1:14" x14ac:dyDescent="0.25">
      <c r="A761">
        <v>20851</v>
      </c>
      <c r="B761" t="s">
        <v>36</v>
      </c>
      <c r="C761" t="s">
        <v>38</v>
      </c>
      <c r="D761" s="11">
        <v>20000</v>
      </c>
      <c r="E761">
        <v>0</v>
      </c>
      <c r="F761" t="s">
        <v>19</v>
      </c>
      <c r="G761" t="s">
        <v>25</v>
      </c>
      <c r="H761" t="s">
        <v>18</v>
      </c>
      <c r="I761">
        <v>1</v>
      </c>
      <c r="J761" t="s">
        <v>22</v>
      </c>
      <c r="K761" t="s">
        <v>17</v>
      </c>
      <c r="L761">
        <v>36</v>
      </c>
      <c r="M761" t="str">
        <f t="shared" si="11"/>
        <v>MIddleAge</v>
      </c>
      <c r="N761" t="s">
        <v>15</v>
      </c>
    </row>
    <row r="762" spans="1:14" x14ac:dyDescent="0.25">
      <c r="A762">
        <v>17845</v>
      </c>
      <c r="B762" t="s">
        <v>36</v>
      </c>
      <c r="C762" t="s">
        <v>37</v>
      </c>
      <c r="D762" s="11">
        <v>20000</v>
      </c>
      <c r="E762">
        <v>0</v>
      </c>
      <c r="F762" t="s">
        <v>29</v>
      </c>
      <c r="G762" t="s">
        <v>25</v>
      </c>
      <c r="H762" t="s">
        <v>18</v>
      </c>
      <c r="I762">
        <v>2</v>
      </c>
      <c r="J762" t="s">
        <v>26</v>
      </c>
      <c r="K762" t="s">
        <v>17</v>
      </c>
      <c r="L762">
        <v>32</v>
      </c>
      <c r="M762" t="str">
        <f t="shared" si="11"/>
        <v>MIddleAge</v>
      </c>
      <c r="N762" t="s">
        <v>18</v>
      </c>
    </row>
    <row r="763" spans="1:14" x14ac:dyDescent="0.25">
      <c r="A763">
        <v>16466</v>
      </c>
      <c r="B763" t="s">
        <v>36</v>
      </c>
      <c r="C763" t="s">
        <v>37</v>
      </c>
      <c r="D763" s="11">
        <v>20000</v>
      </c>
      <c r="E763">
        <v>0</v>
      </c>
      <c r="F763" t="s">
        <v>29</v>
      </c>
      <c r="G763" t="s">
        <v>25</v>
      </c>
      <c r="H763" t="s">
        <v>18</v>
      </c>
      <c r="I763">
        <v>2</v>
      </c>
      <c r="J763" t="s">
        <v>16</v>
      </c>
      <c r="K763" t="s">
        <v>17</v>
      </c>
      <c r="L763">
        <v>32</v>
      </c>
      <c r="M763" t="str">
        <f t="shared" si="11"/>
        <v>MIddleAge</v>
      </c>
      <c r="N763" t="s">
        <v>15</v>
      </c>
    </row>
    <row r="764" spans="1:14" x14ac:dyDescent="0.25">
      <c r="A764">
        <v>16188</v>
      </c>
      <c r="B764" t="s">
        <v>36</v>
      </c>
      <c r="C764" t="s">
        <v>37</v>
      </c>
      <c r="D764" s="11">
        <v>20000</v>
      </c>
      <c r="E764">
        <v>0</v>
      </c>
      <c r="F764" t="s">
        <v>29</v>
      </c>
      <c r="G764" t="s">
        <v>25</v>
      </c>
      <c r="H764" t="s">
        <v>18</v>
      </c>
      <c r="I764">
        <v>2</v>
      </c>
      <c r="J764" t="s">
        <v>26</v>
      </c>
      <c r="K764" t="s">
        <v>17</v>
      </c>
      <c r="L764">
        <v>26</v>
      </c>
      <c r="M764" t="str">
        <f t="shared" si="11"/>
        <v>Adolescent</v>
      </c>
      <c r="N764" t="s">
        <v>18</v>
      </c>
    </row>
    <row r="765" spans="1:14" x14ac:dyDescent="0.25">
      <c r="A765">
        <v>15030</v>
      </c>
      <c r="B765" t="s">
        <v>35</v>
      </c>
      <c r="C765" t="s">
        <v>38</v>
      </c>
      <c r="D765" s="11">
        <v>20000</v>
      </c>
      <c r="E765">
        <v>0</v>
      </c>
      <c r="F765" t="s">
        <v>13</v>
      </c>
      <c r="G765" t="s">
        <v>20</v>
      </c>
      <c r="H765" t="s">
        <v>15</v>
      </c>
      <c r="I765">
        <v>0</v>
      </c>
      <c r="J765" t="s">
        <v>16</v>
      </c>
      <c r="K765" t="s">
        <v>24</v>
      </c>
      <c r="L765">
        <v>26</v>
      </c>
      <c r="M765" t="str">
        <f t="shared" si="11"/>
        <v>Adolescent</v>
      </c>
      <c r="N765" t="s">
        <v>15</v>
      </c>
    </row>
    <row r="766" spans="1:14" x14ac:dyDescent="0.25">
      <c r="A766">
        <v>13690</v>
      </c>
      <c r="B766" t="s">
        <v>36</v>
      </c>
      <c r="C766" t="s">
        <v>37</v>
      </c>
      <c r="D766" s="11">
        <v>20000</v>
      </c>
      <c r="E766">
        <v>0</v>
      </c>
      <c r="F766" t="s">
        <v>29</v>
      </c>
      <c r="G766" t="s">
        <v>25</v>
      </c>
      <c r="H766" t="s">
        <v>18</v>
      </c>
      <c r="I766">
        <v>2</v>
      </c>
      <c r="J766" t="s">
        <v>26</v>
      </c>
      <c r="K766" t="s">
        <v>17</v>
      </c>
      <c r="L766">
        <v>34</v>
      </c>
      <c r="M766" t="str">
        <f t="shared" si="11"/>
        <v>MIddleAge</v>
      </c>
      <c r="N766" t="s">
        <v>15</v>
      </c>
    </row>
    <row r="767" spans="1:14" x14ac:dyDescent="0.25">
      <c r="A767">
        <v>13673</v>
      </c>
      <c r="B767" t="s">
        <v>36</v>
      </c>
      <c r="C767" t="s">
        <v>37</v>
      </c>
      <c r="D767" s="11">
        <v>20000</v>
      </c>
      <c r="E767">
        <v>0</v>
      </c>
      <c r="F767" t="s">
        <v>29</v>
      </c>
      <c r="G767" t="s">
        <v>25</v>
      </c>
      <c r="H767" t="s">
        <v>18</v>
      </c>
      <c r="I767">
        <v>2</v>
      </c>
      <c r="J767" t="s">
        <v>16</v>
      </c>
      <c r="K767" t="s">
        <v>17</v>
      </c>
      <c r="L767">
        <v>25</v>
      </c>
      <c r="M767" t="str">
        <f t="shared" si="11"/>
        <v>Adolescent</v>
      </c>
      <c r="N767" t="s">
        <v>18</v>
      </c>
    </row>
    <row r="768" spans="1:14" x14ac:dyDescent="0.25">
      <c r="A768">
        <v>13662</v>
      </c>
      <c r="B768" t="s">
        <v>36</v>
      </c>
      <c r="C768" t="s">
        <v>38</v>
      </c>
      <c r="D768" s="11">
        <v>20000</v>
      </c>
      <c r="E768">
        <v>0</v>
      </c>
      <c r="F768" t="s">
        <v>29</v>
      </c>
      <c r="G768" t="s">
        <v>25</v>
      </c>
      <c r="H768" t="s">
        <v>15</v>
      </c>
      <c r="I768">
        <v>2</v>
      </c>
      <c r="J768" t="s">
        <v>26</v>
      </c>
      <c r="K768" t="s">
        <v>17</v>
      </c>
      <c r="L768">
        <v>31</v>
      </c>
      <c r="M768" t="str">
        <f t="shared" si="11"/>
        <v>MIddleAge</v>
      </c>
      <c r="N768" t="s">
        <v>15</v>
      </c>
    </row>
    <row r="769" spans="1:14" x14ac:dyDescent="0.25">
      <c r="A769">
        <v>12253</v>
      </c>
      <c r="B769" t="s">
        <v>36</v>
      </c>
      <c r="C769" t="s">
        <v>37</v>
      </c>
      <c r="D769" s="11">
        <v>20000</v>
      </c>
      <c r="E769">
        <v>0</v>
      </c>
      <c r="F769" t="s">
        <v>19</v>
      </c>
      <c r="G769" t="s">
        <v>25</v>
      </c>
      <c r="H769" t="s">
        <v>15</v>
      </c>
      <c r="I769">
        <v>0</v>
      </c>
      <c r="J769" t="s">
        <v>16</v>
      </c>
      <c r="K769" t="s">
        <v>24</v>
      </c>
      <c r="L769">
        <v>29</v>
      </c>
      <c r="M769" t="str">
        <f t="shared" si="11"/>
        <v>Adolescent</v>
      </c>
      <c r="N769" t="s">
        <v>15</v>
      </c>
    </row>
    <row r="770" spans="1:14" x14ac:dyDescent="0.25">
      <c r="A770">
        <v>11489</v>
      </c>
      <c r="B770" t="s">
        <v>36</v>
      </c>
      <c r="C770" t="s">
        <v>37</v>
      </c>
      <c r="D770" s="11">
        <v>20000</v>
      </c>
      <c r="E770">
        <v>0</v>
      </c>
      <c r="F770" t="s">
        <v>29</v>
      </c>
      <c r="G770" t="s">
        <v>25</v>
      </c>
      <c r="H770" t="s">
        <v>18</v>
      </c>
      <c r="I770">
        <v>2</v>
      </c>
      <c r="J770" t="s">
        <v>26</v>
      </c>
      <c r="K770" t="s">
        <v>17</v>
      </c>
      <c r="L770">
        <v>35</v>
      </c>
      <c r="M770" t="str">
        <f t="shared" ref="M770:M833" si="12">IF(L770&gt; 54, "Old",IF(L770&gt;= 31, "MIddleAge",IF(L770&lt;31, "Adolescent", "Adult")))</f>
        <v>MIddleAge</v>
      </c>
      <c r="N770" t="s">
        <v>15</v>
      </c>
    </row>
    <row r="771" spans="1:14" x14ac:dyDescent="0.25">
      <c r="A771">
        <v>28436</v>
      </c>
      <c r="B771" t="s">
        <v>36</v>
      </c>
      <c r="C771" t="s">
        <v>38</v>
      </c>
      <c r="D771" s="11">
        <v>30000</v>
      </c>
      <c r="E771">
        <v>0</v>
      </c>
      <c r="F771" t="s">
        <v>19</v>
      </c>
      <c r="G771" t="s">
        <v>20</v>
      </c>
      <c r="H771" t="s">
        <v>18</v>
      </c>
      <c r="I771">
        <v>1</v>
      </c>
      <c r="J771" t="s">
        <v>16</v>
      </c>
      <c r="K771" t="s">
        <v>17</v>
      </c>
      <c r="L771">
        <v>30</v>
      </c>
      <c r="M771" t="str">
        <f t="shared" si="12"/>
        <v>Adolescent</v>
      </c>
      <c r="N771" t="s">
        <v>15</v>
      </c>
    </row>
    <row r="772" spans="1:14" x14ac:dyDescent="0.25">
      <c r="A772">
        <v>27832</v>
      </c>
      <c r="B772" t="s">
        <v>36</v>
      </c>
      <c r="C772" t="s">
        <v>37</v>
      </c>
      <c r="D772" s="11">
        <v>30000</v>
      </c>
      <c r="E772">
        <v>0</v>
      </c>
      <c r="F772" t="s">
        <v>19</v>
      </c>
      <c r="G772" t="s">
        <v>20</v>
      </c>
      <c r="H772" t="s">
        <v>18</v>
      </c>
      <c r="I772">
        <v>1</v>
      </c>
      <c r="J772" t="s">
        <v>22</v>
      </c>
      <c r="K772" t="s">
        <v>17</v>
      </c>
      <c r="L772">
        <v>30</v>
      </c>
      <c r="M772" t="str">
        <f t="shared" si="12"/>
        <v>Adolescent</v>
      </c>
      <c r="N772" t="s">
        <v>18</v>
      </c>
    </row>
    <row r="773" spans="1:14" x14ac:dyDescent="0.25">
      <c r="A773">
        <v>27169</v>
      </c>
      <c r="B773" t="s">
        <v>36</v>
      </c>
      <c r="C773" t="s">
        <v>38</v>
      </c>
      <c r="D773" s="11">
        <v>30000</v>
      </c>
      <c r="E773">
        <v>0</v>
      </c>
      <c r="F773" t="s">
        <v>27</v>
      </c>
      <c r="G773" t="s">
        <v>25</v>
      </c>
      <c r="H773" t="s">
        <v>15</v>
      </c>
      <c r="I773">
        <v>1</v>
      </c>
      <c r="J773" t="s">
        <v>22</v>
      </c>
      <c r="K773" t="s">
        <v>17</v>
      </c>
      <c r="L773">
        <v>34</v>
      </c>
      <c r="M773" t="str">
        <f t="shared" si="12"/>
        <v>MIddleAge</v>
      </c>
      <c r="N773" t="s">
        <v>15</v>
      </c>
    </row>
    <row r="774" spans="1:14" x14ac:dyDescent="0.25">
      <c r="A774">
        <v>26941</v>
      </c>
      <c r="B774" t="s">
        <v>35</v>
      </c>
      <c r="C774" t="s">
        <v>38</v>
      </c>
      <c r="D774" s="11">
        <v>30000</v>
      </c>
      <c r="E774">
        <v>0</v>
      </c>
      <c r="F774" t="s">
        <v>13</v>
      </c>
      <c r="G774" t="s">
        <v>20</v>
      </c>
      <c r="H774" t="s">
        <v>15</v>
      </c>
      <c r="I774">
        <v>0</v>
      </c>
      <c r="J774" t="s">
        <v>16</v>
      </c>
      <c r="K774" t="s">
        <v>17</v>
      </c>
      <c r="L774">
        <v>47</v>
      </c>
      <c r="M774" t="str">
        <f t="shared" si="12"/>
        <v>MIddleAge</v>
      </c>
      <c r="N774" t="s">
        <v>15</v>
      </c>
    </row>
    <row r="775" spans="1:14" x14ac:dyDescent="0.25">
      <c r="A775">
        <v>26886</v>
      </c>
      <c r="B775" t="s">
        <v>36</v>
      </c>
      <c r="C775" t="s">
        <v>37</v>
      </c>
      <c r="D775" s="11">
        <v>30000</v>
      </c>
      <c r="E775">
        <v>0</v>
      </c>
      <c r="F775" t="s">
        <v>19</v>
      </c>
      <c r="G775" t="s">
        <v>20</v>
      </c>
      <c r="H775" t="s">
        <v>18</v>
      </c>
      <c r="I775">
        <v>1</v>
      </c>
      <c r="J775" t="s">
        <v>16</v>
      </c>
      <c r="K775" t="s">
        <v>17</v>
      </c>
      <c r="L775">
        <v>29</v>
      </c>
      <c r="M775" t="str">
        <f t="shared" si="12"/>
        <v>Adolescent</v>
      </c>
      <c r="N775" t="s">
        <v>15</v>
      </c>
    </row>
    <row r="776" spans="1:14" x14ac:dyDescent="0.25">
      <c r="A776">
        <v>25681</v>
      </c>
      <c r="B776" t="s">
        <v>36</v>
      </c>
      <c r="C776" t="s">
        <v>37</v>
      </c>
      <c r="D776" s="11">
        <v>30000</v>
      </c>
      <c r="E776">
        <v>0</v>
      </c>
      <c r="F776" t="s">
        <v>19</v>
      </c>
      <c r="G776" t="s">
        <v>20</v>
      </c>
      <c r="H776" t="s">
        <v>18</v>
      </c>
      <c r="I776">
        <v>1</v>
      </c>
      <c r="J776" t="s">
        <v>22</v>
      </c>
      <c r="K776" t="s">
        <v>17</v>
      </c>
      <c r="L776">
        <v>31</v>
      </c>
      <c r="M776" t="str">
        <f t="shared" si="12"/>
        <v>MIddleAge</v>
      </c>
      <c r="N776" t="s">
        <v>15</v>
      </c>
    </row>
    <row r="777" spans="1:14" x14ac:dyDescent="0.25">
      <c r="A777">
        <v>25597</v>
      </c>
      <c r="B777" t="s">
        <v>36</v>
      </c>
      <c r="C777" t="s">
        <v>38</v>
      </c>
      <c r="D777" s="11">
        <v>30000</v>
      </c>
      <c r="E777">
        <v>0</v>
      </c>
      <c r="F777" t="s">
        <v>13</v>
      </c>
      <c r="G777" t="s">
        <v>20</v>
      </c>
      <c r="H777" t="s">
        <v>18</v>
      </c>
      <c r="I777">
        <v>0</v>
      </c>
      <c r="J777" t="s">
        <v>16</v>
      </c>
      <c r="K777" t="s">
        <v>17</v>
      </c>
      <c r="L777">
        <v>36</v>
      </c>
      <c r="M777" t="str">
        <f t="shared" si="12"/>
        <v>MIddleAge</v>
      </c>
      <c r="N777" t="s">
        <v>15</v>
      </c>
    </row>
    <row r="778" spans="1:14" x14ac:dyDescent="0.25">
      <c r="A778">
        <v>25303</v>
      </c>
      <c r="B778" t="s">
        <v>36</v>
      </c>
      <c r="C778" t="s">
        <v>38</v>
      </c>
      <c r="D778" s="11">
        <v>30000</v>
      </c>
      <c r="E778">
        <v>0</v>
      </c>
      <c r="F778" t="s">
        <v>27</v>
      </c>
      <c r="G778" t="s">
        <v>25</v>
      </c>
      <c r="H778" t="s">
        <v>15</v>
      </c>
      <c r="I778">
        <v>1</v>
      </c>
      <c r="J778" t="s">
        <v>22</v>
      </c>
      <c r="K778" t="s">
        <v>17</v>
      </c>
      <c r="L778">
        <v>33</v>
      </c>
      <c r="M778" t="str">
        <f t="shared" si="12"/>
        <v>MIddleAge</v>
      </c>
      <c r="N778" t="s">
        <v>15</v>
      </c>
    </row>
    <row r="779" spans="1:14" x14ac:dyDescent="0.25">
      <c r="A779">
        <v>25006</v>
      </c>
      <c r="B779" t="s">
        <v>36</v>
      </c>
      <c r="C779" t="s">
        <v>37</v>
      </c>
      <c r="D779" s="11">
        <v>30000</v>
      </c>
      <c r="E779">
        <v>0</v>
      </c>
      <c r="F779" t="s">
        <v>19</v>
      </c>
      <c r="G779" t="s">
        <v>14</v>
      </c>
      <c r="H779" t="s">
        <v>15</v>
      </c>
      <c r="I779">
        <v>1</v>
      </c>
      <c r="J779" t="s">
        <v>23</v>
      </c>
      <c r="K779" t="s">
        <v>31</v>
      </c>
      <c r="L779">
        <v>28</v>
      </c>
      <c r="M779" t="str">
        <f t="shared" si="12"/>
        <v>Adolescent</v>
      </c>
      <c r="N779" t="s">
        <v>18</v>
      </c>
    </row>
    <row r="780" spans="1:14" x14ac:dyDescent="0.25">
      <c r="A780">
        <v>24121</v>
      </c>
      <c r="B780" t="s">
        <v>36</v>
      </c>
      <c r="C780" t="s">
        <v>37</v>
      </c>
      <c r="D780" s="11">
        <v>30000</v>
      </c>
      <c r="E780">
        <v>0</v>
      </c>
      <c r="F780" t="s">
        <v>19</v>
      </c>
      <c r="G780" t="s">
        <v>20</v>
      </c>
      <c r="H780" t="s">
        <v>18</v>
      </c>
      <c r="I780">
        <v>1</v>
      </c>
      <c r="J780" t="s">
        <v>16</v>
      </c>
      <c r="K780" t="s">
        <v>17</v>
      </c>
      <c r="L780">
        <v>29</v>
      </c>
      <c r="M780" t="str">
        <f t="shared" si="12"/>
        <v>Adolescent</v>
      </c>
      <c r="N780" t="s">
        <v>15</v>
      </c>
    </row>
    <row r="781" spans="1:14" x14ac:dyDescent="0.25">
      <c r="A781">
        <v>24119</v>
      </c>
      <c r="B781" t="s">
        <v>36</v>
      </c>
      <c r="C781" t="s">
        <v>38</v>
      </c>
      <c r="D781" s="11">
        <v>30000</v>
      </c>
      <c r="E781">
        <v>0</v>
      </c>
      <c r="F781" t="s">
        <v>19</v>
      </c>
      <c r="G781" t="s">
        <v>20</v>
      </c>
      <c r="H781" t="s">
        <v>18</v>
      </c>
      <c r="I781">
        <v>1</v>
      </c>
      <c r="J781" t="s">
        <v>22</v>
      </c>
      <c r="K781" t="s">
        <v>17</v>
      </c>
      <c r="L781">
        <v>29</v>
      </c>
      <c r="M781" t="str">
        <f t="shared" si="12"/>
        <v>Adolescent</v>
      </c>
      <c r="N781" t="s">
        <v>18</v>
      </c>
    </row>
    <row r="782" spans="1:14" x14ac:dyDescent="0.25">
      <c r="A782">
        <v>23549</v>
      </c>
      <c r="B782" t="s">
        <v>36</v>
      </c>
      <c r="C782" t="s">
        <v>38</v>
      </c>
      <c r="D782" s="11">
        <v>30000</v>
      </c>
      <c r="E782">
        <v>0</v>
      </c>
      <c r="F782" t="s">
        <v>27</v>
      </c>
      <c r="G782" t="s">
        <v>14</v>
      </c>
      <c r="H782" t="s">
        <v>15</v>
      </c>
      <c r="I782">
        <v>2</v>
      </c>
      <c r="J782" t="s">
        <v>23</v>
      </c>
      <c r="K782" t="s">
        <v>31</v>
      </c>
      <c r="L782">
        <v>30</v>
      </c>
      <c r="M782" t="str">
        <f t="shared" si="12"/>
        <v>Adolescent</v>
      </c>
      <c r="N782" t="s">
        <v>18</v>
      </c>
    </row>
    <row r="783" spans="1:14" x14ac:dyDescent="0.25">
      <c r="A783">
        <v>22983</v>
      </c>
      <c r="B783" t="s">
        <v>36</v>
      </c>
      <c r="C783" t="s">
        <v>37</v>
      </c>
      <c r="D783" s="11">
        <v>30000</v>
      </c>
      <c r="E783">
        <v>0</v>
      </c>
      <c r="F783" t="s">
        <v>29</v>
      </c>
      <c r="G783" t="s">
        <v>20</v>
      </c>
      <c r="H783" t="s">
        <v>15</v>
      </c>
      <c r="I783">
        <v>2</v>
      </c>
      <c r="J783" t="s">
        <v>23</v>
      </c>
      <c r="K783" t="s">
        <v>31</v>
      </c>
      <c r="L783">
        <v>27</v>
      </c>
      <c r="M783" t="str">
        <f t="shared" si="12"/>
        <v>Adolescent</v>
      </c>
      <c r="N783" t="s">
        <v>18</v>
      </c>
    </row>
    <row r="784" spans="1:14" x14ac:dyDescent="0.25">
      <c r="A784">
        <v>22971</v>
      </c>
      <c r="B784" t="s">
        <v>36</v>
      </c>
      <c r="C784" t="s">
        <v>37</v>
      </c>
      <c r="D784" s="11">
        <v>30000</v>
      </c>
      <c r="E784">
        <v>0</v>
      </c>
      <c r="F784" t="s">
        <v>27</v>
      </c>
      <c r="G784" t="s">
        <v>14</v>
      </c>
      <c r="H784" t="s">
        <v>18</v>
      </c>
      <c r="I784">
        <v>2</v>
      </c>
      <c r="J784" t="s">
        <v>16</v>
      </c>
      <c r="K784" t="s">
        <v>31</v>
      </c>
      <c r="L784">
        <v>25</v>
      </c>
      <c r="M784" t="str">
        <f t="shared" si="12"/>
        <v>Adolescent</v>
      </c>
      <c r="N784" t="s">
        <v>15</v>
      </c>
    </row>
    <row r="785" spans="1:14" x14ac:dyDescent="0.25">
      <c r="A785">
        <v>22707</v>
      </c>
      <c r="B785" t="s">
        <v>36</v>
      </c>
      <c r="C785" t="s">
        <v>37</v>
      </c>
      <c r="D785" s="11">
        <v>30000</v>
      </c>
      <c r="E785">
        <v>0</v>
      </c>
      <c r="F785" t="s">
        <v>19</v>
      </c>
      <c r="G785" t="s">
        <v>20</v>
      </c>
      <c r="H785" t="s">
        <v>18</v>
      </c>
      <c r="I785">
        <v>1</v>
      </c>
      <c r="J785" t="s">
        <v>22</v>
      </c>
      <c r="K785" t="s">
        <v>17</v>
      </c>
      <c r="L785">
        <v>30</v>
      </c>
      <c r="M785" t="str">
        <f t="shared" si="12"/>
        <v>Adolescent</v>
      </c>
      <c r="N785" t="s">
        <v>18</v>
      </c>
    </row>
    <row r="786" spans="1:14" x14ac:dyDescent="0.25">
      <c r="A786">
        <v>22610</v>
      </c>
      <c r="B786" t="s">
        <v>35</v>
      </c>
      <c r="C786" t="s">
        <v>38</v>
      </c>
      <c r="D786" s="11">
        <v>30000</v>
      </c>
      <c r="E786">
        <v>0</v>
      </c>
      <c r="F786" t="s">
        <v>13</v>
      </c>
      <c r="G786" t="s">
        <v>20</v>
      </c>
      <c r="H786" t="s">
        <v>15</v>
      </c>
      <c r="I786">
        <v>0</v>
      </c>
      <c r="J786" t="s">
        <v>16</v>
      </c>
      <c r="K786" t="s">
        <v>17</v>
      </c>
      <c r="L786">
        <v>35</v>
      </c>
      <c r="M786" t="str">
        <f t="shared" si="12"/>
        <v>MIddleAge</v>
      </c>
      <c r="N786" t="s">
        <v>15</v>
      </c>
    </row>
    <row r="787" spans="1:14" x14ac:dyDescent="0.25">
      <c r="A787">
        <v>22439</v>
      </c>
      <c r="B787" t="s">
        <v>35</v>
      </c>
      <c r="C787" t="s">
        <v>37</v>
      </c>
      <c r="D787" s="11">
        <v>30000</v>
      </c>
      <c r="E787">
        <v>0</v>
      </c>
      <c r="F787" t="s">
        <v>13</v>
      </c>
      <c r="G787" t="s">
        <v>20</v>
      </c>
      <c r="H787" t="s">
        <v>15</v>
      </c>
      <c r="I787">
        <v>0</v>
      </c>
      <c r="J787" t="s">
        <v>16</v>
      </c>
      <c r="K787" t="s">
        <v>17</v>
      </c>
      <c r="L787">
        <v>37</v>
      </c>
      <c r="M787" t="str">
        <f t="shared" si="12"/>
        <v>MIddleAge</v>
      </c>
      <c r="N787" t="s">
        <v>15</v>
      </c>
    </row>
    <row r="788" spans="1:14" x14ac:dyDescent="0.25">
      <c r="A788">
        <v>22014</v>
      </c>
      <c r="B788" t="s">
        <v>36</v>
      </c>
      <c r="C788" t="s">
        <v>38</v>
      </c>
      <c r="D788" s="11">
        <v>30000</v>
      </c>
      <c r="E788">
        <v>0</v>
      </c>
      <c r="F788" t="s">
        <v>27</v>
      </c>
      <c r="G788" t="s">
        <v>14</v>
      </c>
      <c r="H788" t="s">
        <v>15</v>
      </c>
      <c r="I788">
        <v>2</v>
      </c>
      <c r="J788" t="s">
        <v>23</v>
      </c>
      <c r="K788" t="s">
        <v>31</v>
      </c>
      <c r="L788">
        <v>26</v>
      </c>
      <c r="M788" t="str">
        <f t="shared" si="12"/>
        <v>Adolescent</v>
      </c>
      <c r="N788" t="s">
        <v>18</v>
      </c>
    </row>
    <row r="789" spans="1:14" x14ac:dyDescent="0.25">
      <c r="A789">
        <v>20946</v>
      </c>
      <c r="B789" t="s">
        <v>36</v>
      </c>
      <c r="C789" t="s">
        <v>37</v>
      </c>
      <c r="D789" s="11">
        <v>30000</v>
      </c>
      <c r="E789">
        <v>0</v>
      </c>
      <c r="F789" t="s">
        <v>19</v>
      </c>
      <c r="G789" t="s">
        <v>20</v>
      </c>
      <c r="H789" t="s">
        <v>18</v>
      </c>
      <c r="I789">
        <v>1</v>
      </c>
      <c r="J789" t="s">
        <v>22</v>
      </c>
      <c r="K789" t="s">
        <v>17</v>
      </c>
      <c r="L789">
        <v>30</v>
      </c>
      <c r="M789" t="str">
        <f t="shared" si="12"/>
        <v>Adolescent</v>
      </c>
      <c r="N789" t="s">
        <v>18</v>
      </c>
    </row>
    <row r="790" spans="1:14" x14ac:dyDescent="0.25">
      <c r="A790">
        <v>20060</v>
      </c>
      <c r="B790" t="s">
        <v>36</v>
      </c>
      <c r="C790" t="s">
        <v>37</v>
      </c>
      <c r="D790" s="11">
        <v>30000</v>
      </c>
      <c r="E790">
        <v>0</v>
      </c>
      <c r="F790" t="s">
        <v>27</v>
      </c>
      <c r="G790" t="s">
        <v>25</v>
      </c>
      <c r="H790" t="s">
        <v>18</v>
      </c>
      <c r="I790">
        <v>1</v>
      </c>
      <c r="J790" t="s">
        <v>22</v>
      </c>
      <c r="K790" t="s">
        <v>17</v>
      </c>
      <c r="L790">
        <v>34</v>
      </c>
      <c r="M790" t="str">
        <f t="shared" si="12"/>
        <v>MIddleAge</v>
      </c>
      <c r="N790" t="s">
        <v>15</v>
      </c>
    </row>
    <row r="791" spans="1:14" x14ac:dyDescent="0.25">
      <c r="A791">
        <v>19389</v>
      </c>
      <c r="B791" t="s">
        <v>36</v>
      </c>
      <c r="C791" t="s">
        <v>38</v>
      </c>
      <c r="D791" s="11">
        <v>30000</v>
      </c>
      <c r="E791">
        <v>0</v>
      </c>
      <c r="F791" t="s">
        <v>19</v>
      </c>
      <c r="G791" t="s">
        <v>20</v>
      </c>
      <c r="H791" t="s">
        <v>18</v>
      </c>
      <c r="I791">
        <v>1</v>
      </c>
      <c r="J791" t="s">
        <v>22</v>
      </c>
      <c r="K791" t="s">
        <v>17</v>
      </c>
      <c r="L791">
        <v>28</v>
      </c>
      <c r="M791" t="str">
        <f t="shared" si="12"/>
        <v>Adolescent</v>
      </c>
      <c r="N791" t="s">
        <v>18</v>
      </c>
    </row>
    <row r="792" spans="1:14" x14ac:dyDescent="0.25">
      <c r="A792">
        <v>19174</v>
      </c>
      <c r="B792" t="s">
        <v>36</v>
      </c>
      <c r="C792" t="s">
        <v>37</v>
      </c>
      <c r="D792" s="11">
        <v>30000</v>
      </c>
      <c r="E792">
        <v>0</v>
      </c>
      <c r="F792" t="s">
        <v>27</v>
      </c>
      <c r="G792" t="s">
        <v>25</v>
      </c>
      <c r="H792" t="s">
        <v>18</v>
      </c>
      <c r="I792">
        <v>1</v>
      </c>
      <c r="J792" t="s">
        <v>22</v>
      </c>
      <c r="K792" t="s">
        <v>17</v>
      </c>
      <c r="L792">
        <v>32</v>
      </c>
      <c r="M792" t="str">
        <f t="shared" si="12"/>
        <v>MIddleAge</v>
      </c>
      <c r="N792" t="s">
        <v>15</v>
      </c>
    </row>
    <row r="793" spans="1:14" x14ac:dyDescent="0.25">
      <c r="A793">
        <v>18910</v>
      </c>
      <c r="B793" t="s">
        <v>36</v>
      </c>
      <c r="C793" t="s">
        <v>38</v>
      </c>
      <c r="D793" s="11">
        <v>30000</v>
      </c>
      <c r="E793">
        <v>0</v>
      </c>
      <c r="F793" t="s">
        <v>19</v>
      </c>
      <c r="G793" t="s">
        <v>14</v>
      </c>
      <c r="H793" t="s">
        <v>15</v>
      </c>
      <c r="I793">
        <v>2</v>
      </c>
      <c r="J793" t="s">
        <v>23</v>
      </c>
      <c r="K793" t="s">
        <v>31</v>
      </c>
      <c r="L793">
        <v>30</v>
      </c>
      <c r="M793" t="str">
        <f t="shared" si="12"/>
        <v>Adolescent</v>
      </c>
      <c r="N793" t="s">
        <v>18</v>
      </c>
    </row>
    <row r="794" spans="1:14" x14ac:dyDescent="0.25">
      <c r="A794">
        <v>18347</v>
      </c>
      <c r="B794" t="s">
        <v>36</v>
      </c>
      <c r="C794" t="s">
        <v>37</v>
      </c>
      <c r="D794" s="11">
        <v>30000</v>
      </c>
      <c r="E794">
        <v>0</v>
      </c>
      <c r="F794" t="s">
        <v>19</v>
      </c>
      <c r="G794" t="s">
        <v>14</v>
      </c>
      <c r="H794" t="s">
        <v>18</v>
      </c>
      <c r="I794">
        <v>1</v>
      </c>
      <c r="J794" t="s">
        <v>26</v>
      </c>
      <c r="K794" t="s">
        <v>31</v>
      </c>
      <c r="L794">
        <v>31</v>
      </c>
      <c r="M794" t="str">
        <f t="shared" si="12"/>
        <v>MIddleAge</v>
      </c>
      <c r="N794" t="s">
        <v>18</v>
      </c>
    </row>
    <row r="795" spans="1:14" x14ac:dyDescent="0.25">
      <c r="A795">
        <v>18329</v>
      </c>
      <c r="B795" t="s">
        <v>36</v>
      </c>
      <c r="C795" t="s">
        <v>38</v>
      </c>
      <c r="D795" s="11">
        <v>30000</v>
      </c>
      <c r="E795">
        <v>0</v>
      </c>
      <c r="F795" t="s">
        <v>29</v>
      </c>
      <c r="G795" t="s">
        <v>20</v>
      </c>
      <c r="H795" t="s">
        <v>18</v>
      </c>
      <c r="I795">
        <v>2</v>
      </c>
      <c r="J795" t="s">
        <v>23</v>
      </c>
      <c r="K795" t="s">
        <v>31</v>
      </c>
      <c r="L795">
        <v>27</v>
      </c>
      <c r="M795" t="str">
        <f t="shared" si="12"/>
        <v>Adolescent</v>
      </c>
      <c r="N795" t="s">
        <v>18</v>
      </c>
    </row>
    <row r="796" spans="1:14" x14ac:dyDescent="0.25">
      <c r="A796">
        <v>18322</v>
      </c>
      <c r="B796" t="s">
        <v>36</v>
      </c>
      <c r="C796" t="s">
        <v>38</v>
      </c>
      <c r="D796" s="11">
        <v>30000</v>
      </c>
      <c r="E796">
        <v>0</v>
      </c>
      <c r="F796" t="s">
        <v>29</v>
      </c>
      <c r="G796" t="s">
        <v>20</v>
      </c>
      <c r="H796" t="s">
        <v>18</v>
      </c>
      <c r="I796">
        <v>2</v>
      </c>
      <c r="J796" t="s">
        <v>16</v>
      </c>
      <c r="K796" t="s">
        <v>31</v>
      </c>
      <c r="L796">
        <v>26</v>
      </c>
      <c r="M796" t="str">
        <f t="shared" si="12"/>
        <v>Adolescent</v>
      </c>
      <c r="N796" t="s">
        <v>18</v>
      </c>
    </row>
    <row r="797" spans="1:14" x14ac:dyDescent="0.25">
      <c r="A797">
        <v>17848</v>
      </c>
      <c r="B797" t="s">
        <v>36</v>
      </c>
      <c r="C797" t="s">
        <v>38</v>
      </c>
      <c r="D797" s="11">
        <v>30000</v>
      </c>
      <c r="E797">
        <v>0</v>
      </c>
      <c r="F797" t="s">
        <v>19</v>
      </c>
      <c r="G797" t="s">
        <v>20</v>
      </c>
      <c r="H797" t="s">
        <v>18</v>
      </c>
      <c r="I797">
        <v>1</v>
      </c>
      <c r="J797" t="s">
        <v>22</v>
      </c>
      <c r="K797" t="s">
        <v>17</v>
      </c>
      <c r="L797">
        <v>31</v>
      </c>
      <c r="M797" t="str">
        <f t="shared" si="12"/>
        <v>MIddleAge</v>
      </c>
      <c r="N797" t="s">
        <v>15</v>
      </c>
    </row>
    <row r="798" spans="1:14" x14ac:dyDescent="0.25">
      <c r="A798">
        <v>17841</v>
      </c>
      <c r="B798" t="s">
        <v>36</v>
      </c>
      <c r="C798" t="s">
        <v>38</v>
      </c>
      <c r="D798" s="11">
        <v>30000</v>
      </c>
      <c r="E798">
        <v>0</v>
      </c>
      <c r="F798" t="s">
        <v>19</v>
      </c>
      <c r="G798" t="s">
        <v>20</v>
      </c>
      <c r="H798" t="s">
        <v>18</v>
      </c>
      <c r="I798">
        <v>1</v>
      </c>
      <c r="J798" t="s">
        <v>16</v>
      </c>
      <c r="K798" t="s">
        <v>17</v>
      </c>
      <c r="L798">
        <v>29</v>
      </c>
      <c r="M798" t="str">
        <f t="shared" si="12"/>
        <v>Adolescent</v>
      </c>
      <c r="N798" t="s">
        <v>15</v>
      </c>
    </row>
    <row r="799" spans="1:14" x14ac:dyDescent="0.25">
      <c r="A799">
        <v>17369</v>
      </c>
      <c r="B799" t="s">
        <v>36</v>
      </c>
      <c r="C799" t="s">
        <v>38</v>
      </c>
      <c r="D799" s="11">
        <v>30000</v>
      </c>
      <c r="E799">
        <v>0</v>
      </c>
      <c r="F799" t="s">
        <v>19</v>
      </c>
      <c r="G799" t="s">
        <v>14</v>
      </c>
      <c r="H799" t="s">
        <v>15</v>
      </c>
      <c r="I799">
        <v>1</v>
      </c>
      <c r="J799" t="s">
        <v>23</v>
      </c>
      <c r="K799" t="s">
        <v>31</v>
      </c>
      <c r="L799">
        <v>27</v>
      </c>
      <c r="M799" t="str">
        <f t="shared" si="12"/>
        <v>Adolescent</v>
      </c>
      <c r="N799" t="s">
        <v>18</v>
      </c>
    </row>
    <row r="800" spans="1:14" x14ac:dyDescent="0.25">
      <c r="A800">
        <v>16725</v>
      </c>
      <c r="B800" t="s">
        <v>35</v>
      </c>
      <c r="C800" t="s">
        <v>38</v>
      </c>
      <c r="D800" s="11">
        <v>30000</v>
      </c>
      <c r="E800">
        <v>0</v>
      </c>
      <c r="F800" t="s">
        <v>27</v>
      </c>
      <c r="G800" t="s">
        <v>14</v>
      </c>
      <c r="H800" t="s">
        <v>15</v>
      </c>
      <c r="I800">
        <v>2</v>
      </c>
      <c r="J800" t="s">
        <v>23</v>
      </c>
      <c r="K800" t="s">
        <v>31</v>
      </c>
      <c r="L800">
        <v>26</v>
      </c>
      <c r="M800" t="str">
        <f t="shared" si="12"/>
        <v>Adolescent</v>
      </c>
      <c r="N800" t="s">
        <v>18</v>
      </c>
    </row>
    <row r="801" spans="1:14" x14ac:dyDescent="0.25">
      <c r="A801">
        <v>16468</v>
      </c>
      <c r="B801" t="s">
        <v>36</v>
      </c>
      <c r="C801" t="s">
        <v>38</v>
      </c>
      <c r="D801" s="11">
        <v>30000</v>
      </c>
      <c r="E801">
        <v>0</v>
      </c>
      <c r="F801" t="s">
        <v>19</v>
      </c>
      <c r="G801" t="s">
        <v>20</v>
      </c>
      <c r="H801" t="s">
        <v>15</v>
      </c>
      <c r="I801">
        <v>1</v>
      </c>
      <c r="J801" t="s">
        <v>22</v>
      </c>
      <c r="K801" t="s">
        <v>17</v>
      </c>
      <c r="L801">
        <v>30</v>
      </c>
      <c r="M801" t="str">
        <f t="shared" si="12"/>
        <v>Adolescent</v>
      </c>
      <c r="N801" t="s">
        <v>18</v>
      </c>
    </row>
    <row r="802" spans="1:14" x14ac:dyDescent="0.25">
      <c r="A802">
        <v>15839</v>
      </c>
      <c r="B802" t="s">
        <v>36</v>
      </c>
      <c r="C802" t="s">
        <v>38</v>
      </c>
      <c r="D802" s="11">
        <v>30000</v>
      </c>
      <c r="E802">
        <v>0</v>
      </c>
      <c r="F802" t="s">
        <v>19</v>
      </c>
      <c r="G802" t="s">
        <v>14</v>
      </c>
      <c r="H802" t="s">
        <v>15</v>
      </c>
      <c r="I802">
        <v>1</v>
      </c>
      <c r="J802" t="s">
        <v>23</v>
      </c>
      <c r="K802" t="s">
        <v>31</v>
      </c>
      <c r="L802">
        <v>32</v>
      </c>
      <c r="M802" t="str">
        <f t="shared" si="12"/>
        <v>MIddleAge</v>
      </c>
      <c r="N802" t="s">
        <v>18</v>
      </c>
    </row>
    <row r="803" spans="1:14" x14ac:dyDescent="0.25">
      <c r="A803">
        <v>15665</v>
      </c>
      <c r="B803" t="s">
        <v>35</v>
      </c>
      <c r="C803" t="s">
        <v>37</v>
      </c>
      <c r="D803" s="11">
        <v>30000</v>
      </c>
      <c r="E803">
        <v>0</v>
      </c>
      <c r="F803" t="s">
        <v>13</v>
      </c>
      <c r="G803" t="s">
        <v>20</v>
      </c>
      <c r="H803" t="s">
        <v>15</v>
      </c>
      <c r="I803">
        <v>0</v>
      </c>
      <c r="J803" t="s">
        <v>16</v>
      </c>
      <c r="K803" t="s">
        <v>17</v>
      </c>
      <c r="L803">
        <v>47</v>
      </c>
      <c r="M803" t="str">
        <f t="shared" si="12"/>
        <v>MIddleAge</v>
      </c>
      <c r="N803" t="s">
        <v>15</v>
      </c>
    </row>
    <row r="804" spans="1:14" x14ac:dyDescent="0.25">
      <c r="A804">
        <v>15612</v>
      </c>
      <c r="B804" t="s">
        <v>36</v>
      </c>
      <c r="C804" t="s">
        <v>38</v>
      </c>
      <c r="D804" s="11">
        <v>30000</v>
      </c>
      <c r="E804">
        <v>0</v>
      </c>
      <c r="F804" t="s">
        <v>27</v>
      </c>
      <c r="G804" t="s">
        <v>25</v>
      </c>
      <c r="H804" t="s">
        <v>18</v>
      </c>
      <c r="I804">
        <v>1</v>
      </c>
      <c r="J804" t="s">
        <v>26</v>
      </c>
      <c r="K804" t="s">
        <v>17</v>
      </c>
      <c r="L804">
        <v>28</v>
      </c>
      <c r="M804" t="str">
        <f t="shared" si="12"/>
        <v>Adolescent</v>
      </c>
      <c r="N804" t="s">
        <v>18</v>
      </c>
    </row>
    <row r="805" spans="1:14" x14ac:dyDescent="0.25">
      <c r="A805">
        <v>15608</v>
      </c>
      <c r="B805" t="s">
        <v>36</v>
      </c>
      <c r="C805" t="s">
        <v>37</v>
      </c>
      <c r="D805" s="11">
        <v>30000</v>
      </c>
      <c r="E805">
        <v>0</v>
      </c>
      <c r="F805" t="s">
        <v>19</v>
      </c>
      <c r="G805" t="s">
        <v>20</v>
      </c>
      <c r="H805" t="s">
        <v>18</v>
      </c>
      <c r="I805">
        <v>1</v>
      </c>
      <c r="J805" t="s">
        <v>22</v>
      </c>
      <c r="K805" t="s">
        <v>17</v>
      </c>
      <c r="L805">
        <v>33</v>
      </c>
      <c r="M805" t="str">
        <f t="shared" si="12"/>
        <v>MIddleAge</v>
      </c>
      <c r="N805" t="s">
        <v>18</v>
      </c>
    </row>
    <row r="806" spans="1:14" x14ac:dyDescent="0.25">
      <c r="A806">
        <v>14872</v>
      </c>
      <c r="B806" t="s">
        <v>35</v>
      </c>
      <c r="C806" t="s">
        <v>38</v>
      </c>
      <c r="D806" s="11">
        <v>30000</v>
      </c>
      <c r="E806">
        <v>0</v>
      </c>
      <c r="F806" t="s">
        <v>30</v>
      </c>
      <c r="G806" t="s">
        <v>14</v>
      </c>
      <c r="H806" t="s">
        <v>15</v>
      </c>
      <c r="I806">
        <v>0</v>
      </c>
      <c r="J806" t="s">
        <v>16</v>
      </c>
      <c r="K806" t="s">
        <v>31</v>
      </c>
      <c r="L806">
        <v>32</v>
      </c>
      <c r="M806" t="str">
        <f t="shared" si="12"/>
        <v>MIddleAge</v>
      </c>
      <c r="N806" t="s">
        <v>18</v>
      </c>
    </row>
    <row r="807" spans="1:14" x14ac:dyDescent="0.25">
      <c r="A807">
        <v>14514</v>
      </c>
      <c r="B807" t="s">
        <v>36</v>
      </c>
      <c r="C807" t="s">
        <v>37</v>
      </c>
      <c r="D807" s="11">
        <v>30000</v>
      </c>
      <c r="E807">
        <v>0</v>
      </c>
      <c r="F807" t="s">
        <v>19</v>
      </c>
      <c r="G807" t="s">
        <v>14</v>
      </c>
      <c r="H807" t="s">
        <v>15</v>
      </c>
      <c r="I807">
        <v>1</v>
      </c>
      <c r="J807" t="s">
        <v>23</v>
      </c>
      <c r="K807" t="s">
        <v>31</v>
      </c>
      <c r="L807">
        <v>26</v>
      </c>
      <c r="M807" t="str">
        <f t="shared" si="12"/>
        <v>Adolescent</v>
      </c>
      <c r="N807" t="s">
        <v>18</v>
      </c>
    </row>
    <row r="808" spans="1:14" x14ac:dyDescent="0.25">
      <c r="A808">
        <v>14332</v>
      </c>
      <c r="B808" t="s">
        <v>36</v>
      </c>
      <c r="C808" t="s">
        <v>37</v>
      </c>
      <c r="D808" s="11">
        <v>30000</v>
      </c>
      <c r="E808">
        <v>0</v>
      </c>
      <c r="F808" t="s">
        <v>27</v>
      </c>
      <c r="G808" t="s">
        <v>14</v>
      </c>
      <c r="H808" t="s">
        <v>18</v>
      </c>
      <c r="I808">
        <v>2</v>
      </c>
      <c r="J808" t="s">
        <v>23</v>
      </c>
      <c r="K808" t="s">
        <v>31</v>
      </c>
      <c r="L808">
        <v>26</v>
      </c>
      <c r="M808" t="str">
        <f t="shared" si="12"/>
        <v>Adolescent</v>
      </c>
      <c r="N808" t="s">
        <v>18</v>
      </c>
    </row>
    <row r="809" spans="1:14" x14ac:dyDescent="0.25">
      <c r="A809">
        <v>14271</v>
      </c>
      <c r="B809" t="s">
        <v>35</v>
      </c>
      <c r="C809" t="s">
        <v>38</v>
      </c>
      <c r="D809" s="11">
        <v>30000</v>
      </c>
      <c r="E809">
        <v>0</v>
      </c>
      <c r="F809" t="s">
        <v>27</v>
      </c>
      <c r="G809" t="s">
        <v>14</v>
      </c>
      <c r="H809" t="s">
        <v>15</v>
      </c>
      <c r="I809">
        <v>2</v>
      </c>
      <c r="J809" t="s">
        <v>23</v>
      </c>
      <c r="K809" t="s">
        <v>31</v>
      </c>
      <c r="L809">
        <v>32</v>
      </c>
      <c r="M809" t="str">
        <f t="shared" si="12"/>
        <v>MIddleAge</v>
      </c>
      <c r="N809" t="s">
        <v>18</v>
      </c>
    </row>
    <row r="810" spans="1:14" x14ac:dyDescent="0.25">
      <c r="A810">
        <v>14154</v>
      </c>
      <c r="B810" t="s">
        <v>35</v>
      </c>
      <c r="C810" t="s">
        <v>38</v>
      </c>
      <c r="D810" s="11">
        <v>30000</v>
      </c>
      <c r="E810">
        <v>0</v>
      </c>
      <c r="F810" t="s">
        <v>13</v>
      </c>
      <c r="G810" t="s">
        <v>20</v>
      </c>
      <c r="H810" t="s">
        <v>15</v>
      </c>
      <c r="I810">
        <v>0</v>
      </c>
      <c r="J810" t="s">
        <v>16</v>
      </c>
      <c r="K810" t="s">
        <v>17</v>
      </c>
      <c r="L810">
        <v>35</v>
      </c>
      <c r="M810" t="str">
        <f t="shared" si="12"/>
        <v>MIddleAge</v>
      </c>
      <c r="N810" t="s">
        <v>15</v>
      </c>
    </row>
    <row r="811" spans="1:14" x14ac:dyDescent="0.25">
      <c r="A811">
        <v>14092</v>
      </c>
      <c r="B811" t="s">
        <v>36</v>
      </c>
      <c r="C811" t="s">
        <v>38</v>
      </c>
      <c r="D811" s="11">
        <v>30000</v>
      </c>
      <c r="E811">
        <v>0</v>
      </c>
      <c r="F811" t="s">
        <v>29</v>
      </c>
      <c r="G811" t="s">
        <v>20</v>
      </c>
      <c r="H811" t="s">
        <v>15</v>
      </c>
      <c r="I811">
        <v>2</v>
      </c>
      <c r="J811" t="s">
        <v>23</v>
      </c>
      <c r="K811" t="s">
        <v>31</v>
      </c>
      <c r="L811">
        <v>28</v>
      </c>
      <c r="M811" t="str">
        <f t="shared" si="12"/>
        <v>Adolescent</v>
      </c>
      <c r="N811" t="s">
        <v>18</v>
      </c>
    </row>
    <row r="812" spans="1:14" x14ac:dyDescent="0.25">
      <c r="A812">
        <v>14090</v>
      </c>
      <c r="B812" t="s">
        <v>35</v>
      </c>
      <c r="C812" t="s">
        <v>37</v>
      </c>
      <c r="D812" s="11">
        <v>30000</v>
      </c>
      <c r="E812">
        <v>0</v>
      </c>
      <c r="F812" t="s">
        <v>29</v>
      </c>
      <c r="G812" t="s">
        <v>20</v>
      </c>
      <c r="H812" t="s">
        <v>18</v>
      </c>
      <c r="I812">
        <v>2</v>
      </c>
      <c r="J812" t="s">
        <v>16</v>
      </c>
      <c r="K812" t="s">
        <v>31</v>
      </c>
      <c r="L812">
        <v>28</v>
      </c>
      <c r="M812" t="str">
        <f t="shared" si="12"/>
        <v>Adolescent</v>
      </c>
      <c r="N812" t="s">
        <v>18</v>
      </c>
    </row>
    <row r="813" spans="1:14" x14ac:dyDescent="0.25">
      <c r="A813">
        <v>14077</v>
      </c>
      <c r="B813" t="s">
        <v>36</v>
      </c>
      <c r="C813" t="s">
        <v>38</v>
      </c>
      <c r="D813" s="11">
        <v>30000</v>
      </c>
      <c r="E813">
        <v>0</v>
      </c>
      <c r="F813" t="s">
        <v>27</v>
      </c>
      <c r="G813" t="s">
        <v>14</v>
      </c>
      <c r="H813" t="s">
        <v>15</v>
      </c>
      <c r="I813">
        <v>2</v>
      </c>
      <c r="J813" t="s">
        <v>23</v>
      </c>
      <c r="K813" t="s">
        <v>31</v>
      </c>
      <c r="L813">
        <v>30</v>
      </c>
      <c r="M813" t="str">
        <f t="shared" si="12"/>
        <v>Adolescent</v>
      </c>
      <c r="N813" t="s">
        <v>18</v>
      </c>
    </row>
    <row r="814" spans="1:14" x14ac:dyDescent="0.25">
      <c r="A814">
        <v>13826</v>
      </c>
      <c r="B814" t="s">
        <v>36</v>
      </c>
      <c r="C814" t="s">
        <v>37</v>
      </c>
      <c r="D814" s="11">
        <v>30000</v>
      </c>
      <c r="E814">
        <v>0</v>
      </c>
      <c r="F814" t="s">
        <v>19</v>
      </c>
      <c r="G814" t="s">
        <v>20</v>
      </c>
      <c r="H814" t="s">
        <v>18</v>
      </c>
      <c r="I814">
        <v>1</v>
      </c>
      <c r="J814" t="s">
        <v>16</v>
      </c>
      <c r="K814" t="s">
        <v>17</v>
      </c>
      <c r="L814">
        <v>28</v>
      </c>
      <c r="M814" t="str">
        <f t="shared" si="12"/>
        <v>Adolescent</v>
      </c>
      <c r="N814" t="s">
        <v>18</v>
      </c>
    </row>
    <row r="815" spans="1:14" x14ac:dyDescent="0.25">
      <c r="A815">
        <v>13683</v>
      </c>
      <c r="B815" t="s">
        <v>36</v>
      </c>
      <c r="C815" t="s">
        <v>37</v>
      </c>
      <c r="D815" s="11">
        <v>30000</v>
      </c>
      <c r="E815">
        <v>0</v>
      </c>
      <c r="F815" t="s">
        <v>27</v>
      </c>
      <c r="G815" t="s">
        <v>25</v>
      </c>
      <c r="H815" t="s">
        <v>18</v>
      </c>
      <c r="I815">
        <v>1</v>
      </c>
      <c r="J815" t="s">
        <v>22</v>
      </c>
      <c r="K815" t="s">
        <v>17</v>
      </c>
      <c r="L815">
        <v>32</v>
      </c>
      <c r="M815" t="str">
        <f t="shared" si="12"/>
        <v>MIddleAge</v>
      </c>
      <c r="N815" t="s">
        <v>18</v>
      </c>
    </row>
    <row r="816" spans="1:14" x14ac:dyDescent="0.25">
      <c r="A816">
        <v>13066</v>
      </c>
      <c r="B816" t="s">
        <v>36</v>
      </c>
      <c r="C816" t="s">
        <v>38</v>
      </c>
      <c r="D816" s="11">
        <v>30000</v>
      </c>
      <c r="E816">
        <v>0</v>
      </c>
      <c r="F816" t="s">
        <v>27</v>
      </c>
      <c r="G816" t="s">
        <v>14</v>
      </c>
      <c r="H816" t="s">
        <v>18</v>
      </c>
      <c r="I816">
        <v>2</v>
      </c>
      <c r="J816" t="s">
        <v>26</v>
      </c>
      <c r="K816" t="s">
        <v>31</v>
      </c>
      <c r="L816">
        <v>31</v>
      </c>
      <c r="M816" t="str">
        <f t="shared" si="12"/>
        <v>MIddleAge</v>
      </c>
      <c r="N816" t="s">
        <v>15</v>
      </c>
    </row>
    <row r="817" spans="1:14" x14ac:dyDescent="0.25">
      <c r="A817">
        <v>12871</v>
      </c>
      <c r="B817" t="s">
        <v>36</v>
      </c>
      <c r="C817" t="s">
        <v>37</v>
      </c>
      <c r="D817" s="11">
        <v>30000</v>
      </c>
      <c r="E817">
        <v>0</v>
      </c>
      <c r="F817" t="s">
        <v>19</v>
      </c>
      <c r="G817" t="s">
        <v>20</v>
      </c>
      <c r="H817" t="s">
        <v>18</v>
      </c>
      <c r="I817">
        <v>1</v>
      </c>
      <c r="J817" t="s">
        <v>22</v>
      </c>
      <c r="K817" t="s">
        <v>17</v>
      </c>
      <c r="L817">
        <v>29</v>
      </c>
      <c r="M817" t="str">
        <f t="shared" si="12"/>
        <v>Adolescent</v>
      </c>
      <c r="N817" t="s">
        <v>18</v>
      </c>
    </row>
    <row r="818" spans="1:14" x14ac:dyDescent="0.25">
      <c r="A818">
        <v>12731</v>
      </c>
      <c r="B818" t="s">
        <v>36</v>
      </c>
      <c r="C818" t="s">
        <v>38</v>
      </c>
      <c r="D818" s="11">
        <v>30000</v>
      </c>
      <c r="E818">
        <v>0</v>
      </c>
      <c r="F818" t="s">
        <v>27</v>
      </c>
      <c r="G818" t="s">
        <v>25</v>
      </c>
      <c r="H818" t="s">
        <v>18</v>
      </c>
      <c r="I818">
        <v>1</v>
      </c>
      <c r="J818" t="s">
        <v>26</v>
      </c>
      <c r="K818" t="s">
        <v>17</v>
      </c>
      <c r="L818">
        <v>32</v>
      </c>
      <c r="M818" t="str">
        <f t="shared" si="12"/>
        <v>MIddleAge</v>
      </c>
      <c r="N818" t="s">
        <v>18</v>
      </c>
    </row>
    <row r="819" spans="1:14" x14ac:dyDescent="0.25">
      <c r="A819">
        <v>12728</v>
      </c>
      <c r="B819" t="s">
        <v>36</v>
      </c>
      <c r="C819" t="s">
        <v>38</v>
      </c>
      <c r="D819" s="11">
        <v>30000</v>
      </c>
      <c r="E819">
        <v>0</v>
      </c>
      <c r="F819" t="s">
        <v>19</v>
      </c>
      <c r="G819" t="s">
        <v>20</v>
      </c>
      <c r="H819" t="s">
        <v>18</v>
      </c>
      <c r="I819">
        <v>1</v>
      </c>
      <c r="J819" t="s">
        <v>26</v>
      </c>
      <c r="K819" t="s">
        <v>17</v>
      </c>
      <c r="L819">
        <v>27</v>
      </c>
      <c r="M819" t="str">
        <f t="shared" si="12"/>
        <v>Adolescent</v>
      </c>
      <c r="N819" t="s">
        <v>18</v>
      </c>
    </row>
    <row r="820" spans="1:14" x14ac:dyDescent="0.25">
      <c r="A820">
        <v>12718</v>
      </c>
      <c r="B820" t="s">
        <v>36</v>
      </c>
      <c r="C820" t="s">
        <v>37</v>
      </c>
      <c r="D820" s="11">
        <v>30000</v>
      </c>
      <c r="E820">
        <v>0</v>
      </c>
      <c r="F820" t="s">
        <v>19</v>
      </c>
      <c r="G820" t="s">
        <v>20</v>
      </c>
      <c r="H820" t="s">
        <v>15</v>
      </c>
      <c r="I820">
        <v>1</v>
      </c>
      <c r="J820" t="s">
        <v>22</v>
      </c>
      <c r="K820" t="s">
        <v>17</v>
      </c>
      <c r="L820">
        <v>31</v>
      </c>
      <c r="M820" t="str">
        <f t="shared" si="12"/>
        <v>MIddleAge</v>
      </c>
      <c r="N820" t="s">
        <v>18</v>
      </c>
    </row>
    <row r="821" spans="1:14" x14ac:dyDescent="0.25">
      <c r="A821">
        <v>12716</v>
      </c>
      <c r="B821" t="s">
        <v>36</v>
      </c>
      <c r="C821" t="s">
        <v>38</v>
      </c>
      <c r="D821" s="11">
        <v>30000</v>
      </c>
      <c r="E821">
        <v>0</v>
      </c>
      <c r="F821" t="s">
        <v>19</v>
      </c>
      <c r="G821" t="s">
        <v>20</v>
      </c>
      <c r="H821" t="s">
        <v>15</v>
      </c>
      <c r="I821">
        <v>1</v>
      </c>
      <c r="J821" t="s">
        <v>22</v>
      </c>
      <c r="K821" t="s">
        <v>17</v>
      </c>
      <c r="L821">
        <v>32</v>
      </c>
      <c r="M821" t="str">
        <f t="shared" si="12"/>
        <v>MIddleAge</v>
      </c>
      <c r="N821" t="s">
        <v>18</v>
      </c>
    </row>
    <row r="822" spans="1:14" x14ac:dyDescent="0.25">
      <c r="A822">
        <v>12389</v>
      </c>
      <c r="B822" t="s">
        <v>36</v>
      </c>
      <c r="C822" t="s">
        <v>38</v>
      </c>
      <c r="D822" s="11">
        <v>30000</v>
      </c>
      <c r="E822">
        <v>0</v>
      </c>
      <c r="F822" t="s">
        <v>27</v>
      </c>
      <c r="G822" t="s">
        <v>25</v>
      </c>
      <c r="H822" t="s">
        <v>18</v>
      </c>
      <c r="I822">
        <v>1</v>
      </c>
      <c r="J822" t="s">
        <v>22</v>
      </c>
      <c r="K822" t="s">
        <v>17</v>
      </c>
      <c r="L822">
        <v>34</v>
      </c>
      <c r="M822" t="str">
        <f t="shared" si="12"/>
        <v>MIddleAge</v>
      </c>
      <c r="N822" t="s">
        <v>18</v>
      </c>
    </row>
    <row r="823" spans="1:14" x14ac:dyDescent="0.25">
      <c r="A823">
        <v>12284</v>
      </c>
      <c r="B823" t="s">
        <v>35</v>
      </c>
      <c r="C823" t="s">
        <v>37</v>
      </c>
      <c r="D823" s="11">
        <v>30000</v>
      </c>
      <c r="E823">
        <v>0</v>
      </c>
      <c r="F823" t="s">
        <v>13</v>
      </c>
      <c r="G823" t="s">
        <v>20</v>
      </c>
      <c r="H823" t="s">
        <v>18</v>
      </c>
      <c r="I823">
        <v>0</v>
      </c>
      <c r="J823" t="s">
        <v>16</v>
      </c>
      <c r="K823" t="s">
        <v>17</v>
      </c>
      <c r="L823">
        <v>36</v>
      </c>
      <c r="M823" t="str">
        <f t="shared" si="12"/>
        <v>MIddleAge</v>
      </c>
      <c r="N823" t="s">
        <v>15</v>
      </c>
    </row>
    <row r="824" spans="1:14" x14ac:dyDescent="0.25">
      <c r="A824">
        <v>12029</v>
      </c>
      <c r="B824" t="s">
        <v>35</v>
      </c>
      <c r="C824" t="s">
        <v>38</v>
      </c>
      <c r="D824" s="11">
        <v>30000</v>
      </c>
      <c r="E824">
        <v>0</v>
      </c>
      <c r="F824" t="s">
        <v>29</v>
      </c>
      <c r="G824" t="s">
        <v>20</v>
      </c>
      <c r="H824" t="s">
        <v>18</v>
      </c>
      <c r="I824">
        <v>2</v>
      </c>
      <c r="J824" t="s">
        <v>16</v>
      </c>
      <c r="K824" t="s">
        <v>31</v>
      </c>
      <c r="L824">
        <v>28</v>
      </c>
      <c r="M824" t="str">
        <f t="shared" si="12"/>
        <v>Adolescent</v>
      </c>
      <c r="N824" t="s">
        <v>18</v>
      </c>
    </row>
    <row r="825" spans="1:14" x14ac:dyDescent="0.25">
      <c r="A825">
        <v>11935</v>
      </c>
      <c r="B825" t="s">
        <v>36</v>
      </c>
      <c r="C825" t="s">
        <v>37</v>
      </c>
      <c r="D825" s="11">
        <v>30000</v>
      </c>
      <c r="E825">
        <v>0</v>
      </c>
      <c r="F825" t="s">
        <v>19</v>
      </c>
      <c r="G825" t="s">
        <v>14</v>
      </c>
      <c r="H825" t="s">
        <v>15</v>
      </c>
      <c r="I825">
        <v>1</v>
      </c>
      <c r="J825" t="s">
        <v>23</v>
      </c>
      <c r="K825" t="s">
        <v>31</v>
      </c>
      <c r="L825">
        <v>28</v>
      </c>
      <c r="M825" t="str">
        <f t="shared" si="12"/>
        <v>Adolescent</v>
      </c>
      <c r="N825" t="s">
        <v>18</v>
      </c>
    </row>
    <row r="826" spans="1:14" x14ac:dyDescent="0.25">
      <c r="A826">
        <v>29355</v>
      </c>
      <c r="B826" t="s">
        <v>35</v>
      </c>
      <c r="C826" t="s">
        <v>37</v>
      </c>
      <c r="D826" s="11">
        <v>40000</v>
      </c>
      <c r="E826">
        <v>0</v>
      </c>
      <c r="F826" t="s">
        <v>30</v>
      </c>
      <c r="G826" t="s">
        <v>20</v>
      </c>
      <c r="H826" t="s">
        <v>15</v>
      </c>
      <c r="I826">
        <v>0</v>
      </c>
      <c r="J826" t="s">
        <v>16</v>
      </c>
      <c r="K826" t="s">
        <v>17</v>
      </c>
      <c r="L826">
        <v>37</v>
      </c>
      <c r="M826" t="str">
        <f t="shared" si="12"/>
        <v>MIddleAge</v>
      </c>
      <c r="N826" t="s">
        <v>15</v>
      </c>
    </row>
    <row r="827" spans="1:14" x14ac:dyDescent="0.25">
      <c r="A827">
        <v>29132</v>
      </c>
      <c r="B827" t="s">
        <v>36</v>
      </c>
      <c r="C827" t="s">
        <v>37</v>
      </c>
      <c r="D827" s="11">
        <v>40000</v>
      </c>
      <c r="E827">
        <v>0</v>
      </c>
      <c r="F827" t="s">
        <v>13</v>
      </c>
      <c r="G827" t="s">
        <v>21</v>
      </c>
      <c r="H827" t="s">
        <v>15</v>
      </c>
      <c r="I827">
        <v>1</v>
      </c>
      <c r="J827" t="s">
        <v>22</v>
      </c>
      <c r="K827" t="s">
        <v>31</v>
      </c>
      <c r="L827">
        <v>42</v>
      </c>
      <c r="M827" t="str">
        <f t="shared" si="12"/>
        <v>MIddleAge</v>
      </c>
      <c r="N827" t="s">
        <v>15</v>
      </c>
    </row>
    <row r="828" spans="1:14" x14ac:dyDescent="0.25">
      <c r="A828">
        <v>29106</v>
      </c>
      <c r="B828" t="s">
        <v>36</v>
      </c>
      <c r="C828" t="s">
        <v>38</v>
      </c>
      <c r="D828" s="11">
        <v>40000</v>
      </c>
      <c r="E828">
        <v>0</v>
      </c>
      <c r="F828" t="s">
        <v>27</v>
      </c>
      <c r="G828" t="s">
        <v>14</v>
      </c>
      <c r="H828" t="s">
        <v>18</v>
      </c>
      <c r="I828">
        <v>2</v>
      </c>
      <c r="J828" t="s">
        <v>26</v>
      </c>
      <c r="K828" t="s">
        <v>31</v>
      </c>
      <c r="L828">
        <v>31</v>
      </c>
      <c r="M828" t="str">
        <f t="shared" si="12"/>
        <v>MIddleAge</v>
      </c>
      <c r="N828" t="s">
        <v>15</v>
      </c>
    </row>
    <row r="829" spans="1:14" x14ac:dyDescent="0.25">
      <c r="A829">
        <v>29052</v>
      </c>
      <c r="B829" t="s">
        <v>36</v>
      </c>
      <c r="C829" t="s">
        <v>38</v>
      </c>
      <c r="D829" s="11">
        <v>40000</v>
      </c>
      <c r="E829">
        <v>0</v>
      </c>
      <c r="F829" t="s">
        <v>19</v>
      </c>
      <c r="G829" t="s">
        <v>14</v>
      </c>
      <c r="H829" t="s">
        <v>15</v>
      </c>
      <c r="I829">
        <v>1</v>
      </c>
      <c r="J829" t="s">
        <v>23</v>
      </c>
      <c r="K829" t="s">
        <v>31</v>
      </c>
      <c r="L829">
        <v>27</v>
      </c>
      <c r="M829" t="str">
        <f t="shared" si="12"/>
        <v>Adolescent</v>
      </c>
      <c r="N829" t="s">
        <v>18</v>
      </c>
    </row>
    <row r="830" spans="1:14" x14ac:dyDescent="0.25">
      <c r="A830">
        <v>28521</v>
      </c>
      <c r="B830" t="s">
        <v>36</v>
      </c>
      <c r="C830" t="s">
        <v>38</v>
      </c>
      <c r="D830" s="11">
        <v>40000</v>
      </c>
      <c r="E830">
        <v>0</v>
      </c>
      <c r="F830" t="s">
        <v>30</v>
      </c>
      <c r="G830" t="s">
        <v>20</v>
      </c>
      <c r="H830" t="s">
        <v>18</v>
      </c>
      <c r="I830">
        <v>0</v>
      </c>
      <c r="J830" t="s">
        <v>16</v>
      </c>
      <c r="K830" t="s">
        <v>17</v>
      </c>
      <c r="L830">
        <v>36</v>
      </c>
      <c r="M830" t="str">
        <f t="shared" si="12"/>
        <v>MIddleAge</v>
      </c>
      <c r="N830" t="s">
        <v>15</v>
      </c>
    </row>
    <row r="831" spans="1:14" x14ac:dyDescent="0.25">
      <c r="A831">
        <v>28395</v>
      </c>
      <c r="B831" t="s">
        <v>36</v>
      </c>
      <c r="C831" t="s">
        <v>38</v>
      </c>
      <c r="D831" s="11">
        <v>40000</v>
      </c>
      <c r="E831">
        <v>0</v>
      </c>
      <c r="F831" t="s">
        <v>13</v>
      </c>
      <c r="G831" t="s">
        <v>21</v>
      </c>
      <c r="H831" t="s">
        <v>18</v>
      </c>
      <c r="I831">
        <v>0</v>
      </c>
      <c r="J831" t="s">
        <v>16</v>
      </c>
      <c r="K831" t="s">
        <v>17</v>
      </c>
      <c r="L831">
        <v>39</v>
      </c>
      <c r="M831" t="str">
        <f t="shared" si="12"/>
        <v>MIddleAge</v>
      </c>
      <c r="N831" t="s">
        <v>15</v>
      </c>
    </row>
    <row r="832" spans="1:14" x14ac:dyDescent="0.25">
      <c r="A832">
        <v>28090</v>
      </c>
      <c r="B832" t="s">
        <v>35</v>
      </c>
      <c r="C832" t="s">
        <v>38</v>
      </c>
      <c r="D832" s="11">
        <v>40000</v>
      </c>
      <c r="E832">
        <v>0</v>
      </c>
      <c r="F832" t="s">
        <v>19</v>
      </c>
      <c r="G832" t="s">
        <v>14</v>
      </c>
      <c r="H832" t="s">
        <v>15</v>
      </c>
      <c r="I832">
        <v>1</v>
      </c>
      <c r="J832" t="s">
        <v>23</v>
      </c>
      <c r="K832" t="s">
        <v>31</v>
      </c>
      <c r="L832">
        <v>27</v>
      </c>
      <c r="M832" t="str">
        <f t="shared" si="12"/>
        <v>Adolescent</v>
      </c>
      <c r="N832" t="s">
        <v>18</v>
      </c>
    </row>
    <row r="833" spans="1:14" x14ac:dyDescent="0.25">
      <c r="A833">
        <v>28087</v>
      </c>
      <c r="B833" t="s">
        <v>36</v>
      </c>
      <c r="C833" t="s">
        <v>37</v>
      </c>
      <c r="D833" s="11">
        <v>40000</v>
      </c>
      <c r="E833">
        <v>0</v>
      </c>
      <c r="F833" t="s">
        <v>19</v>
      </c>
      <c r="G833" t="s">
        <v>14</v>
      </c>
      <c r="H833" t="s">
        <v>18</v>
      </c>
      <c r="I833">
        <v>1</v>
      </c>
      <c r="J833" t="s">
        <v>26</v>
      </c>
      <c r="K833" t="s">
        <v>31</v>
      </c>
      <c r="L833">
        <v>27</v>
      </c>
      <c r="M833" t="str">
        <f t="shared" si="12"/>
        <v>Adolescent</v>
      </c>
      <c r="N833" t="s">
        <v>18</v>
      </c>
    </row>
    <row r="834" spans="1:14" x14ac:dyDescent="0.25">
      <c r="A834">
        <v>27775</v>
      </c>
      <c r="B834" t="s">
        <v>36</v>
      </c>
      <c r="C834" t="s">
        <v>37</v>
      </c>
      <c r="D834" s="11">
        <v>40000</v>
      </c>
      <c r="E834">
        <v>0</v>
      </c>
      <c r="F834" t="s">
        <v>13</v>
      </c>
      <c r="G834" t="s">
        <v>20</v>
      </c>
      <c r="H834" t="s">
        <v>18</v>
      </c>
      <c r="I834">
        <v>0</v>
      </c>
      <c r="J834" t="s">
        <v>16</v>
      </c>
      <c r="K834" t="s">
        <v>17</v>
      </c>
      <c r="L834">
        <v>38</v>
      </c>
      <c r="M834" t="str">
        <f t="shared" ref="M834:M897" si="13">IF(L834&gt; 54, "Old",IF(L834&gt;= 31, "MIddleAge",IF(L834&lt;31, "Adolescent", "Adult")))</f>
        <v>MIddleAge</v>
      </c>
      <c r="N834" t="s">
        <v>15</v>
      </c>
    </row>
    <row r="835" spans="1:14" x14ac:dyDescent="0.25">
      <c r="A835">
        <v>27760</v>
      </c>
      <c r="B835" t="s">
        <v>36</v>
      </c>
      <c r="C835" t="s">
        <v>37</v>
      </c>
      <c r="D835" s="11">
        <v>40000</v>
      </c>
      <c r="E835">
        <v>0</v>
      </c>
      <c r="F835" t="s">
        <v>30</v>
      </c>
      <c r="G835" t="s">
        <v>20</v>
      </c>
      <c r="H835" t="s">
        <v>18</v>
      </c>
      <c r="I835">
        <v>0</v>
      </c>
      <c r="J835" t="s">
        <v>16</v>
      </c>
      <c r="K835" t="s">
        <v>17</v>
      </c>
      <c r="L835">
        <v>37</v>
      </c>
      <c r="M835" t="str">
        <f t="shared" si="13"/>
        <v>MIddleAge</v>
      </c>
      <c r="N835" t="s">
        <v>15</v>
      </c>
    </row>
    <row r="836" spans="1:14" x14ac:dyDescent="0.25">
      <c r="A836">
        <v>27753</v>
      </c>
      <c r="B836" t="s">
        <v>35</v>
      </c>
      <c r="C836" t="s">
        <v>38</v>
      </c>
      <c r="D836" s="11">
        <v>40000</v>
      </c>
      <c r="E836">
        <v>0</v>
      </c>
      <c r="F836" t="s">
        <v>27</v>
      </c>
      <c r="G836" t="s">
        <v>14</v>
      </c>
      <c r="H836" t="s">
        <v>18</v>
      </c>
      <c r="I836">
        <v>2</v>
      </c>
      <c r="J836" t="s">
        <v>26</v>
      </c>
      <c r="K836" t="s">
        <v>31</v>
      </c>
      <c r="L836">
        <v>30</v>
      </c>
      <c r="M836" t="str">
        <f t="shared" si="13"/>
        <v>Adolescent</v>
      </c>
      <c r="N836" t="s">
        <v>18</v>
      </c>
    </row>
    <row r="837" spans="1:14" x14ac:dyDescent="0.25">
      <c r="A837">
        <v>27740</v>
      </c>
      <c r="B837" t="s">
        <v>35</v>
      </c>
      <c r="C837" t="s">
        <v>37</v>
      </c>
      <c r="D837" s="11">
        <v>40000</v>
      </c>
      <c r="E837">
        <v>0</v>
      </c>
      <c r="F837" t="s">
        <v>27</v>
      </c>
      <c r="G837" t="s">
        <v>14</v>
      </c>
      <c r="H837" t="s">
        <v>15</v>
      </c>
      <c r="I837">
        <v>2</v>
      </c>
      <c r="J837" t="s">
        <v>23</v>
      </c>
      <c r="K837" t="s">
        <v>31</v>
      </c>
      <c r="L837">
        <v>27</v>
      </c>
      <c r="M837" t="str">
        <f t="shared" si="13"/>
        <v>Adolescent</v>
      </c>
      <c r="N837" t="s">
        <v>18</v>
      </c>
    </row>
    <row r="838" spans="1:14" x14ac:dyDescent="0.25">
      <c r="A838">
        <v>27731</v>
      </c>
      <c r="B838" t="s">
        <v>35</v>
      </c>
      <c r="C838" t="s">
        <v>38</v>
      </c>
      <c r="D838" s="11">
        <v>40000</v>
      </c>
      <c r="E838">
        <v>0</v>
      </c>
      <c r="F838" t="s">
        <v>27</v>
      </c>
      <c r="G838" t="s">
        <v>14</v>
      </c>
      <c r="H838" t="s">
        <v>15</v>
      </c>
      <c r="I838">
        <v>2</v>
      </c>
      <c r="J838" t="s">
        <v>23</v>
      </c>
      <c r="K838" t="s">
        <v>31</v>
      </c>
      <c r="L838">
        <v>27</v>
      </c>
      <c r="M838" t="str">
        <f t="shared" si="13"/>
        <v>Adolescent</v>
      </c>
      <c r="N838" t="s">
        <v>18</v>
      </c>
    </row>
    <row r="839" spans="1:14" x14ac:dyDescent="0.25">
      <c r="A839">
        <v>27505</v>
      </c>
      <c r="B839" t="s">
        <v>36</v>
      </c>
      <c r="C839" t="s">
        <v>37</v>
      </c>
      <c r="D839" s="11">
        <v>40000</v>
      </c>
      <c r="E839">
        <v>0</v>
      </c>
      <c r="F839" t="s">
        <v>27</v>
      </c>
      <c r="G839" t="s">
        <v>14</v>
      </c>
      <c r="H839" t="s">
        <v>15</v>
      </c>
      <c r="I839">
        <v>2</v>
      </c>
      <c r="J839" t="s">
        <v>23</v>
      </c>
      <c r="K839" t="s">
        <v>31</v>
      </c>
      <c r="L839">
        <v>30</v>
      </c>
      <c r="M839" t="str">
        <f t="shared" si="13"/>
        <v>Adolescent</v>
      </c>
      <c r="N839" t="s">
        <v>18</v>
      </c>
    </row>
    <row r="840" spans="1:14" x14ac:dyDescent="0.25">
      <c r="A840">
        <v>26829</v>
      </c>
      <c r="B840" t="s">
        <v>35</v>
      </c>
      <c r="C840" t="s">
        <v>37</v>
      </c>
      <c r="D840" s="11">
        <v>40000</v>
      </c>
      <c r="E840">
        <v>0</v>
      </c>
      <c r="F840" t="s">
        <v>13</v>
      </c>
      <c r="G840" t="s">
        <v>20</v>
      </c>
      <c r="H840" t="s">
        <v>15</v>
      </c>
      <c r="I840">
        <v>0</v>
      </c>
      <c r="J840" t="s">
        <v>16</v>
      </c>
      <c r="K840" t="s">
        <v>17</v>
      </c>
      <c r="L840">
        <v>38</v>
      </c>
      <c r="M840" t="str">
        <f t="shared" si="13"/>
        <v>MIddleAge</v>
      </c>
      <c r="N840" t="s">
        <v>15</v>
      </c>
    </row>
    <row r="841" spans="1:14" x14ac:dyDescent="0.25">
      <c r="A841">
        <v>26778</v>
      </c>
      <c r="B841" t="s">
        <v>36</v>
      </c>
      <c r="C841" t="s">
        <v>37</v>
      </c>
      <c r="D841" s="11">
        <v>40000</v>
      </c>
      <c r="E841">
        <v>0</v>
      </c>
      <c r="F841" t="s">
        <v>27</v>
      </c>
      <c r="G841" t="s">
        <v>14</v>
      </c>
      <c r="H841" t="s">
        <v>15</v>
      </c>
      <c r="I841">
        <v>2</v>
      </c>
      <c r="J841" t="s">
        <v>23</v>
      </c>
      <c r="K841" t="s">
        <v>31</v>
      </c>
      <c r="L841">
        <v>31</v>
      </c>
      <c r="M841" t="str">
        <f t="shared" si="13"/>
        <v>MIddleAge</v>
      </c>
      <c r="N841" t="s">
        <v>18</v>
      </c>
    </row>
    <row r="842" spans="1:14" x14ac:dyDescent="0.25">
      <c r="A842">
        <v>26575</v>
      </c>
      <c r="B842" t="s">
        <v>36</v>
      </c>
      <c r="C842" t="s">
        <v>37</v>
      </c>
      <c r="D842" s="11">
        <v>40000</v>
      </c>
      <c r="E842">
        <v>0</v>
      </c>
      <c r="F842" t="s">
        <v>27</v>
      </c>
      <c r="G842" t="s">
        <v>14</v>
      </c>
      <c r="H842" t="s">
        <v>18</v>
      </c>
      <c r="I842">
        <v>2</v>
      </c>
      <c r="J842" t="s">
        <v>26</v>
      </c>
      <c r="K842" t="s">
        <v>31</v>
      </c>
      <c r="L842">
        <v>31</v>
      </c>
      <c r="M842" t="str">
        <f t="shared" si="13"/>
        <v>MIddleAge</v>
      </c>
      <c r="N842" t="s">
        <v>15</v>
      </c>
    </row>
    <row r="843" spans="1:14" x14ac:dyDescent="0.25">
      <c r="A843">
        <v>26354</v>
      </c>
      <c r="B843" t="s">
        <v>36</v>
      </c>
      <c r="C843" t="s">
        <v>38</v>
      </c>
      <c r="D843" s="11">
        <v>40000</v>
      </c>
      <c r="E843">
        <v>0</v>
      </c>
      <c r="F843" t="s">
        <v>30</v>
      </c>
      <c r="G843" t="s">
        <v>20</v>
      </c>
      <c r="H843" t="s">
        <v>18</v>
      </c>
      <c r="I843">
        <v>0</v>
      </c>
      <c r="J843" t="s">
        <v>16</v>
      </c>
      <c r="K843" t="s">
        <v>17</v>
      </c>
      <c r="L843">
        <v>38</v>
      </c>
      <c r="M843" t="str">
        <f t="shared" si="13"/>
        <v>MIddleAge</v>
      </c>
      <c r="N843" t="s">
        <v>15</v>
      </c>
    </row>
    <row r="844" spans="1:14" x14ac:dyDescent="0.25">
      <c r="A844">
        <v>25598</v>
      </c>
      <c r="B844" t="s">
        <v>35</v>
      </c>
      <c r="C844" t="s">
        <v>37</v>
      </c>
      <c r="D844" s="11">
        <v>40000</v>
      </c>
      <c r="E844">
        <v>0</v>
      </c>
      <c r="F844" t="s">
        <v>30</v>
      </c>
      <c r="G844" t="s">
        <v>20</v>
      </c>
      <c r="H844" t="s">
        <v>15</v>
      </c>
      <c r="I844">
        <v>0</v>
      </c>
      <c r="J844" t="s">
        <v>16</v>
      </c>
      <c r="K844" t="s">
        <v>17</v>
      </c>
      <c r="L844">
        <v>36</v>
      </c>
      <c r="M844" t="str">
        <f t="shared" si="13"/>
        <v>MIddleAge</v>
      </c>
      <c r="N844" t="s">
        <v>15</v>
      </c>
    </row>
    <row r="845" spans="1:14" x14ac:dyDescent="0.25">
      <c r="A845">
        <v>25261</v>
      </c>
      <c r="B845" t="s">
        <v>35</v>
      </c>
      <c r="C845" t="s">
        <v>38</v>
      </c>
      <c r="D845" s="11">
        <v>40000</v>
      </c>
      <c r="E845">
        <v>0</v>
      </c>
      <c r="F845" t="s">
        <v>27</v>
      </c>
      <c r="G845" t="s">
        <v>14</v>
      </c>
      <c r="H845" t="s">
        <v>15</v>
      </c>
      <c r="I845">
        <v>2</v>
      </c>
      <c r="J845" t="s">
        <v>23</v>
      </c>
      <c r="K845" t="s">
        <v>31</v>
      </c>
      <c r="L845">
        <v>27</v>
      </c>
      <c r="M845" t="str">
        <f t="shared" si="13"/>
        <v>Adolescent</v>
      </c>
      <c r="N845" t="s">
        <v>18</v>
      </c>
    </row>
    <row r="846" spans="1:14" x14ac:dyDescent="0.25">
      <c r="A846">
        <v>25041</v>
      </c>
      <c r="B846" t="s">
        <v>36</v>
      </c>
      <c r="C846" t="s">
        <v>38</v>
      </c>
      <c r="D846" s="11">
        <v>40000</v>
      </c>
      <c r="E846">
        <v>0</v>
      </c>
      <c r="F846" t="s">
        <v>27</v>
      </c>
      <c r="G846" t="s">
        <v>14</v>
      </c>
      <c r="H846" t="s">
        <v>15</v>
      </c>
      <c r="I846">
        <v>2</v>
      </c>
      <c r="J846" t="s">
        <v>23</v>
      </c>
      <c r="K846" t="s">
        <v>31</v>
      </c>
      <c r="L846">
        <v>31</v>
      </c>
      <c r="M846" t="str">
        <f t="shared" si="13"/>
        <v>MIddleAge</v>
      </c>
      <c r="N846" t="s">
        <v>18</v>
      </c>
    </row>
    <row r="847" spans="1:14" x14ac:dyDescent="0.25">
      <c r="A847">
        <v>24514</v>
      </c>
      <c r="B847" t="s">
        <v>35</v>
      </c>
      <c r="C847" t="s">
        <v>38</v>
      </c>
      <c r="D847" s="11">
        <v>40000</v>
      </c>
      <c r="E847">
        <v>0</v>
      </c>
      <c r="F847" t="s">
        <v>19</v>
      </c>
      <c r="G847" t="s">
        <v>14</v>
      </c>
      <c r="H847" t="s">
        <v>15</v>
      </c>
      <c r="I847">
        <v>1</v>
      </c>
      <c r="J847" t="s">
        <v>23</v>
      </c>
      <c r="K847" t="s">
        <v>31</v>
      </c>
      <c r="L847">
        <v>30</v>
      </c>
      <c r="M847" t="str">
        <f t="shared" si="13"/>
        <v>Adolescent</v>
      </c>
      <c r="N847" t="s">
        <v>18</v>
      </c>
    </row>
    <row r="848" spans="1:14" x14ac:dyDescent="0.25">
      <c r="A848">
        <v>24496</v>
      </c>
      <c r="B848" t="s">
        <v>36</v>
      </c>
      <c r="C848" t="s">
        <v>37</v>
      </c>
      <c r="D848" s="11">
        <v>40000</v>
      </c>
      <c r="E848">
        <v>0</v>
      </c>
      <c r="F848" t="s">
        <v>27</v>
      </c>
      <c r="G848" t="s">
        <v>14</v>
      </c>
      <c r="H848" t="s">
        <v>18</v>
      </c>
      <c r="I848">
        <v>2</v>
      </c>
      <c r="J848" t="s">
        <v>16</v>
      </c>
      <c r="K848" t="s">
        <v>31</v>
      </c>
      <c r="L848">
        <v>28</v>
      </c>
      <c r="M848" t="str">
        <f t="shared" si="13"/>
        <v>Adolescent</v>
      </c>
      <c r="N848" t="s">
        <v>15</v>
      </c>
    </row>
    <row r="849" spans="1:14" x14ac:dyDescent="0.25">
      <c r="A849">
        <v>23333</v>
      </c>
      <c r="B849" t="s">
        <v>35</v>
      </c>
      <c r="C849" t="s">
        <v>38</v>
      </c>
      <c r="D849" s="11">
        <v>40000</v>
      </c>
      <c r="E849">
        <v>0</v>
      </c>
      <c r="F849" t="s">
        <v>19</v>
      </c>
      <c r="G849" t="s">
        <v>14</v>
      </c>
      <c r="H849" t="s">
        <v>18</v>
      </c>
      <c r="I849">
        <v>2</v>
      </c>
      <c r="J849" t="s">
        <v>26</v>
      </c>
      <c r="K849" t="s">
        <v>31</v>
      </c>
      <c r="L849">
        <v>30</v>
      </c>
      <c r="M849" t="str">
        <f t="shared" si="13"/>
        <v>Adolescent</v>
      </c>
      <c r="N849" t="s">
        <v>18</v>
      </c>
    </row>
    <row r="850" spans="1:14" x14ac:dyDescent="0.25">
      <c r="A850">
        <v>23089</v>
      </c>
      <c r="B850" t="s">
        <v>35</v>
      </c>
      <c r="C850" t="s">
        <v>38</v>
      </c>
      <c r="D850" s="11">
        <v>40000</v>
      </c>
      <c r="E850">
        <v>0</v>
      </c>
      <c r="F850" t="s">
        <v>19</v>
      </c>
      <c r="G850" t="s">
        <v>14</v>
      </c>
      <c r="H850" t="s">
        <v>15</v>
      </c>
      <c r="I850">
        <v>1</v>
      </c>
      <c r="J850" t="s">
        <v>23</v>
      </c>
      <c r="K850" t="s">
        <v>31</v>
      </c>
      <c r="L850">
        <v>28</v>
      </c>
      <c r="M850" t="str">
        <f t="shared" si="13"/>
        <v>Adolescent</v>
      </c>
      <c r="N850" t="s">
        <v>18</v>
      </c>
    </row>
    <row r="851" spans="1:14" x14ac:dyDescent="0.25">
      <c r="A851">
        <v>22976</v>
      </c>
      <c r="B851" t="s">
        <v>36</v>
      </c>
      <c r="C851" t="s">
        <v>38</v>
      </c>
      <c r="D851" s="11">
        <v>40000</v>
      </c>
      <c r="E851">
        <v>0</v>
      </c>
      <c r="F851" t="s">
        <v>27</v>
      </c>
      <c r="G851" t="s">
        <v>14</v>
      </c>
      <c r="H851" t="s">
        <v>18</v>
      </c>
      <c r="I851">
        <v>2</v>
      </c>
      <c r="J851" t="s">
        <v>16</v>
      </c>
      <c r="K851" t="s">
        <v>31</v>
      </c>
      <c r="L851">
        <v>28</v>
      </c>
      <c r="M851" t="str">
        <f t="shared" si="13"/>
        <v>Adolescent</v>
      </c>
      <c r="N851" t="s">
        <v>15</v>
      </c>
    </row>
    <row r="852" spans="1:14" x14ac:dyDescent="0.25">
      <c r="A852">
        <v>22636</v>
      </c>
      <c r="B852" t="s">
        <v>36</v>
      </c>
      <c r="C852" t="s">
        <v>37</v>
      </c>
      <c r="D852" s="11">
        <v>40000</v>
      </c>
      <c r="E852">
        <v>0</v>
      </c>
      <c r="F852" t="s">
        <v>13</v>
      </c>
      <c r="G852" t="s">
        <v>20</v>
      </c>
      <c r="H852" t="s">
        <v>18</v>
      </c>
      <c r="I852">
        <v>0</v>
      </c>
      <c r="J852" t="s">
        <v>16</v>
      </c>
      <c r="K852" t="s">
        <v>17</v>
      </c>
      <c r="L852">
        <v>38</v>
      </c>
      <c r="M852" t="str">
        <f t="shared" si="13"/>
        <v>MIddleAge</v>
      </c>
      <c r="N852" t="s">
        <v>15</v>
      </c>
    </row>
    <row r="853" spans="1:14" x14ac:dyDescent="0.25">
      <c r="A853">
        <v>22634</v>
      </c>
      <c r="B853" t="s">
        <v>36</v>
      </c>
      <c r="C853" t="s">
        <v>37</v>
      </c>
      <c r="D853" s="11">
        <v>40000</v>
      </c>
      <c r="E853">
        <v>0</v>
      </c>
      <c r="F853" t="s">
        <v>30</v>
      </c>
      <c r="G853" t="s">
        <v>20</v>
      </c>
      <c r="H853" t="s">
        <v>15</v>
      </c>
      <c r="I853">
        <v>0</v>
      </c>
      <c r="J853" t="s">
        <v>16</v>
      </c>
      <c r="K853" t="s">
        <v>17</v>
      </c>
      <c r="L853">
        <v>38</v>
      </c>
      <c r="M853" t="str">
        <f t="shared" si="13"/>
        <v>MIddleAge</v>
      </c>
      <c r="N853" t="s">
        <v>15</v>
      </c>
    </row>
    <row r="854" spans="1:14" x14ac:dyDescent="0.25">
      <c r="A854">
        <v>22633</v>
      </c>
      <c r="B854" t="s">
        <v>36</v>
      </c>
      <c r="C854" t="s">
        <v>37</v>
      </c>
      <c r="D854" s="11">
        <v>40000</v>
      </c>
      <c r="E854">
        <v>0</v>
      </c>
      <c r="F854" t="s">
        <v>30</v>
      </c>
      <c r="G854" t="s">
        <v>20</v>
      </c>
      <c r="H854" t="s">
        <v>15</v>
      </c>
      <c r="I854">
        <v>0</v>
      </c>
      <c r="J854" t="s">
        <v>16</v>
      </c>
      <c r="K854" t="s">
        <v>17</v>
      </c>
      <c r="L854">
        <v>37</v>
      </c>
      <c r="M854" t="str">
        <f t="shared" si="13"/>
        <v>MIddleAge</v>
      </c>
      <c r="N854" t="s">
        <v>15</v>
      </c>
    </row>
    <row r="855" spans="1:14" x14ac:dyDescent="0.25">
      <c r="A855">
        <v>22500</v>
      </c>
      <c r="B855" t="s">
        <v>36</v>
      </c>
      <c r="C855" t="s">
        <v>38</v>
      </c>
      <c r="D855" s="11">
        <v>40000</v>
      </c>
      <c r="E855">
        <v>0</v>
      </c>
      <c r="F855" t="s">
        <v>13</v>
      </c>
      <c r="G855" t="s">
        <v>21</v>
      </c>
      <c r="H855" t="s">
        <v>18</v>
      </c>
      <c r="I855">
        <v>0</v>
      </c>
      <c r="J855" t="s">
        <v>16</v>
      </c>
      <c r="K855" t="s">
        <v>17</v>
      </c>
      <c r="L855">
        <v>40</v>
      </c>
      <c r="M855" t="str">
        <f t="shared" si="13"/>
        <v>MIddleAge</v>
      </c>
      <c r="N855" t="s">
        <v>15</v>
      </c>
    </row>
    <row r="856" spans="1:14" x14ac:dyDescent="0.25">
      <c r="A856">
        <v>22464</v>
      </c>
      <c r="B856" t="s">
        <v>35</v>
      </c>
      <c r="C856" t="s">
        <v>38</v>
      </c>
      <c r="D856" s="11">
        <v>40000</v>
      </c>
      <c r="E856">
        <v>0</v>
      </c>
      <c r="F856" t="s">
        <v>30</v>
      </c>
      <c r="G856" t="s">
        <v>20</v>
      </c>
      <c r="H856" t="s">
        <v>15</v>
      </c>
      <c r="I856">
        <v>0</v>
      </c>
      <c r="J856" t="s">
        <v>16</v>
      </c>
      <c r="K856" t="s">
        <v>17</v>
      </c>
      <c r="L856">
        <v>37</v>
      </c>
      <c r="M856" t="str">
        <f t="shared" si="13"/>
        <v>MIddleAge</v>
      </c>
      <c r="N856" t="s">
        <v>15</v>
      </c>
    </row>
    <row r="857" spans="1:14" x14ac:dyDescent="0.25">
      <c r="A857">
        <v>22010</v>
      </c>
      <c r="B857" t="s">
        <v>36</v>
      </c>
      <c r="C857" t="s">
        <v>38</v>
      </c>
      <c r="D857" s="11">
        <v>40000</v>
      </c>
      <c r="E857">
        <v>0</v>
      </c>
      <c r="F857" t="s">
        <v>27</v>
      </c>
      <c r="G857" t="s">
        <v>14</v>
      </c>
      <c r="H857" t="s">
        <v>15</v>
      </c>
      <c r="I857">
        <v>2</v>
      </c>
      <c r="J857" t="s">
        <v>23</v>
      </c>
      <c r="K857" t="s">
        <v>31</v>
      </c>
      <c r="L857">
        <v>31</v>
      </c>
      <c r="M857" t="str">
        <f t="shared" si="13"/>
        <v>MIddleAge</v>
      </c>
      <c r="N857" t="s">
        <v>18</v>
      </c>
    </row>
    <row r="858" spans="1:14" x14ac:dyDescent="0.25">
      <c r="A858">
        <v>21260</v>
      </c>
      <c r="B858" t="s">
        <v>36</v>
      </c>
      <c r="C858" t="s">
        <v>37</v>
      </c>
      <c r="D858" s="11">
        <v>40000</v>
      </c>
      <c r="E858">
        <v>0</v>
      </c>
      <c r="F858" t="s">
        <v>27</v>
      </c>
      <c r="G858" t="s">
        <v>14</v>
      </c>
      <c r="H858" t="s">
        <v>15</v>
      </c>
      <c r="I858">
        <v>2</v>
      </c>
      <c r="J858" t="s">
        <v>23</v>
      </c>
      <c r="K858" t="s">
        <v>31</v>
      </c>
      <c r="L858">
        <v>30</v>
      </c>
      <c r="M858" t="str">
        <f t="shared" si="13"/>
        <v>Adolescent</v>
      </c>
      <c r="N858" t="s">
        <v>18</v>
      </c>
    </row>
    <row r="859" spans="1:14" x14ac:dyDescent="0.25">
      <c r="A859">
        <v>20421</v>
      </c>
      <c r="B859" t="s">
        <v>36</v>
      </c>
      <c r="C859" t="s">
        <v>37</v>
      </c>
      <c r="D859" s="11">
        <v>40000</v>
      </c>
      <c r="E859">
        <v>0</v>
      </c>
      <c r="F859" t="s">
        <v>29</v>
      </c>
      <c r="G859" t="s">
        <v>20</v>
      </c>
      <c r="H859" t="s">
        <v>15</v>
      </c>
      <c r="I859">
        <v>2</v>
      </c>
      <c r="J859" t="s">
        <v>23</v>
      </c>
      <c r="K859" t="s">
        <v>31</v>
      </c>
      <c r="L859">
        <v>26</v>
      </c>
      <c r="M859" t="str">
        <f t="shared" si="13"/>
        <v>Adolescent</v>
      </c>
      <c r="N859" t="s">
        <v>18</v>
      </c>
    </row>
    <row r="860" spans="1:14" x14ac:dyDescent="0.25">
      <c r="A860">
        <v>19634</v>
      </c>
      <c r="B860" t="s">
        <v>35</v>
      </c>
      <c r="C860" t="s">
        <v>38</v>
      </c>
      <c r="D860" s="11">
        <v>40000</v>
      </c>
      <c r="E860">
        <v>0</v>
      </c>
      <c r="F860" t="s">
        <v>27</v>
      </c>
      <c r="G860" t="s">
        <v>14</v>
      </c>
      <c r="H860" t="s">
        <v>15</v>
      </c>
      <c r="I860">
        <v>1</v>
      </c>
      <c r="J860" t="s">
        <v>23</v>
      </c>
      <c r="K860" t="s">
        <v>31</v>
      </c>
      <c r="L860">
        <v>31</v>
      </c>
      <c r="M860" t="str">
        <f t="shared" si="13"/>
        <v>MIddleAge</v>
      </c>
      <c r="N860" t="s">
        <v>18</v>
      </c>
    </row>
    <row r="861" spans="1:14" x14ac:dyDescent="0.25">
      <c r="A861">
        <v>19477</v>
      </c>
      <c r="B861" t="s">
        <v>35</v>
      </c>
      <c r="C861" t="s">
        <v>38</v>
      </c>
      <c r="D861" s="11">
        <v>40000</v>
      </c>
      <c r="E861">
        <v>0</v>
      </c>
      <c r="F861" t="s">
        <v>13</v>
      </c>
      <c r="G861" t="s">
        <v>21</v>
      </c>
      <c r="H861" t="s">
        <v>15</v>
      </c>
      <c r="I861">
        <v>0</v>
      </c>
      <c r="J861" t="s">
        <v>16</v>
      </c>
      <c r="K861" t="s">
        <v>17</v>
      </c>
      <c r="L861">
        <v>40</v>
      </c>
      <c r="M861" t="str">
        <f t="shared" si="13"/>
        <v>MIddleAge</v>
      </c>
      <c r="N861" t="s">
        <v>15</v>
      </c>
    </row>
    <row r="862" spans="1:14" x14ac:dyDescent="0.25">
      <c r="A862">
        <v>19475</v>
      </c>
      <c r="B862" t="s">
        <v>35</v>
      </c>
      <c r="C862" t="s">
        <v>37</v>
      </c>
      <c r="D862" s="11">
        <v>40000</v>
      </c>
      <c r="E862">
        <v>0</v>
      </c>
      <c r="F862" t="s">
        <v>13</v>
      </c>
      <c r="G862" t="s">
        <v>21</v>
      </c>
      <c r="H862" t="s">
        <v>18</v>
      </c>
      <c r="I862">
        <v>0</v>
      </c>
      <c r="J862" t="s">
        <v>16</v>
      </c>
      <c r="K862" t="s">
        <v>17</v>
      </c>
      <c r="L862">
        <v>40</v>
      </c>
      <c r="M862" t="str">
        <f t="shared" si="13"/>
        <v>MIddleAge</v>
      </c>
      <c r="N862" t="s">
        <v>15</v>
      </c>
    </row>
    <row r="863" spans="1:14" x14ac:dyDescent="0.25">
      <c r="A863">
        <v>19441</v>
      </c>
      <c r="B863" t="s">
        <v>35</v>
      </c>
      <c r="C863" t="s">
        <v>38</v>
      </c>
      <c r="D863" s="11">
        <v>40000</v>
      </c>
      <c r="E863">
        <v>0</v>
      </c>
      <c r="F863" t="s">
        <v>30</v>
      </c>
      <c r="G863" t="s">
        <v>20</v>
      </c>
      <c r="H863" t="s">
        <v>15</v>
      </c>
      <c r="I863">
        <v>0</v>
      </c>
      <c r="J863" t="s">
        <v>16</v>
      </c>
      <c r="K863" t="s">
        <v>17</v>
      </c>
      <c r="L863">
        <v>25</v>
      </c>
      <c r="M863" t="str">
        <f t="shared" si="13"/>
        <v>Adolescent</v>
      </c>
      <c r="N863" t="s">
        <v>15</v>
      </c>
    </row>
    <row r="864" spans="1:14" x14ac:dyDescent="0.25">
      <c r="A864">
        <v>19399</v>
      </c>
      <c r="B864" t="s">
        <v>36</v>
      </c>
      <c r="C864" t="s">
        <v>38</v>
      </c>
      <c r="D864" s="11">
        <v>40000</v>
      </c>
      <c r="E864">
        <v>0</v>
      </c>
      <c r="F864" t="s">
        <v>13</v>
      </c>
      <c r="G864" t="s">
        <v>21</v>
      </c>
      <c r="H864" t="s">
        <v>18</v>
      </c>
      <c r="I864">
        <v>1</v>
      </c>
      <c r="J864" t="s">
        <v>22</v>
      </c>
      <c r="K864" t="s">
        <v>31</v>
      </c>
      <c r="L864">
        <v>45</v>
      </c>
      <c r="M864" t="str">
        <f t="shared" si="13"/>
        <v>MIddleAge</v>
      </c>
      <c r="N864" t="s">
        <v>18</v>
      </c>
    </row>
    <row r="865" spans="1:14" x14ac:dyDescent="0.25">
      <c r="A865">
        <v>19147</v>
      </c>
      <c r="B865" t="s">
        <v>35</v>
      </c>
      <c r="C865" t="s">
        <v>38</v>
      </c>
      <c r="D865" s="11">
        <v>40000</v>
      </c>
      <c r="E865">
        <v>0</v>
      </c>
      <c r="F865" t="s">
        <v>13</v>
      </c>
      <c r="G865" t="s">
        <v>21</v>
      </c>
      <c r="H865" t="s">
        <v>18</v>
      </c>
      <c r="I865">
        <v>1</v>
      </c>
      <c r="J865" t="s">
        <v>16</v>
      </c>
      <c r="K865" t="s">
        <v>31</v>
      </c>
      <c r="L865">
        <v>42</v>
      </c>
      <c r="M865" t="str">
        <f t="shared" si="13"/>
        <v>MIddleAge</v>
      </c>
      <c r="N865" t="s">
        <v>18</v>
      </c>
    </row>
    <row r="866" spans="1:14" x14ac:dyDescent="0.25">
      <c r="A866">
        <v>18891</v>
      </c>
      <c r="B866" t="s">
        <v>35</v>
      </c>
      <c r="C866" t="s">
        <v>37</v>
      </c>
      <c r="D866" s="11">
        <v>40000</v>
      </c>
      <c r="E866">
        <v>0</v>
      </c>
      <c r="F866" t="s">
        <v>19</v>
      </c>
      <c r="G866" t="s">
        <v>14</v>
      </c>
      <c r="H866" t="s">
        <v>15</v>
      </c>
      <c r="I866">
        <v>2</v>
      </c>
      <c r="J866" t="s">
        <v>23</v>
      </c>
      <c r="K866" t="s">
        <v>31</v>
      </c>
      <c r="L866">
        <v>28</v>
      </c>
      <c r="M866" t="str">
        <f t="shared" si="13"/>
        <v>Adolescent</v>
      </c>
      <c r="N866" t="s">
        <v>18</v>
      </c>
    </row>
    <row r="867" spans="1:14" x14ac:dyDescent="0.25">
      <c r="A867">
        <v>18752</v>
      </c>
      <c r="B867" t="s">
        <v>36</v>
      </c>
      <c r="C867" t="s">
        <v>37</v>
      </c>
      <c r="D867" s="11">
        <v>40000</v>
      </c>
      <c r="E867">
        <v>0</v>
      </c>
      <c r="F867" t="s">
        <v>27</v>
      </c>
      <c r="G867" t="s">
        <v>14</v>
      </c>
      <c r="H867" t="s">
        <v>15</v>
      </c>
      <c r="I867">
        <v>1</v>
      </c>
      <c r="J867" t="s">
        <v>23</v>
      </c>
      <c r="K867" t="s">
        <v>31</v>
      </c>
      <c r="L867">
        <v>31</v>
      </c>
      <c r="M867" t="str">
        <f t="shared" si="13"/>
        <v>MIddleAge</v>
      </c>
      <c r="N867" t="s">
        <v>18</v>
      </c>
    </row>
    <row r="868" spans="1:14" x14ac:dyDescent="0.25">
      <c r="A868">
        <v>18363</v>
      </c>
      <c r="B868" t="s">
        <v>35</v>
      </c>
      <c r="C868" t="s">
        <v>38</v>
      </c>
      <c r="D868" s="11">
        <v>40000</v>
      </c>
      <c r="E868">
        <v>0</v>
      </c>
      <c r="F868" t="s">
        <v>27</v>
      </c>
      <c r="G868" t="s">
        <v>14</v>
      </c>
      <c r="H868" t="s">
        <v>15</v>
      </c>
      <c r="I868">
        <v>2</v>
      </c>
      <c r="J868" t="s">
        <v>23</v>
      </c>
      <c r="K868" t="s">
        <v>31</v>
      </c>
      <c r="L868">
        <v>28</v>
      </c>
      <c r="M868" t="str">
        <f t="shared" si="13"/>
        <v>Adolescent</v>
      </c>
      <c r="N868" t="s">
        <v>15</v>
      </c>
    </row>
    <row r="869" spans="1:14" x14ac:dyDescent="0.25">
      <c r="A869">
        <v>17978</v>
      </c>
      <c r="B869" t="s">
        <v>35</v>
      </c>
      <c r="C869" t="s">
        <v>38</v>
      </c>
      <c r="D869" s="11">
        <v>40000</v>
      </c>
      <c r="E869">
        <v>0</v>
      </c>
      <c r="F869" t="s">
        <v>30</v>
      </c>
      <c r="G869" t="s">
        <v>20</v>
      </c>
      <c r="H869" t="s">
        <v>15</v>
      </c>
      <c r="I869">
        <v>0</v>
      </c>
      <c r="J869" t="s">
        <v>16</v>
      </c>
      <c r="K869" t="s">
        <v>17</v>
      </c>
      <c r="L869">
        <v>37</v>
      </c>
      <c r="M869" t="str">
        <f t="shared" si="13"/>
        <v>MIddleAge</v>
      </c>
      <c r="N869" t="s">
        <v>15</v>
      </c>
    </row>
    <row r="870" spans="1:14" x14ac:dyDescent="0.25">
      <c r="A870">
        <v>17964</v>
      </c>
      <c r="B870" t="s">
        <v>35</v>
      </c>
      <c r="C870" t="s">
        <v>38</v>
      </c>
      <c r="D870" s="11">
        <v>40000</v>
      </c>
      <c r="E870">
        <v>0</v>
      </c>
      <c r="F870" t="s">
        <v>30</v>
      </c>
      <c r="G870" t="s">
        <v>20</v>
      </c>
      <c r="H870" t="s">
        <v>15</v>
      </c>
      <c r="I870">
        <v>0</v>
      </c>
      <c r="J870" t="s">
        <v>16</v>
      </c>
      <c r="K870" t="s">
        <v>17</v>
      </c>
      <c r="L870">
        <v>37</v>
      </c>
      <c r="M870" t="str">
        <f t="shared" si="13"/>
        <v>MIddleAge</v>
      </c>
      <c r="N870" t="s">
        <v>15</v>
      </c>
    </row>
    <row r="871" spans="1:14" x14ac:dyDescent="0.25">
      <c r="A871">
        <v>17960</v>
      </c>
      <c r="B871" t="s">
        <v>35</v>
      </c>
      <c r="C871" t="s">
        <v>37</v>
      </c>
      <c r="D871" s="11">
        <v>40000</v>
      </c>
      <c r="E871">
        <v>0</v>
      </c>
      <c r="F871" t="s">
        <v>30</v>
      </c>
      <c r="G871" t="s">
        <v>20</v>
      </c>
      <c r="H871" t="s">
        <v>15</v>
      </c>
      <c r="I871">
        <v>0</v>
      </c>
      <c r="J871" t="s">
        <v>16</v>
      </c>
      <c r="K871" t="s">
        <v>17</v>
      </c>
      <c r="L871">
        <v>35</v>
      </c>
      <c r="M871" t="str">
        <f t="shared" si="13"/>
        <v>MIddleAge</v>
      </c>
      <c r="N871" t="s">
        <v>15</v>
      </c>
    </row>
    <row r="872" spans="1:14" x14ac:dyDescent="0.25">
      <c r="A872">
        <v>17926</v>
      </c>
      <c r="B872" t="s">
        <v>36</v>
      </c>
      <c r="C872" t="s">
        <v>37</v>
      </c>
      <c r="D872" s="11">
        <v>40000</v>
      </c>
      <c r="E872">
        <v>0</v>
      </c>
      <c r="F872" t="s">
        <v>13</v>
      </c>
      <c r="G872" t="s">
        <v>20</v>
      </c>
      <c r="H872" t="s">
        <v>18</v>
      </c>
      <c r="I872">
        <v>0</v>
      </c>
      <c r="J872" t="s">
        <v>16</v>
      </c>
      <c r="K872" t="s">
        <v>24</v>
      </c>
      <c r="L872">
        <v>28</v>
      </c>
      <c r="M872" t="str">
        <f t="shared" si="13"/>
        <v>Adolescent</v>
      </c>
      <c r="N872" t="s">
        <v>15</v>
      </c>
    </row>
    <row r="873" spans="1:14" x14ac:dyDescent="0.25">
      <c r="A873">
        <v>17793</v>
      </c>
      <c r="B873" t="s">
        <v>35</v>
      </c>
      <c r="C873" t="s">
        <v>37</v>
      </c>
      <c r="D873" s="11">
        <v>40000</v>
      </c>
      <c r="E873">
        <v>0</v>
      </c>
      <c r="F873" t="s">
        <v>13</v>
      </c>
      <c r="G873" t="s">
        <v>20</v>
      </c>
      <c r="H873" t="s">
        <v>15</v>
      </c>
      <c r="I873">
        <v>0</v>
      </c>
      <c r="J873" t="s">
        <v>16</v>
      </c>
      <c r="K873" t="s">
        <v>17</v>
      </c>
      <c r="L873">
        <v>38</v>
      </c>
      <c r="M873" t="str">
        <f t="shared" si="13"/>
        <v>MIddleAge</v>
      </c>
      <c r="N873" t="s">
        <v>15</v>
      </c>
    </row>
    <row r="874" spans="1:14" x14ac:dyDescent="0.25">
      <c r="A874">
        <v>17482</v>
      </c>
      <c r="B874" t="s">
        <v>36</v>
      </c>
      <c r="C874" t="s">
        <v>37</v>
      </c>
      <c r="D874" s="11">
        <v>40000</v>
      </c>
      <c r="E874">
        <v>0</v>
      </c>
      <c r="F874" t="s">
        <v>29</v>
      </c>
      <c r="G874" t="s">
        <v>20</v>
      </c>
      <c r="H874" t="s">
        <v>15</v>
      </c>
      <c r="I874">
        <v>2</v>
      </c>
      <c r="J874" t="s">
        <v>23</v>
      </c>
      <c r="K874" t="s">
        <v>31</v>
      </c>
      <c r="L874">
        <v>29</v>
      </c>
      <c r="M874" t="str">
        <f t="shared" si="13"/>
        <v>Adolescent</v>
      </c>
      <c r="N874" t="s">
        <v>18</v>
      </c>
    </row>
    <row r="875" spans="1:14" x14ac:dyDescent="0.25">
      <c r="A875">
        <v>17337</v>
      </c>
      <c r="B875" t="s">
        <v>36</v>
      </c>
      <c r="C875" t="s">
        <v>38</v>
      </c>
      <c r="D875" s="11">
        <v>40000</v>
      </c>
      <c r="E875">
        <v>0</v>
      </c>
      <c r="F875" t="s">
        <v>27</v>
      </c>
      <c r="G875" t="s">
        <v>14</v>
      </c>
      <c r="H875" t="s">
        <v>15</v>
      </c>
      <c r="I875">
        <v>1</v>
      </c>
      <c r="J875" t="s">
        <v>23</v>
      </c>
      <c r="K875" t="s">
        <v>31</v>
      </c>
      <c r="L875">
        <v>31</v>
      </c>
      <c r="M875" t="str">
        <f t="shared" si="13"/>
        <v>MIddleAge</v>
      </c>
      <c r="N875" t="s">
        <v>18</v>
      </c>
    </row>
    <row r="876" spans="1:14" x14ac:dyDescent="0.25">
      <c r="A876">
        <v>16406</v>
      </c>
      <c r="B876" t="s">
        <v>35</v>
      </c>
      <c r="C876" t="s">
        <v>38</v>
      </c>
      <c r="D876" s="11">
        <v>40000</v>
      </c>
      <c r="E876">
        <v>0</v>
      </c>
      <c r="F876" t="s">
        <v>13</v>
      </c>
      <c r="G876" t="s">
        <v>20</v>
      </c>
      <c r="H876" t="s">
        <v>18</v>
      </c>
      <c r="I876">
        <v>0</v>
      </c>
      <c r="J876" t="s">
        <v>16</v>
      </c>
      <c r="K876" t="s">
        <v>17</v>
      </c>
      <c r="L876">
        <v>38</v>
      </c>
      <c r="M876" t="str">
        <f t="shared" si="13"/>
        <v>MIddleAge</v>
      </c>
      <c r="N876" t="s">
        <v>15</v>
      </c>
    </row>
    <row r="877" spans="1:14" x14ac:dyDescent="0.25">
      <c r="A877">
        <v>16020</v>
      </c>
      <c r="B877" t="s">
        <v>35</v>
      </c>
      <c r="C877" t="s">
        <v>38</v>
      </c>
      <c r="D877" s="11">
        <v>40000</v>
      </c>
      <c r="E877">
        <v>0</v>
      </c>
      <c r="F877" t="s">
        <v>27</v>
      </c>
      <c r="G877" t="s">
        <v>14</v>
      </c>
      <c r="H877" t="s">
        <v>15</v>
      </c>
      <c r="I877">
        <v>2</v>
      </c>
      <c r="J877" t="s">
        <v>23</v>
      </c>
      <c r="K877" t="s">
        <v>31</v>
      </c>
      <c r="L877">
        <v>28</v>
      </c>
      <c r="M877" t="str">
        <f t="shared" si="13"/>
        <v>Adolescent</v>
      </c>
      <c r="N877" t="s">
        <v>15</v>
      </c>
    </row>
    <row r="878" spans="1:14" x14ac:dyDescent="0.25">
      <c r="A878">
        <v>15814</v>
      </c>
      <c r="B878" t="s">
        <v>36</v>
      </c>
      <c r="C878" t="s">
        <v>37</v>
      </c>
      <c r="D878" s="11">
        <v>40000</v>
      </c>
      <c r="E878">
        <v>0</v>
      </c>
      <c r="F878" t="s">
        <v>27</v>
      </c>
      <c r="G878" t="s">
        <v>14</v>
      </c>
      <c r="H878" t="s">
        <v>15</v>
      </c>
      <c r="I878">
        <v>1</v>
      </c>
      <c r="J878" t="s">
        <v>23</v>
      </c>
      <c r="K878" t="s">
        <v>31</v>
      </c>
      <c r="L878">
        <v>30</v>
      </c>
      <c r="M878" t="str">
        <f t="shared" si="13"/>
        <v>Adolescent</v>
      </c>
      <c r="N878" t="s">
        <v>18</v>
      </c>
    </row>
    <row r="879" spans="1:14" x14ac:dyDescent="0.25">
      <c r="A879">
        <v>15275</v>
      </c>
      <c r="B879" t="s">
        <v>35</v>
      </c>
      <c r="C879" t="s">
        <v>38</v>
      </c>
      <c r="D879" s="11">
        <v>40000</v>
      </c>
      <c r="E879">
        <v>0</v>
      </c>
      <c r="F879" t="s">
        <v>19</v>
      </c>
      <c r="G879" t="s">
        <v>14</v>
      </c>
      <c r="H879" t="s">
        <v>15</v>
      </c>
      <c r="I879">
        <v>1</v>
      </c>
      <c r="J879" t="s">
        <v>23</v>
      </c>
      <c r="K879" t="s">
        <v>31</v>
      </c>
      <c r="L879">
        <v>29</v>
      </c>
      <c r="M879" t="str">
        <f t="shared" si="13"/>
        <v>Adolescent</v>
      </c>
      <c r="N879" t="s">
        <v>18</v>
      </c>
    </row>
    <row r="880" spans="1:14" x14ac:dyDescent="0.25">
      <c r="A880">
        <v>15272</v>
      </c>
      <c r="B880" t="s">
        <v>36</v>
      </c>
      <c r="C880" t="s">
        <v>38</v>
      </c>
      <c r="D880" s="11">
        <v>40000</v>
      </c>
      <c r="E880">
        <v>0</v>
      </c>
      <c r="F880" t="s">
        <v>27</v>
      </c>
      <c r="G880" t="s">
        <v>14</v>
      </c>
      <c r="H880" t="s">
        <v>18</v>
      </c>
      <c r="I880">
        <v>2</v>
      </c>
      <c r="J880" t="s">
        <v>26</v>
      </c>
      <c r="K880" t="s">
        <v>31</v>
      </c>
      <c r="L880">
        <v>30</v>
      </c>
      <c r="M880" t="str">
        <f t="shared" si="13"/>
        <v>Adolescent</v>
      </c>
      <c r="N880" t="s">
        <v>18</v>
      </c>
    </row>
    <row r="881" spans="1:14" x14ac:dyDescent="0.25">
      <c r="A881">
        <v>15255</v>
      </c>
      <c r="B881" t="s">
        <v>35</v>
      </c>
      <c r="C881" t="s">
        <v>38</v>
      </c>
      <c r="D881" s="11">
        <v>40000</v>
      </c>
      <c r="E881">
        <v>0</v>
      </c>
      <c r="F881" t="s">
        <v>27</v>
      </c>
      <c r="G881" t="s">
        <v>14</v>
      </c>
      <c r="H881" t="s">
        <v>15</v>
      </c>
      <c r="I881">
        <v>2</v>
      </c>
      <c r="J881" t="s">
        <v>23</v>
      </c>
      <c r="K881" t="s">
        <v>31</v>
      </c>
      <c r="L881">
        <v>28</v>
      </c>
      <c r="M881" t="str">
        <f t="shared" si="13"/>
        <v>Adolescent</v>
      </c>
      <c r="N881" t="s">
        <v>15</v>
      </c>
    </row>
    <row r="882" spans="1:14" x14ac:dyDescent="0.25">
      <c r="A882">
        <v>14939</v>
      </c>
      <c r="B882" t="s">
        <v>36</v>
      </c>
      <c r="C882" t="s">
        <v>38</v>
      </c>
      <c r="D882" s="11">
        <v>40000</v>
      </c>
      <c r="E882">
        <v>0</v>
      </c>
      <c r="F882" t="s">
        <v>13</v>
      </c>
      <c r="G882" t="s">
        <v>20</v>
      </c>
      <c r="H882" t="s">
        <v>15</v>
      </c>
      <c r="I882">
        <v>0</v>
      </c>
      <c r="J882" t="s">
        <v>16</v>
      </c>
      <c r="K882" t="s">
        <v>17</v>
      </c>
      <c r="L882">
        <v>39</v>
      </c>
      <c r="M882" t="str">
        <f t="shared" si="13"/>
        <v>MIddleAge</v>
      </c>
      <c r="N882" t="s">
        <v>15</v>
      </c>
    </row>
    <row r="883" spans="1:14" x14ac:dyDescent="0.25">
      <c r="A883">
        <v>14791</v>
      </c>
      <c r="B883" t="s">
        <v>35</v>
      </c>
      <c r="C883" t="s">
        <v>37</v>
      </c>
      <c r="D883" s="11">
        <v>40000</v>
      </c>
      <c r="E883">
        <v>0</v>
      </c>
      <c r="F883" t="s">
        <v>13</v>
      </c>
      <c r="G883" t="s">
        <v>20</v>
      </c>
      <c r="H883" t="s">
        <v>15</v>
      </c>
      <c r="I883">
        <v>0</v>
      </c>
      <c r="J883" t="s">
        <v>16</v>
      </c>
      <c r="K883" t="s">
        <v>17</v>
      </c>
      <c r="L883">
        <v>39</v>
      </c>
      <c r="M883" t="str">
        <f t="shared" si="13"/>
        <v>MIddleAge</v>
      </c>
      <c r="N883" t="s">
        <v>15</v>
      </c>
    </row>
    <row r="884" spans="1:14" x14ac:dyDescent="0.25">
      <c r="A884">
        <v>14777</v>
      </c>
      <c r="B884" t="s">
        <v>35</v>
      </c>
      <c r="C884" t="s">
        <v>37</v>
      </c>
      <c r="D884" s="11">
        <v>40000</v>
      </c>
      <c r="E884">
        <v>0</v>
      </c>
      <c r="F884" t="s">
        <v>13</v>
      </c>
      <c r="G884" t="s">
        <v>20</v>
      </c>
      <c r="H884" t="s">
        <v>15</v>
      </c>
      <c r="I884">
        <v>0</v>
      </c>
      <c r="J884" t="s">
        <v>16</v>
      </c>
      <c r="K884" t="s">
        <v>17</v>
      </c>
      <c r="L884">
        <v>38</v>
      </c>
      <c r="M884" t="str">
        <f t="shared" si="13"/>
        <v>MIddleAge</v>
      </c>
      <c r="N884" t="s">
        <v>15</v>
      </c>
    </row>
    <row r="885" spans="1:14" x14ac:dyDescent="0.25">
      <c r="A885">
        <v>13154</v>
      </c>
      <c r="B885" t="s">
        <v>35</v>
      </c>
      <c r="C885" t="s">
        <v>38</v>
      </c>
      <c r="D885" s="11">
        <v>40000</v>
      </c>
      <c r="E885">
        <v>0</v>
      </c>
      <c r="F885" t="s">
        <v>27</v>
      </c>
      <c r="G885" t="s">
        <v>14</v>
      </c>
      <c r="H885" t="s">
        <v>18</v>
      </c>
      <c r="I885">
        <v>2</v>
      </c>
      <c r="J885" t="s">
        <v>16</v>
      </c>
      <c r="K885" t="s">
        <v>31</v>
      </c>
      <c r="L885">
        <v>27</v>
      </c>
      <c r="M885" t="str">
        <f t="shared" si="13"/>
        <v>Adolescent</v>
      </c>
      <c r="N885" t="s">
        <v>15</v>
      </c>
    </row>
    <row r="886" spans="1:14" x14ac:dyDescent="0.25">
      <c r="A886">
        <v>13151</v>
      </c>
      <c r="B886" t="s">
        <v>36</v>
      </c>
      <c r="C886" t="s">
        <v>38</v>
      </c>
      <c r="D886" s="11">
        <v>40000</v>
      </c>
      <c r="E886">
        <v>0</v>
      </c>
      <c r="F886" t="s">
        <v>27</v>
      </c>
      <c r="G886" t="s">
        <v>14</v>
      </c>
      <c r="H886" t="s">
        <v>15</v>
      </c>
      <c r="I886">
        <v>2</v>
      </c>
      <c r="J886" t="s">
        <v>23</v>
      </c>
      <c r="K886" t="s">
        <v>31</v>
      </c>
      <c r="L886">
        <v>27</v>
      </c>
      <c r="M886" t="str">
        <f t="shared" si="13"/>
        <v>Adolescent</v>
      </c>
      <c r="N886" t="s">
        <v>18</v>
      </c>
    </row>
    <row r="887" spans="1:14" x14ac:dyDescent="0.25">
      <c r="A887">
        <v>12821</v>
      </c>
      <c r="B887" t="s">
        <v>35</v>
      </c>
      <c r="C887" t="s">
        <v>38</v>
      </c>
      <c r="D887" s="11">
        <v>40000</v>
      </c>
      <c r="E887">
        <v>0</v>
      </c>
      <c r="F887" t="s">
        <v>13</v>
      </c>
      <c r="G887" t="s">
        <v>20</v>
      </c>
      <c r="H887" t="s">
        <v>15</v>
      </c>
      <c r="I887">
        <v>0</v>
      </c>
      <c r="J887" t="s">
        <v>16</v>
      </c>
      <c r="K887" t="s">
        <v>17</v>
      </c>
      <c r="L887">
        <v>39</v>
      </c>
      <c r="M887" t="str">
        <f t="shared" si="13"/>
        <v>MIddleAge</v>
      </c>
      <c r="N887" t="s">
        <v>18</v>
      </c>
    </row>
    <row r="888" spans="1:14" x14ac:dyDescent="0.25">
      <c r="A888">
        <v>12808</v>
      </c>
      <c r="B888" t="s">
        <v>35</v>
      </c>
      <c r="C888" t="s">
        <v>38</v>
      </c>
      <c r="D888" s="11">
        <v>40000</v>
      </c>
      <c r="E888">
        <v>0</v>
      </c>
      <c r="F888" t="s">
        <v>13</v>
      </c>
      <c r="G888" t="s">
        <v>20</v>
      </c>
      <c r="H888" t="s">
        <v>15</v>
      </c>
      <c r="I888">
        <v>0</v>
      </c>
      <c r="J888" t="s">
        <v>16</v>
      </c>
      <c r="K888" t="s">
        <v>17</v>
      </c>
      <c r="L888">
        <v>38</v>
      </c>
      <c r="M888" t="str">
        <f t="shared" si="13"/>
        <v>MIddleAge</v>
      </c>
      <c r="N888" t="s">
        <v>15</v>
      </c>
    </row>
    <row r="889" spans="1:14" x14ac:dyDescent="0.25">
      <c r="A889">
        <v>12033</v>
      </c>
      <c r="B889" t="s">
        <v>36</v>
      </c>
      <c r="C889" t="s">
        <v>37</v>
      </c>
      <c r="D889" s="11">
        <v>40000</v>
      </c>
      <c r="E889">
        <v>0</v>
      </c>
      <c r="F889" t="s">
        <v>27</v>
      </c>
      <c r="G889" t="s">
        <v>14</v>
      </c>
      <c r="H889" t="s">
        <v>18</v>
      </c>
      <c r="I889">
        <v>2</v>
      </c>
      <c r="J889" t="s">
        <v>16</v>
      </c>
      <c r="K889" t="s">
        <v>31</v>
      </c>
      <c r="L889">
        <v>27</v>
      </c>
      <c r="M889" t="str">
        <f t="shared" si="13"/>
        <v>Adolescent</v>
      </c>
      <c r="N889" t="s">
        <v>15</v>
      </c>
    </row>
    <row r="890" spans="1:14" x14ac:dyDescent="0.25">
      <c r="A890">
        <v>11143</v>
      </c>
      <c r="B890" t="s">
        <v>35</v>
      </c>
      <c r="C890" t="s">
        <v>38</v>
      </c>
      <c r="D890" s="11">
        <v>40000</v>
      </c>
      <c r="E890">
        <v>0</v>
      </c>
      <c r="F890" t="s">
        <v>27</v>
      </c>
      <c r="G890" t="s">
        <v>14</v>
      </c>
      <c r="H890" t="s">
        <v>15</v>
      </c>
      <c r="I890">
        <v>2</v>
      </c>
      <c r="J890" t="s">
        <v>23</v>
      </c>
      <c r="K890" t="s">
        <v>31</v>
      </c>
      <c r="L890">
        <v>29</v>
      </c>
      <c r="M890" t="str">
        <f t="shared" si="13"/>
        <v>Adolescent</v>
      </c>
      <c r="N890" t="s">
        <v>18</v>
      </c>
    </row>
    <row r="891" spans="1:14" x14ac:dyDescent="0.25">
      <c r="A891">
        <v>23818</v>
      </c>
      <c r="B891" t="s">
        <v>35</v>
      </c>
      <c r="C891" t="s">
        <v>37</v>
      </c>
      <c r="D891" s="11">
        <v>50000</v>
      </c>
      <c r="E891">
        <v>0</v>
      </c>
      <c r="F891" t="s">
        <v>30</v>
      </c>
      <c r="G891" t="s">
        <v>14</v>
      </c>
      <c r="H891" t="s">
        <v>15</v>
      </c>
      <c r="I891">
        <v>0</v>
      </c>
      <c r="J891" t="s">
        <v>26</v>
      </c>
      <c r="K891" t="s">
        <v>31</v>
      </c>
      <c r="L891">
        <v>33</v>
      </c>
      <c r="M891" t="str">
        <f t="shared" si="13"/>
        <v>MIddleAge</v>
      </c>
      <c r="N891" t="s">
        <v>15</v>
      </c>
    </row>
    <row r="892" spans="1:14" x14ac:dyDescent="0.25">
      <c r="A892">
        <v>22330</v>
      </c>
      <c r="B892" t="s">
        <v>35</v>
      </c>
      <c r="C892" t="s">
        <v>38</v>
      </c>
      <c r="D892" s="11">
        <v>50000</v>
      </c>
      <c r="E892">
        <v>0</v>
      </c>
      <c r="F892" t="s">
        <v>30</v>
      </c>
      <c r="G892" t="s">
        <v>14</v>
      </c>
      <c r="H892" t="s">
        <v>15</v>
      </c>
      <c r="I892">
        <v>0</v>
      </c>
      <c r="J892" t="s">
        <v>26</v>
      </c>
      <c r="K892" t="s">
        <v>31</v>
      </c>
      <c r="L892">
        <v>32</v>
      </c>
      <c r="M892" t="str">
        <f t="shared" si="13"/>
        <v>MIddleAge</v>
      </c>
      <c r="N892" t="s">
        <v>15</v>
      </c>
    </row>
    <row r="893" spans="1:14" x14ac:dyDescent="0.25">
      <c r="A893">
        <v>21039</v>
      </c>
      <c r="B893" t="s">
        <v>36</v>
      </c>
      <c r="C893" t="s">
        <v>37</v>
      </c>
      <c r="D893" s="11">
        <v>50000</v>
      </c>
      <c r="E893">
        <v>0</v>
      </c>
      <c r="F893" t="s">
        <v>30</v>
      </c>
      <c r="G893" t="s">
        <v>14</v>
      </c>
      <c r="H893" t="s">
        <v>18</v>
      </c>
      <c r="I893">
        <v>0</v>
      </c>
      <c r="J893" t="s">
        <v>16</v>
      </c>
      <c r="K893" t="s">
        <v>17</v>
      </c>
      <c r="L893">
        <v>37</v>
      </c>
      <c r="M893" t="str">
        <f t="shared" si="13"/>
        <v>MIddleAge</v>
      </c>
      <c r="N893" t="s">
        <v>15</v>
      </c>
    </row>
    <row r="894" spans="1:14" x14ac:dyDescent="0.25">
      <c r="A894">
        <v>19442</v>
      </c>
      <c r="B894" t="s">
        <v>36</v>
      </c>
      <c r="C894" t="s">
        <v>38</v>
      </c>
      <c r="D894" s="11">
        <v>50000</v>
      </c>
      <c r="E894">
        <v>0</v>
      </c>
      <c r="F894" t="s">
        <v>30</v>
      </c>
      <c r="G894" t="s">
        <v>14</v>
      </c>
      <c r="H894" t="s">
        <v>15</v>
      </c>
      <c r="I894">
        <v>0</v>
      </c>
      <c r="J894" t="s">
        <v>16</v>
      </c>
      <c r="K894" t="s">
        <v>17</v>
      </c>
      <c r="L894">
        <v>37</v>
      </c>
      <c r="M894" t="str">
        <f t="shared" si="13"/>
        <v>MIddleAge</v>
      </c>
      <c r="N894" t="s">
        <v>15</v>
      </c>
    </row>
    <row r="895" spans="1:14" x14ac:dyDescent="0.25">
      <c r="A895">
        <v>19299</v>
      </c>
      <c r="B895" t="s">
        <v>35</v>
      </c>
      <c r="C895" t="s">
        <v>37</v>
      </c>
      <c r="D895" s="11">
        <v>50000</v>
      </c>
      <c r="E895">
        <v>0</v>
      </c>
      <c r="F895" t="s">
        <v>30</v>
      </c>
      <c r="G895" t="s">
        <v>14</v>
      </c>
      <c r="H895" t="s">
        <v>15</v>
      </c>
      <c r="I895">
        <v>0</v>
      </c>
      <c r="J895" t="s">
        <v>16</v>
      </c>
      <c r="K895" t="s">
        <v>17</v>
      </c>
      <c r="L895">
        <v>36</v>
      </c>
      <c r="M895" t="str">
        <f t="shared" si="13"/>
        <v>MIddleAge</v>
      </c>
      <c r="N895" t="s">
        <v>15</v>
      </c>
    </row>
    <row r="896" spans="1:14" x14ac:dyDescent="0.25">
      <c r="A896">
        <v>19235</v>
      </c>
      <c r="B896" t="s">
        <v>35</v>
      </c>
      <c r="C896" t="s">
        <v>37</v>
      </c>
      <c r="D896" s="11">
        <v>50000</v>
      </c>
      <c r="E896">
        <v>0</v>
      </c>
      <c r="F896" t="s">
        <v>30</v>
      </c>
      <c r="G896" t="s">
        <v>14</v>
      </c>
      <c r="H896" t="s">
        <v>15</v>
      </c>
      <c r="I896">
        <v>0</v>
      </c>
      <c r="J896" t="s">
        <v>16</v>
      </c>
      <c r="K896" t="s">
        <v>31</v>
      </c>
      <c r="L896">
        <v>34</v>
      </c>
      <c r="M896" t="str">
        <f t="shared" si="13"/>
        <v>MIddleAge</v>
      </c>
      <c r="N896" t="s">
        <v>18</v>
      </c>
    </row>
    <row r="897" spans="1:14" x14ac:dyDescent="0.25">
      <c r="A897">
        <v>17025</v>
      </c>
      <c r="B897" t="s">
        <v>36</v>
      </c>
      <c r="C897" t="s">
        <v>38</v>
      </c>
      <c r="D897" s="11">
        <v>50000</v>
      </c>
      <c r="E897">
        <v>0</v>
      </c>
      <c r="F897" t="s">
        <v>19</v>
      </c>
      <c r="G897" t="s">
        <v>14</v>
      </c>
      <c r="H897" t="s">
        <v>18</v>
      </c>
      <c r="I897">
        <v>1</v>
      </c>
      <c r="J897" t="s">
        <v>22</v>
      </c>
      <c r="K897" t="s">
        <v>31</v>
      </c>
      <c r="L897">
        <v>39</v>
      </c>
      <c r="M897" t="str">
        <f t="shared" si="13"/>
        <v>MIddleAge</v>
      </c>
      <c r="N897" t="s">
        <v>15</v>
      </c>
    </row>
    <row r="898" spans="1:14" x14ac:dyDescent="0.25">
      <c r="A898">
        <v>16209</v>
      </c>
      <c r="B898" t="s">
        <v>36</v>
      </c>
      <c r="C898" t="s">
        <v>37</v>
      </c>
      <c r="D898" s="11">
        <v>50000</v>
      </c>
      <c r="E898">
        <v>0</v>
      </c>
      <c r="F898" t="s">
        <v>30</v>
      </c>
      <c r="G898" t="s">
        <v>14</v>
      </c>
      <c r="H898" t="s">
        <v>15</v>
      </c>
      <c r="I898">
        <v>0</v>
      </c>
      <c r="J898" t="s">
        <v>26</v>
      </c>
      <c r="K898" t="s">
        <v>17</v>
      </c>
      <c r="L898">
        <v>36</v>
      </c>
      <c r="M898" t="str">
        <f t="shared" ref="M898:M961" si="14">IF(L898&gt; 54, "Old",IF(L898&gt;= 31, "MIddleAge",IF(L898&lt;31, "Adolescent", "Adult")))</f>
        <v>MIddleAge</v>
      </c>
      <c r="N898" t="s">
        <v>18</v>
      </c>
    </row>
    <row r="899" spans="1:14" x14ac:dyDescent="0.25">
      <c r="A899">
        <v>15862</v>
      </c>
      <c r="B899" t="s">
        <v>36</v>
      </c>
      <c r="C899" t="s">
        <v>37</v>
      </c>
      <c r="D899" s="11">
        <v>50000</v>
      </c>
      <c r="E899">
        <v>0</v>
      </c>
      <c r="F899" t="s">
        <v>30</v>
      </c>
      <c r="G899" t="s">
        <v>14</v>
      </c>
      <c r="H899" t="s">
        <v>15</v>
      </c>
      <c r="I899">
        <v>0</v>
      </c>
      <c r="J899" t="s">
        <v>26</v>
      </c>
      <c r="K899" t="s">
        <v>31</v>
      </c>
      <c r="L899">
        <v>33</v>
      </c>
      <c r="M899" t="str">
        <f t="shared" si="14"/>
        <v>MIddleAge</v>
      </c>
      <c r="N899" t="s">
        <v>15</v>
      </c>
    </row>
    <row r="900" spans="1:14" x14ac:dyDescent="0.25">
      <c r="A900">
        <v>14164</v>
      </c>
      <c r="B900" t="s">
        <v>36</v>
      </c>
      <c r="C900" t="s">
        <v>37</v>
      </c>
      <c r="D900" s="11">
        <v>50000</v>
      </c>
      <c r="E900">
        <v>0</v>
      </c>
      <c r="F900" t="s">
        <v>30</v>
      </c>
      <c r="G900" t="s">
        <v>14</v>
      </c>
      <c r="H900" t="s">
        <v>15</v>
      </c>
      <c r="I900">
        <v>0</v>
      </c>
      <c r="J900" t="s">
        <v>16</v>
      </c>
      <c r="K900" t="s">
        <v>17</v>
      </c>
      <c r="L900">
        <v>36</v>
      </c>
      <c r="M900" t="str">
        <f t="shared" si="14"/>
        <v>MIddleAge</v>
      </c>
      <c r="N900" t="s">
        <v>15</v>
      </c>
    </row>
    <row r="901" spans="1:14" x14ac:dyDescent="0.25">
      <c r="A901">
        <v>11622</v>
      </c>
      <c r="B901" t="s">
        <v>35</v>
      </c>
      <c r="C901" t="s">
        <v>38</v>
      </c>
      <c r="D901" s="11">
        <v>50000</v>
      </c>
      <c r="E901">
        <v>0</v>
      </c>
      <c r="F901" t="s">
        <v>30</v>
      </c>
      <c r="G901" t="s">
        <v>14</v>
      </c>
      <c r="H901" t="s">
        <v>15</v>
      </c>
      <c r="I901">
        <v>0</v>
      </c>
      <c r="J901" t="s">
        <v>16</v>
      </c>
      <c r="K901" t="s">
        <v>31</v>
      </c>
      <c r="L901">
        <v>32</v>
      </c>
      <c r="M901" t="str">
        <f t="shared" si="14"/>
        <v>MIddleAge</v>
      </c>
      <c r="N901" t="s">
        <v>18</v>
      </c>
    </row>
    <row r="902" spans="1:14" x14ac:dyDescent="0.25">
      <c r="A902">
        <v>11619</v>
      </c>
      <c r="B902" t="s">
        <v>36</v>
      </c>
      <c r="C902" t="s">
        <v>37</v>
      </c>
      <c r="D902" s="11">
        <v>50000</v>
      </c>
      <c r="E902">
        <v>0</v>
      </c>
      <c r="F902" t="s">
        <v>30</v>
      </c>
      <c r="G902" t="s">
        <v>14</v>
      </c>
      <c r="H902" t="s">
        <v>15</v>
      </c>
      <c r="I902">
        <v>0</v>
      </c>
      <c r="J902" t="s">
        <v>26</v>
      </c>
      <c r="K902" t="s">
        <v>31</v>
      </c>
      <c r="L902">
        <v>33</v>
      </c>
      <c r="M902" t="str">
        <f t="shared" si="14"/>
        <v>MIddleAge</v>
      </c>
      <c r="N902" t="s">
        <v>18</v>
      </c>
    </row>
    <row r="903" spans="1:14" x14ac:dyDescent="0.25">
      <c r="A903">
        <v>29112</v>
      </c>
      <c r="B903" t="s">
        <v>36</v>
      </c>
      <c r="C903" t="s">
        <v>38</v>
      </c>
      <c r="D903" s="11">
        <v>60000</v>
      </c>
      <c r="E903">
        <v>0</v>
      </c>
      <c r="F903" t="s">
        <v>19</v>
      </c>
      <c r="G903" t="s">
        <v>21</v>
      </c>
      <c r="H903" t="s">
        <v>18</v>
      </c>
      <c r="I903">
        <v>2</v>
      </c>
      <c r="J903" t="s">
        <v>26</v>
      </c>
      <c r="K903" t="s">
        <v>31</v>
      </c>
      <c r="L903">
        <v>30</v>
      </c>
      <c r="M903" t="str">
        <f t="shared" si="14"/>
        <v>Adolescent</v>
      </c>
      <c r="N903" t="s">
        <v>18</v>
      </c>
    </row>
    <row r="904" spans="1:14" x14ac:dyDescent="0.25">
      <c r="A904">
        <v>29037</v>
      </c>
      <c r="B904" t="s">
        <v>35</v>
      </c>
      <c r="C904" t="s">
        <v>38</v>
      </c>
      <c r="D904" s="11">
        <v>60000</v>
      </c>
      <c r="E904">
        <v>0</v>
      </c>
      <c r="F904" t="s">
        <v>30</v>
      </c>
      <c r="G904" t="s">
        <v>21</v>
      </c>
      <c r="H904" t="s">
        <v>18</v>
      </c>
      <c r="I904">
        <v>0</v>
      </c>
      <c r="J904" t="s">
        <v>16</v>
      </c>
      <c r="K904" t="s">
        <v>31</v>
      </c>
      <c r="L904">
        <v>39</v>
      </c>
      <c r="M904" t="str">
        <f t="shared" si="14"/>
        <v>MIddleAge</v>
      </c>
      <c r="N904" t="s">
        <v>18</v>
      </c>
    </row>
    <row r="905" spans="1:14" x14ac:dyDescent="0.25">
      <c r="A905">
        <v>26625</v>
      </c>
      <c r="B905" t="s">
        <v>36</v>
      </c>
      <c r="C905" t="s">
        <v>37</v>
      </c>
      <c r="D905" s="11">
        <v>60000</v>
      </c>
      <c r="E905">
        <v>0</v>
      </c>
      <c r="F905" t="s">
        <v>30</v>
      </c>
      <c r="G905" t="s">
        <v>21</v>
      </c>
      <c r="H905" t="s">
        <v>15</v>
      </c>
      <c r="I905">
        <v>1</v>
      </c>
      <c r="J905" t="s">
        <v>22</v>
      </c>
      <c r="K905" t="s">
        <v>31</v>
      </c>
      <c r="L905">
        <v>38</v>
      </c>
      <c r="M905" t="str">
        <f t="shared" si="14"/>
        <v>MIddleAge</v>
      </c>
      <c r="N905" t="s">
        <v>15</v>
      </c>
    </row>
    <row r="906" spans="1:14" x14ac:dyDescent="0.25">
      <c r="A906">
        <v>26582</v>
      </c>
      <c r="B906" t="s">
        <v>35</v>
      </c>
      <c r="C906" t="s">
        <v>38</v>
      </c>
      <c r="D906" s="11">
        <v>60000</v>
      </c>
      <c r="E906">
        <v>0</v>
      </c>
      <c r="F906" t="s">
        <v>19</v>
      </c>
      <c r="G906" t="s">
        <v>14</v>
      </c>
      <c r="H906" t="s">
        <v>15</v>
      </c>
      <c r="I906">
        <v>2</v>
      </c>
      <c r="J906" t="s">
        <v>23</v>
      </c>
      <c r="K906" t="s">
        <v>31</v>
      </c>
      <c r="L906">
        <v>33</v>
      </c>
      <c r="M906" t="str">
        <f t="shared" si="14"/>
        <v>MIddleAge</v>
      </c>
      <c r="N906" t="s">
        <v>15</v>
      </c>
    </row>
    <row r="907" spans="1:14" x14ac:dyDescent="0.25">
      <c r="A907">
        <v>26576</v>
      </c>
      <c r="B907" t="s">
        <v>35</v>
      </c>
      <c r="C907" t="s">
        <v>37</v>
      </c>
      <c r="D907" s="11">
        <v>60000</v>
      </c>
      <c r="E907">
        <v>0</v>
      </c>
      <c r="F907" t="s">
        <v>19</v>
      </c>
      <c r="G907" t="s">
        <v>14</v>
      </c>
      <c r="H907" t="s">
        <v>15</v>
      </c>
      <c r="I907">
        <v>2</v>
      </c>
      <c r="J907" t="s">
        <v>23</v>
      </c>
      <c r="K907" t="s">
        <v>31</v>
      </c>
      <c r="L907">
        <v>31</v>
      </c>
      <c r="M907" t="str">
        <f t="shared" si="14"/>
        <v>MIddleAge</v>
      </c>
      <c r="N907" t="s">
        <v>18</v>
      </c>
    </row>
    <row r="908" spans="1:14" x14ac:dyDescent="0.25">
      <c r="A908">
        <v>25954</v>
      </c>
      <c r="B908" t="s">
        <v>35</v>
      </c>
      <c r="C908" t="s">
        <v>38</v>
      </c>
      <c r="D908" s="11">
        <v>60000</v>
      </c>
      <c r="E908">
        <v>0</v>
      </c>
      <c r="F908" t="s">
        <v>19</v>
      </c>
      <c r="G908" t="s">
        <v>14</v>
      </c>
      <c r="H908" t="s">
        <v>18</v>
      </c>
      <c r="I908">
        <v>2</v>
      </c>
      <c r="J908" t="s">
        <v>26</v>
      </c>
      <c r="K908" t="s">
        <v>31</v>
      </c>
      <c r="L908">
        <v>31</v>
      </c>
      <c r="M908" t="str">
        <f t="shared" si="14"/>
        <v>MIddleAge</v>
      </c>
      <c r="N908" t="s">
        <v>18</v>
      </c>
    </row>
    <row r="909" spans="1:14" x14ac:dyDescent="0.25">
      <c r="A909">
        <v>25909</v>
      </c>
      <c r="B909" t="s">
        <v>35</v>
      </c>
      <c r="C909" t="s">
        <v>38</v>
      </c>
      <c r="D909" s="11">
        <v>60000</v>
      </c>
      <c r="E909">
        <v>0</v>
      </c>
      <c r="F909" t="s">
        <v>19</v>
      </c>
      <c r="G909" t="s">
        <v>14</v>
      </c>
      <c r="H909" t="s">
        <v>15</v>
      </c>
      <c r="I909">
        <v>1</v>
      </c>
      <c r="J909" t="s">
        <v>23</v>
      </c>
      <c r="K909" t="s">
        <v>31</v>
      </c>
      <c r="L909">
        <v>27</v>
      </c>
      <c r="M909" t="str">
        <f t="shared" si="14"/>
        <v>Adolescent</v>
      </c>
      <c r="N909" t="s">
        <v>15</v>
      </c>
    </row>
    <row r="910" spans="1:14" x14ac:dyDescent="0.25">
      <c r="A910">
        <v>25908</v>
      </c>
      <c r="B910" t="s">
        <v>35</v>
      </c>
      <c r="C910" t="s">
        <v>37</v>
      </c>
      <c r="D910" s="11">
        <v>60000</v>
      </c>
      <c r="E910">
        <v>0</v>
      </c>
      <c r="F910" t="s">
        <v>19</v>
      </c>
      <c r="G910" t="s">
        <v>14</v>
      </c>
      <c r="H910" t="s">
        <v>18</v>
      </c>
      <c r="I910">
        <v>1</v>
      </c>
      <c r="J910" t="s">
        <v>26</v>
      </c>
      <c r="K910" t="s">
        <v>31</v>
      </c>
      <c r="L910">
        <v>27</v>
      </c>
      <c r="M910" t="str">
        <f t="shared" si="14"/>
        <v>Adolescent</v>
      </c>
      <c r="N910" t="s">
        <v>18</v>
      </c>
    </row>
    <row r="911" spans="1:14" x14ac:dyDescent="0.25">
      <c r="A911">
        <v>24584</v>
      </c>
      <c r="B911" t="s">
        <v>36</v>
      </c>
      <c r="C911" t="s">
        <v>38</v>
      </c>
      <c r="D911" s="11">
        <v>60000</v>
      </c>
      <c r="E911">
        <v>0</v>
      </c>
      <c r="F911" t="s">
        <v>13</v>
      </c>
      <c r="G911" t="s">
        <v>21</v>
      </c>
      <c r="H911" t="s">
        <v>18</v>
      </c>
      <c r="I911">
        <v>3</v>
      </c>
      <c r="J911" t="s">
        <v>22</v>
      </c>
      <c r="K911" t="s">
        <v>24</v>
      </c>
      <c r="L911">
        <v>31</v>
      </c>
      <c r="M911" t="str">
        <f t="shared" si="14"/>
        <v>MIddleAge</v>
      </c>
      <c r="N911" t="s">
        <v>18</v>
      </c>
    </row>
    <row r="912" spans="1:14" x14ac:dyDescent="0.25">
      <c r="A912">
        <v>23358</v>
      </c>
      <c r="B912" t="s">
        <v>35</v>
      </c>
      <c r="C912" t="s">
        <v>38</v>
      </c>
      <c r="D912" s="11">
        <v>60000</v>
      </c>
      <c r="E912">
        <v>0</v>
      </c>
      <c r="F912" t="s">
        <v>27</v>
      </c>
      <c r="G912" t="s">
        <v>21</v>
      </c>
      <c r="H912" t="s">
        <v>15</v>
      </c>
      <c r="I912">
        <v>2</v>
      </c>
      <c r="J912" t="s">
        <v>23</v>
      </c>
      <c r="K912" t="s">
        <v>31</v>
      </c>
      <c r="L912">
        <v>32</v>
      </c>
      <c r="M912" t="str">
        <f t="shared" si="14"/>
        <v>MIddleAge</v>
      </c>
      <c r="N912" t="s">
        <v>15</v>
      </c>
    </row>
    <row r="913" spans="1:14" x14ac:dyDescent="0.25">
      <c r="A913">
        <v>22211</v>
      </c>
      <c r="B913" t="s">
        <v>35</v>
      </c>
      <c r="C913" t="s">
        <v>38</v>
      </c>
      <c r="D913" s="11">
        <v>60000</v>
      </c>
      <c r="E913">
        <v>0</v>
      </c>
      <c r="F913" t="s">
        <v>19</v>
      </c>
      <c r="G913" t="s">
        <v>21</v>
      </c>
      <c r="H913" t="s">
        <v>15</v>
      </c>
      <c r="I913">
        <v>2</v>
      </c>
      <c r="J913" t="s">
        <v>23</v>
      </c>
      <c r="K913" t="s">
        <v>31</v>
      </c>
      <c r="L913">
        <v>32</v>
      </c>
      <c r="M913" t="str">
        <f t="shared" si="14"/>
        <v>MIddleAge</v>
      </c>
      <c r="N913" t="s">
        <v>18</v>
      </c>
    </row>
    <row r="914" spans="1:14" x14ac:dyDescent="0.25">
      <c r="A914">
        <v>21695</v>
      </c>
      <c r="B914" t="s">
        <v>35</v>
      </c>
      <c r="C914" t="s">
        <v>38</v>
      </c>
      <c r="D914" s="11">
        <v>60000</v>
      </c>
      <c r="E914">
        <v>0</v>
      </c>
      <c r="F914" t="s">
        <v>30</v>
      </c>
      <c r="G914" t="s">
        <v>14</v>
      </c>
      <c r="H914" t="s">
        <v>15</v>
      </c>
      <c r="I914">
        <v>0</v>
      </c>
      <c r="J914" t="s">
        <v>26</v>
      </c>
      <c r="K914" t="s">
        <v>31</v>
      </c>
      <c r="L914">
        <v>39</v>
      </c>
      <c r="M914" t="str">
        <f t="shared" si="14"/>
        <v>MIddleAge</v>
      </c>
      <c r="N914" t="s">
        <v>15</v>
      </c>
    </row>
    <row r="915" spans="1:14" x14ac:dyDescent="0.25">
      <c r="A915">
        <v>21693</v>
      </c>
      <c r="B915" t="s">
        <v>36</v>
      </c>
      <c r="C915" t="s">
        <v>37</v>
      </c>
      <c r="D915" s="11">
        <v>60000</v>
      </c>
      <c r="E915">
        <v>0</v>
      </c>
      <c r="F915" t="s">
        <v>30</v>
      </c>
      <c r="G915" t="s">
        <v>14</v>
      </c>
      <c r="H915" t="s">
        <v>18</v>
      </c>
      <c r="I915">
        <v>0</v>
      </c>
      <c r="J915" t="s">
        <v>16</v>
      </c>
      <c r="K915" t="s">
        <v>31</v>
      </c>
      <c r="L915">
        <v>40</v>
      </c>
      <c r="M915" t="str">
        <f t="shared" si="14"/>
        <v>MIddleAge</v>
      </c>
      <c r="N915" t="s">
        <v>18</v>
      </c>
    </row>
    <row r="916" spans="1:14" x14ac:dyDescent="0.25">
      <c r="A916">
        <v>21417</v>
      </c>
      <c r="B916" t="s">
        <v>36</v>
      </c>
      <c r="C916" t="s">
        <v>37</v>
      </c>
      <c r="D916" s="11">
        <v>60000</v>
      </c>
      <c r="E916">
        <v>0</v>
      </c>
      <c r="F916" t="s">
        <v>19</v>
      </c>
      <c r="G916" t="s">
        <v>21</v>
      </c>
      <c r="H916" t="s">
        <v>18</v>
      </c>
      <c r="I916">
        <v>2</v>
      </c>
      <c r="J916" t="s">
        <v>26</v>
      </c>
      <c r="K916" t="s">
        <v>31</v>
      </c>
      <c r="L916">
        <v>32</v>
      </c>
      <c r="M916" t="str">
        <f t="shared" si="14"/>
        <v>MIddleAge</v>
      </c>
      <c r="N916" t="s">
        <v>15</v>
      </c>
    </row>
    <row r="917" spans="1:14" x14ac:dyDescent="0.25">
      <c r="A917">
        <v>20414</v>
      </c>
      <c r="B917" t="s">
        <v>35</v>
      </c>
      <c r="C917" t="s">
        <v>37</v>
      </c>
      <c r="D917" s="11">
        <v>60000</v>
      </c>
      <c r="E917">
        <v>0</v>
      </c>
      <c r="F917" t="s">
        <v>19</v>
      </c>
      <c r="G917" t="s">
        <v>14</v>
      </c>
      <c r="H917" t="s">
        <v>15</v>
      </c>
      <c r="I917">
        <v>2</v>
      </c>
      <c r="J917" t="s">
        <v>23</v>
      </c>
      <c r="K917" t="s">
        <v>31</v>
      </c>
      <c r="L917">
        <v>29</v>
      </c>
      <c r="M917" t="str">
        <f t="shared" si="14"/>
        <v>Adolescent</v>
      </c>
      <c r="N917" t="s">
        <v>18</v>
      </c>
    </row>
    <row r="918" spans="1:14" x14ac:dyDescent="0.25">
      <c r="A918">
        <v>20310</v>
      </c>
      <c r="B918" t="s">
        <v>36</v>
      </c>
      <c r="C918" t="s">
        <v>38</v>
      </c>
      <c r="D918" s="11">
        <v>60000</v>
      </c>
      <c r="E918">
        <v>0</v>
      </c>
      <c r="F918" t="s">
        <v>19</v>
      </c>
      <c r="G918" t="s">
        <v>14</v>
      </c>
      <c r="H918" t="s">
        <v>15</v>
      </c>
      <c r="I918">
        <v>1</v>
      </c>
      <c r="J918" t="s">
        <v>23</v>
      </c>
      <c r="K918" t="s">
        <v>31</v>
      </c>
      <c r="L918">
        <v>27</v>
      </c>
      <c r="M918" t="str">
        <f t="shared" si="14"/>
        <v>Adolescent</v>
      </c>
      <c r="N918" t="s">
        <v>15</v>
      </c>
    </row>
    <row r="919" spans="1:14" x14ac:dyDescent="0.25">
      <c r="A919">
        <v>20296</v>
      </c>
      <c r="B919" t="s">
        <v>36</v>
      </c>
      <c r="C919" t="s">
        <v>37</v>
      </c>
      <c r="D919" s="11">
        <v>60000</v>
      </c>
      <c r="E919">
        <v>0</v>
      </c>
      <c r="F919" t="s">
        <v>19</v>
      </c>
      <c r="G919" t="s">
        <v>14</v>
      </c>
      <c r="H919" t="s">
        <v>18</v>
      </c>
      <c r="I919">
        <v>1</v>
      </c>
      <c r="J919" t="s">
        <v>26</v>
      </c>
      <c r="K919" t="s">
        <v>31</v>
      </c>
      <c r="L919">
        <v>33</v>
      </c>
      <c r="M919" t="str">
        <f t="shared" si="14"/>
        <v>MIddleAge</v>
      </c>
      <c r="N919" t="s">
        <v>15</v>
      </c>
    </row>
    <row r="920" spans="1:14" x14ac:dyDescent="0.25">
      <c r="A920">
        <v>19758</v>
      </c>
      <c r="B920" t="s">
        <v>36</v>
      </c>
      <c r="C920" t="s">
        <v>38</v>
      </c>
      <c r="D920" s="11">
        <v>60000</v>
      </c>
      <c r="E920">
        <v>0</v>
      </c>
      <c r="F920" t="s">
        <v>19</v>
      </c>
      <c r="G920" t="s">
        <v>14</v>
      </c>
      <c r="H920" t="s">
        <v>18</v>
      </c>
      <c r="I920">
        <v>2</v>
      </c>
      <c r="J920" t="s">
        <v>26</v>
      </c>
      <c r="K920" t="s">
        <v>31</v>
      </c>
      <c r="L920">
        <v>29</v>
      </c>
      <c r="M920" t="str">
        <f t="shared" si="14"/>
        <v>Adolescent</v>
      </c>
      <c r="N920" t="s">
        <v>18</v>
      </c>
    </row>
    <row r="921" spans="1:14" x14ac:dyDescent="0.25">
      <c r="A921">
        <v>18577</v>
      </c>
      <c r="B921" t="s">
        <v>35</v>
      </c>
      <c r="C921" t="s">
        <v>37</v>
      </c>
      <c r="D921" s="11">
        <v>60000</v>
      </c>
      <c r="E921">
        <v>0</v>
      </c>
      <c r="F921" t="s">
        <v>30</v>
      </c>
      <c r="G921" t="s">
        <v>21</v>
      </c>
      <c r="H921" t="s">
        <v>15</v>
      </c>
      <c r="I921">
        <v>0</v>
      </c>
      <c r="J921" t="s">
        <v>16</v>
      </c>
      <c r="K921" t="s">
        <v>31</v>
      </c>
      <c r="L921">
        <v>40</v>
      </c>
      <c r="M921" t="str">
        <f t="shared" si="14"/>
        <v>MIddleAge</v>
      </c>
      <c r="N921" t="s">
        <v>18</v>
      </c>
    </row>
    <row r="922" spans="1:14" x14ac:dyDescent="0.25">
      <c r="A922">
        <v>18572</v>
      </c>
      <c r="B922" t="s">
        <v>35</v>
      </c>
      <c r="C922" t="s">
        <v>37</v>
      </c>
      <c r="D922" s="11">
        <v>60000</v>
      </c>
      <c r="E922">
        <v>0</v>
      </c>
      <c r="F922" t="s">
        <v>30</v>
      </c>
      <c r="G922" t="s">
        <v>21</v>
      </c>
      <c r="H922" t="s">
        <v>15</v>
      </c>
      <c r="I922">
        <v>0</v>
      </c>
      <c r="J922" t="s">
        <v>16</v>
      </c>
      <c r="K922" t="s">
        <v>31</v>
      </c>
      <c r="L922">
        <v>39</v>
      </c>
      <c r="M922" t="str">
        <f t="shared" si="14"/>
        <v>MIddleAge</v>
      </c>
      <c r="N922" t="s">
        <v>18</v>
      </c>
    </row>
    <row r="923" spans="1:14" x14ac:dyDescent="0.25">
      <c r="A923">
        <v>17519</v>
      </c>
      <c r="B923" t="s">
        <v>35</v>
      </c>
      <c r="C923" t="s">
        <v>37</v>
      </c>
      <c r="D923" s="11">
        <v>60000</v>
      </c>
      <c r="E923">
        <v>0</v>
      </c>
      <c r="F923" t="s">
        <v>19</v>
      </c>
      <c r="G923" t="s">
        <v>21</v>
      </c>
      <c r="H923" t="s">
        <v>15</v>
      </c>
      <c r="I923">
        <v>2</v>
      </c>
      <c r="J923" t="s">
        <v>23</v>
      </c>
      <c r="K923" t="s">
        <v>31</v>
      </c>
      <c r="L923">
        <v>32</v>
      </c>
      <c r="M923" t="str">
        <f t="shared" si="14"/>
        <v>MIddleAge</v>
      </c>
      <c r="N923" t="s">
        <v>18</v>
      </c>
    </row>
    <row r="924" spans="1:14" x14ac:dyDescent="0.25">
      <c r="A924">
        <v>16751</v>
      </c>
      <c r="B924" t="s">
        <v>35</v>
      </c>
      <c r="C924" t="s">
        <v>38</v>
      </c>
      <c r="D924" s="11">
        <v>60000</v>
      </c>
      <c r="E924">
        <v>0</v>
      </c>
      <c r="F924" t="s">
        <v>19</v>
      </c>
      <c r="G924" t="s">
        <v>14</v>
      </c>
      <c r="H924" t="s">
        <v>15</v>
      </c>
      <c r="I924">
        <v>1</v>
      </c>
      <c r="J924" t="s">
        <v>23</v>
      </c>
      <c r="K924" t="s">
        <v>31</v>
      </c>
      <c r="L924">
        <v>32</v>
      </c>
      <c r="M924" t="str">
        <f t="shared" si="14"/>
        <v>MIddleAge</v>
      </c>
      <c r="N924" t="s">
        <v>15</v>
      </c>
    </row>
    <row r="925" spans="1:14" x14ac:dyDescent="0.25">
      <c r="A925">
        <v>16337</v>
      </c>
      <c r="B925" t="s">
        <v>35</v>
      </c>
      <c r="C925" t="s">
        <v>38</v>
      </c>
      <c r="D925" s="11">
        <v>60000</v>
      </c>
      <c r="E925">
        <v>0</v>
      </c>
      <c r="F925" t="s">
        <v>19</v>
      </c>
      <c r="G925" t="s">
        <v>14</v>
      </c>
      <c r="H925" t="s">
        <v>18</v>
      </c>
      <c r="I925">
        <v>2</v>
      </c>
      <c r="J925" t="s">
        <v>26</v>
      </c>
      <c r="K925" t="s">
        <v>31</v>
      </c>
      <c r="L925">
        <v>29</v>
      </c>
      <c r="M925" t="str">
        <f t="shared" si="14"/>
        <v>Adolescent</v>
      </c>
      <c r="N925" t="s">
        <v>18</v>
      </c>
    </row>
    <row r="926" spans="1:14" x14ac:dyDescent="0.25">
      <c r="A926">
        <v>16217</v>
      </c>
      <c r="B926" t="s">
        <v>36</v>
      </c>
      <c r="C926" t="s">
        <v>37</v>
      </c>
      <c r="D926" s="11">
        <v>60000</v>
      </c>
      <c r="E926">
        <v>0</v>
      </c>
      <c r="F926" t="s">
        <v>30</v>
      </c>
      <c r="G926" t="s">
        <v>14</v>
      </c>
      <c r="H926" t="s">
        <v>15</v>
      </c>
      <c r="I926">
        <v>0</v>
      </c>
      <c r="J926" t="s">
        <v>16</v>
      </c>
      <c r="K926" t="s">
        <v>31</v>
      </c>
      <c r="L926">
        <v>39</v>
      </c>
      <c r="M926" t="str">
        <f t="shared" si="14"/>
        <v>MIddleAge</v>
      </c>
      <c r="N926" t="s">
        <v>18</v>
      </c>
    </row>
    <row r="927" spans="1:14" x14ac:dyDescent="0.25">
      <c r="A927">
        <v>14592</v>
      </c>
      <c r="B927" t="s">
        <v>35</v>
      </c>
      <c r="C927" t="s">
        <v>37</v>
      </c>
      <c r="D927" s="11">
        <v>60000</v>
      </c>
      <c r="E927">
        <v>0</v>
      </c>
      <c r="F927" t="s">
        <v>30</v>
      </c>
      <c r="G927" t="s">
        <v>21</v>
      </c>
      <c r="H927" t="s">
        <v>15</v>
      </c>
      <c r="I927">
        <v>0</v>
      </c>
      <c r="J927" t="s">
        <v>16</v>
      </c>
      <c r="K927" t="s">
        <v>31</v>
      </c>
      <c r="L927">
        <v>40</v>
      </c>
      <c r="M927" t="str">
        <f t="shared" si="14"/>
        <v>MIddleAge</v>
      </c>
      <c r="N927" t="s">
        <v>18</v>
      </c>
    </row>
    <row r="928" spans="1:14" x14ac:dyDescent="0.25">
      <c r="A928">
        <v>14284</v>
      </c>
      <c r="B928" t="s">
        <v>36</v>
      </c>
      <c r="C928" t="s">
        <v>38</v>
      </c>
      <c r="D928" s="11">
        <v>60000</v>
      </c>
      <c r="E928">
        <v>0</v>
      </c>
      <c r="F928" t="s">
        <v>19</v>
      </c>
      <c r="G928" t="s">
        <v>21</v>
      </c>
      <c r="H928" t="s">
        <v>18</v>
      </c>
      <c r="I928">
        <v>2</v>
      </c>
      <c r="J928" t="s">
        <v>26</v>
      </c>
      <c r="K928" t="s">
        <v>31</v>
      </c>
      <c r="L928">
        <v>32</v>
      </c>
      <c r="M928" t="str">
        <f t="shared" si="14"/>
        <v>MIddleAge</v>
      </c>
      <c r="N928" t="s">
        <v>15</v>
      </c>
    </row>
    <row r="929" spans="1:14" x14ac:dyDescent="0.25">
      <c r="A929">
        <v>13073</v>
      </c>
      <c r="B929" t="s">
        <v>35</v>
      </c>
      <c r="C929" t="s">
        <v>37</v>
      </c>
      <c r="D929" s="11">
        <v>60000</v>
      </c>
      <c r="E929">
        <v>0</v>
      </c>
      <c r="F929" t="s">
        <v>19</v>
      </c>
      <c r="G929" t="s">
        <v>21</v>
      </c>
      <c r="H929" t="s">
        <v>15</v>
      </c>
      <c r="I929">
        <v>2</v>
      </c>
      <c r="J929" t="s">
        <v>23</v>
      </c>
      <c r="K929" t="s">
        <v>31</v>
      </c>
      <c r="L929">
        <v>30</v>
      </c>
      <c r="M929" t="str">
        <f t="shared" si="14"/>
        <v>Adolescent</v>
      </c>
      <c r="N929" t="s">
        <v>18</v>
      </c>
    </row>
    <row r="930" spans="1:14" x14ac:dyDescent="0.25">
      <c r="A930">
        <v>12666</v>
      </c>
      <c r="B930" t="s">
        <v>36</v>
      </c>
      <c r="C930" t="s">
        <v>38</v>
      </c>
      <c r="D930" s="11">
        <v>60000</v>
      </c>
      <c r="E930">
        <v>0</v>
      </c>
      <c r="F930" t="s">
        <v>13</v>
      </c>
      <c r="G930" t="s">
        <v>21</v>
      </c>
      <c r="H930" t="s">
        <v>18</v>
      </c>
      <c r="I930">
        <v>4</v>
      </c>
      <c r="J930" t="s">
        <v>22</v>
      </c>
      <c r="K930" t="s">
        <v>24</v>
      </c>
      <c r="L930">
        <v>31</v>
      </c>
      <c r="M930" t="str">
        <f t="shared" si="14"/>
        <v>MIddleAge</v>
      </c>
      <c r="N930" t="s">
        <v>18</v>
      </c>
    </row>
    <row r="931" spans="1:14" x14ac:dyDescent="0.25">
      <c r="A931">
        <v>11941</v>
      </c>
      <c r="B931" t="s">
        <v>36</v>
      </c>
      <c r="C931" t="s">
        <v>38</v>
      </c>
      <c r="D931" s="11">
        <v>60000</v>
      </c>
      <c r="E931">
        <v>0</v>
      </c>
      <c r="F931" t="s">
        <v>19</v>
      </c>
      <c r="G931" t="s">
        <v>14</v>
      </c>
      <c r="H931" t="s">
        <v>15</v>
      </c>
      <c r="I931">
        <v>0</v>
      </c>
      <c r="J931" t="s">
        <v>23</v>
      </c>
      <c r="K931" t="s">
        <v>31</v>
      </c>
      <c r="L931">
        <v>29</v>
      </c>
      <c r="M931" t="str">
        <f t="shared" si="14"/>
        <v>Adolescent</v>
      </c>
      <c r="N931" t="s">
        <v>18</v>
      </c>
    </row>
    <row r="932" spans="1:14" x14ac:dyDescent="0.25">
      <c r="A932">
        <v>11699</v>
      </c>
      <c r="B932" t="s">
        <v>36</v>
      </c>
      <c r="C932" t="s">
        <v>38</v>
      </c>
      <c r="D932" s="11">
        <v>60000</v>
      </c>
      <c r="E932">
        <v>0</v>
      </c>
      <c r="F932" t="s">
        <v>13</v>
      </c>
      <c r="G932" t="s">
        <v>14</v>
      </c>
      <c r="H932" t="s">
        <v>18</v>
      </c>
      <c r="I932">
        <v>2</v>
      </c>
      <c r="J932" t="s">
        <v>16</v>
      </c>
      <c r="K932" t="s">
        <v>31</v>
      </c>
      <c r="L932">
        <v>30</v>
      </c>
      <c r="M932" t="str">
        <f t="shared" si="14"/>
        <v>Adolescent</v>
      </c>
      <c r="N932" t="s">
        <v>18</v>
      </c>
    </row>
    <row r="933" spans="1:14" x14ac:dyDescent="0.25">
      <c r="A933">
        <v>11165</v>
      </c>
      <c r="B933" t="s">
        <v>35</v>
      </c>
      <c r="C933" t="s">
        <v>37</v>
      </c>
      <c r="D933" s="11">
        <v>60000</v>
      </c>
      <c r="E933">
        <v>0</v>
      </c>
      <c r="F933" t="s">
        <v>19</v>
      </c>
      <c r="G933" t="s">
        <v>14</v>
      </c>
      <c r="H933" t="s">
        <v>18</v>
      </c>
      <c r="I933">
        <v>1</v>
      </c>
      <c r="J933" t="s">
        <v>26</v>
      </c>
      <c r="K933" t="s">
        <v>31</v>
      </c>
      <c r="L933">
        <v>33</v>
      </c>
      <c r="M933" t="str">
        <f t="shared" si="14"/>
        <v>MIddleAge</v>
      </c>
      <c r="N933" t="s">
        <v>18</v>
      </c>
    </row>
    <row r="934" spans="1:14" x14ac:dyDescent="0.25">
      <c r="A934">
        <v>28323</v>
      </c>
      <c r="B934" t="s">
        <v>36</v>
      </c>
      <c r="C934" t="s">
        <v>38</v>
      </c>
      <c r="D934" s="11">
        <v>70000</v>
      </c>
      <c r="E934">
        <v>0</v>
      </c>
      <c r="F934" t="s">
        <v>13</v>
      </c>
      <c r="G934" t="s">
        <v>21</v>
      </c>
      <c r="H934" t="s">
        <v>18</v>
      </c>
      <c r="I934">
        <v>2</v>
      </c>
      <c r="J934" t="s">
        <v>23</v>
      </c>
      <c r="K934" t="s">
        <v>24</v>
      </c>
      <c r="L934">
        <v>43</v>
      </c>
      <c r="M934" t="str">
        <f t="shared" si="14"/>
        <v>MIddleAge</v>
      </c>
      <c r="N934" t="s">
        <v>15</v>
      </c>
    </row>
    <row r="935" spans="1:14" x14ac:dyDescent="0.25">
      <c r="A935">
        <v>27540</v>
      </c>
      <c r="B935" t="s">
        <v>36</v>
      </c>
      <c r="C935" t="s">
        <v>37</v>
      </c>
      <c r="D935" s="11">
        <v>70000</v>
      </c>
      <c r="E935">
        <v>0</v>
      </c>
      <c r="F935" t="s">
        <v>13</v>
      </c>
      <c r="G935" t="s">
        <v>21</v>
      </c>
      <c r="H935" t="s">
        <v>18</v>
      </c>
      <c r="I935">
        <v>1</v>
      </c>
      <c r="J935" t="s">
        <v>16</v>
      </c>
      <c r="K935" t="s">
        <v>31</v>
      </c>
      <c r="L935">
        <v>37</v>
      </c>
      <c r="M935" t="str">
        <f t="shared" si="14"/>
        <v>MIddleAge</v>
      </c>
      <c r="N935" t="s">
        <v>15</v>
      </c>
    </row>
    <row r="936" spans="1:14" x14ac:dyDescent="0.25">
      <c r="A936">
        <v>26150</v>
      </c>
      <c r="B936" t="s">
        <v>36</v>
      </c>
      <c r="C936" t="s">
        <v>37</v>
      </c>
      <c r="D936" s="11">
        <v>70000</v>
      </c>
      <c r="E936">
        <v>0</v>
      </c>
      <c r="F936" t="s">
        <v>13</v>
      </c>
      <c r="G936" t="s">
        <v>21</v>
      </c>
      <c r="H936" t="s">
        <v>18</v>
      </c>
      <c r="I936">
        <v>1</v>
      </c>
      <c r="J936" t="s">
        <v>16</v>
      </c>
      <c r="K936" t="s">
        <v>24</v>
      </c>
      <c r="L936">
        <v>41</v>
      </c>
      <c r="M936" t="str">
        <f t="shared" si="14"/>
        <v>MIddleAge</v>
      </c>
      <c r="N936" t="s">
        <v>15</v>
      </c>
    </row>
    <row r="937" spans="1:14" x14ac:dyDescent="0.25">
      <c r="A937">
        <v>25983</v>
      </c>
      <c r="B937" t="s">
        <v>35</v>
      </c>
      <c r="C937" t="s">
        <v>38</v>
      </c>
      <c r="D937" s="11">
        <v>70000</v>
      </c>
      <c r="E937">
        <v>0</v>
      </c>
      <c r="F937" t="s">
        <v>13</v>
      </c>
      <c r="G937" t="s">
        <v>21</v>
      </c>
      <c r="H937" t="s">
        <v>18</v>
      </c>
      <c r="I937">
        <v>1</v>
      </c>
      <c r="J937" t="s">
        <v>16</v>
      </c>
      <c r="K937" t="s">
        <v>31</v>
      </c>
      <c r="L937">
        <v>43</v>
      </c>
      <c r="M937" t="str">
        <f t="shared" si="14"/>
        <v>MIddleAge</v>
      </c>
      <c r="N937" t="s">
        <v>18</v>
      </c>
    </row>
    <row r="938" spans="1:14" x14ac:dyDescent="0.25">
      <c r="A938">
        <v>25943</v>
      </c>
      <c r="B938" t="s">
        <v>36</v>
      </c>
      <c r="C938" t="s">
        <v>37</v>
      </c>
      <c r="D938" s="11">
        <v>70000</v>
      </c>
      <c r="E938">
        <v>0</v>
      </c>
      <c r="F938" t="s">
        <v>19</v>
      </c>
      <c r="G938" t="s">
        <v>14</v>
      </c>
      <c r="H938" t="s">
        <v>18</v>
      </c>
      <c r="I938">
        <v>2</v>
      </c>
      <c r="J938" t="s">
        <v>16</v>
      </c>
      <c r="K938" t="s">
        <v>31</v>
      </c>
      <c r="L938">
        <v>27</v>
      </c>
      <c r="M938" t="str">
        <f t="shared" si="14"/>
        <v>Adolescent</v>
      </c>
      <c r="N938" t="s">
        <v>15</v>
      </c>
    </row>
    <row r="939" spans="1:14" x14ac:dyDescent="0.25">
      <c r="A939">
        <v>24381</v>
      </c>
      <c r="B939" t="s">
        <v>36</v>
      </c>
      <c r="C939" t="s">
        <v>38</v>
      </c>
      <c r="D939" s="11">
        <v>70000</v>
      </c>
      <c r="E939">
        <v>0</v>
      </c>
      <c r="F939" t="s">
        <v>13</v>
      </c>
      <c r="G939" t="s">
        <v>21</v>
      </c>
      <c r="H939" t="s">
        <v>15</v>
      </c>
      <c r="I939">
        <v>1</v>
      </c>
      <c r="J939" t="s">
        <v>23</v>
      </c>
      <c r="K939" t="s">
        <v>24</v>
      </c>
      <c r="L939">
        <v>41</v>
      </c>
      <c r="M939" t="str">
        <f t="shared" si="14"/>
        <v>MIddleAge</v>
      </c>
      <c r="N939" t="s">
        <v>15</v>
      </c>
    </row>
    <row r="940" spans="1:14" x14ac:dyDescent="0.25">
      <c r="A940">
        <v>23432</v>
      </c>
      <c r="B940" t="s">
        <v>36</v>
      </c>
      <c r="C940" t="s">
        <v>38</v>
      </c>
      <c r="D940" s="11">
        <v>70000</v>
      </c>
      <c r="E940">
        <v>0</v>
      </c>
      <c r="F940" t="s">
        <v>13</v>
      </c>
      <c r="G940" t="s">
        <v>21</v>
      </c>
      <c r="H940" t="s">
        <v>15</v>
      </c>
      <c r="I940">
        <v>1</v>
      </c>
      <c r="J940" t="s">
        <v>23</v>
      </c>
      <c r="K940" t="s">
        <v>24</v>
      </c>
      <c r="L940">
        <v>37</v>
      </c>
      <c r="M940" t="str">
        <f t="shared" si="14"/>
        <v>MIddleAge</v>
      </c>
      <c r="N940" t="s">
        <v>15</v>
      </c>
    </row>
    <row r="941" spans="1:14" x14ac:dyDescent="0.25">
      <c r="A941">
        <v>22296</v>
      </c>
      <c r="B941" t="s">
        <v>35</v>
      </c>
      <c r="C941" t="s">
        <v>38</v>
      </c>
      <c r="D941" s="11">
        <v>70000</v>
      </c>
      <c r="E941">
        <v>0</v>
      </c>
      <c r="F941" t="s">
        <v>13</v>
      </c>
      <c r="G941" t="s">
        <v>21</v>
      </c>
      <c r="H941" t="s">
        <v>18</v>
      </c>
      <c r="I941">
        <v>1</v>
      </c>
      <c r="J941" t="s">
        <v>16</v>
      </c>
      <c r="K941" t="s">
        <v>31</v>
      </c>
      <c r="L941">
        <v>38</v>
      </c>
      <c r="M941" t="str">
        <f t="shared" si="14"/>
        <v>MIddleAge</v>
      </c>
      <c r="N941" t="s">
        <v>18</v>
      </c>
    </row>
    <row r="942" spans="1:14" x14ac:dyDescent="0.25">
      <c r="A942">
        <v>22294</v>
      </c>
      <c r="B942" t="s">
        <v>36</v>
      </c>
      <c r="C942" t="s">
        <v>37</v>
      </c>
      <c r="D942" s="11">
        <v>70000</v>
      </c>
      <c r="E942">
        <v>0</v>
      </c>
      <c r="F942" t="s">
        <v>13</v>
      </c>
      <c r="G942" t="s">
        <v>21</v>
      </c>
      <c r="H942" t="s">
        <v>18</v>
      </c>
      <c r="I942">
        <v>1</v>
      </c>
      <c r="J942" t="s">
        <v>22</v>
      </c>
      <c r="K942" t="s">
        <v>31</v>
      </c>
      <c r="L942">
        <v>37</v>
      </c>
      <c r="M942" t="str">
        <f t="shared" si="14"/>
        <v>MIddleAge</v>
      </c>
      <c r="N942" t="s">
        <v>15</v>
      </c>
    </row>
    <row r="943" spans="1:14" x14ac:dyDescent="0.25">
      <c r="A943">
        <v>22042</v>
      </c>
      <c r="B943" t="s">
        <v>35</v>
      </c>
      <c r="C943" t="s">
        <v>37</v>
      </c>
      <c r="D943" s="11">
        <v>70000</v>
      </c>
      <c r="E943">
        <v>0</v>
      </c>
      <c r="F943" t="s">
        <v>19</v>
      </c>
      <c r="G943" t="s">
        <v>14</v>
      </c>
      <c r="H943" t="s">
        <v>15</v>
      </c>
      <c r="I943">
        <v>2</v>
      </c>
      <c r="J943" t="s">
        <v>23</v>
      </c>
      <c r="K943" t="s">
        <v>31</v>
      </c>
      <c r="L943">
        <v>34</v>
      </c>
      <c r="M943" t="str">
        <f t="shared" si="14"/>
        <v>MIddleAge</v>
      </c>
      <c r="N943" t="s">
        <v>15</v>
      </c>
    </row>
    <row r="944" spans="1:14" x14ac:dyDescent="0.25">
      <c r="A944">
        <v>21974</v>
      </c>
      <c r="B944" t="s">
        <v>36</v>
      </c>
      <c r="C944" t="s">
        <v>37</v>
      </c>
      <c r="D944" s="11">
        <v>70000</v>
      </c>
      <c r="E944">
        <v>0</v>
      </c>
      <c r="F944" t="s">
        <v>13</v>
      </c>
      <c r="G944" t="s">
        <v>21</v>
      </c>
      <c r="H944" t="s">
        <v>15</v>
      </c>
      <c r="I944">
        <v>1</v>
      </c>
      <c r="J944" t="s">
        <v>23</v>
      </c>
      <c r="K944" t="s">
        <v>24</v>
      </c>
      <c r="L944">
        <v>42</v>
      </c>
      <c r="M944" t="str">
        <f t="shared" si="14"/>
        <v>MIddleAge</v>
      </c>
      <c r="N944" t="s">
        <v>15</v>
      </c>
    </row>
    <row r="945" spans="1:14" x14ac:dyDescent="0.25">
      <c r="A945">
        <v>21213</v>
      </c>
      <c r="B945" t="s">
        <v>36</v>
      </c>
      <c r="C945" t="s">
        <v>38</v>
      </c>
      <c r="D945" s="11">
        <v>70000</v>
      </c>
      <c r="E945">
        <v>0</v>
      </c>
      <c r="F945" t="s">
        <v>13</v>
      </c>
      <c r="G945" t="s">
        <v>21</v>
      </c>
      <c r="H945" t="s">
        <v>18</v>
      </c>
      <c r="I945">
        <v>1</v>
      </c>
      <c r="J945" t="s">
        <v>23</v>
      </c>
      <c r="K945" t="s">
        <v>24</v>
      </c>
      <c r="L945">
        <v>41</v>
      </c>
      <c r="M945" t="str">
        <f t="shared" si="14"/>
        <v>MIddleAge</v>
      </c>
      <c r="N945" t="s">
        <v>18</v>
      </c>
    </row>
    <row r="946" spans="1:14" x14ac:dyDescent="0.25">
      <c r="A946">
        <v>21184</v>
      </c>
      <c r="B946" t="s">
        <v>36</v>
      </c>
      <c r="C946" t="s">
        <v>38</v>
      </c>
      <c r="D946" s="11">
        <v>70000</v>
      </c>
      <c r="E946">
        <v>0</v>
      </c>
      <c r="F946" t="s">
        <v>13</v>
      </c>
      <c r="G946" t="s">
        <v>21</v>
      </c>
      <c r="H946" t="s">
        <v>18</v>
      </c>
      <c r="I946">
        <v>1</v>
      </c>
      <c r="J946" t="s">
        <v>23</v>
      </c>
      <c r="K946" t="s">
        <v>24</v>
      </c>
      <c r="L946">
        <v>38</v>
      </c>
      <c r="M946" t="str">
        <f t="shared" si="14"/>
        <v>MIddleAge</v>
      </c>
      <c r="N946" t="s">
        <v>18</v>
      </c>
    </row>
    <row r="947" spans="1:14" x14ac:dyDescent="0.25">
      <c r="A947">
        <v>20606</v>
      </c>
      <c r="B947" t="s">
        <v>35</v>
      </c>
      <c r="C947" t="s">
        <v>37</v>
      </c>
      <c r="D947" s="11">
        <v>70000</v>
      </c>
      <c r="E947">
        <v>0</v>
      </c>
      <c r="F947" t="s">
        <v>13</v>
      </c>
      <c r="G947" t="s">
        <v>21</v>
      </c>
      <c r="H947" t="s">
        <v>15</v>
      </c>
      <c r="I947">
        <v>4</v>
      </c>
      <c r="J947" t="s">
        <v>42</v>
      </c>
      <c r="K947" t="s">
        <v>24</v>
      </c>
      <c r="L947">
        <v>32</v>
      </c>
      <c r="M947" t="str">
        <f t="shared" si="14"/>
        <v>MIddleAge</v>
      </c>
      <c r="N947" t="s">
        <v>15</v>
      </c>
    </row>
    <row r="948" spans="1:14" x14ac:dyDescent="0.25">
      <c r="A948">
        <v>19164</v>
      </c>
      <c r="B948" t="s">
        <v>36</v>
      </c>
      <c r="C948" t="s">
        <v>37</v>
      </c>
      <c r="D948" s="11">
        <v>70000</v>
      </c>
      <c r="E948">
        <v>0</v>
      </c>
      <c r="F948" t="s">
        <v>13</v>
      </c>
      <c r="G948" t="s">
        <v>21</v>
      </c>
      <c r="H948" t="s">
        <v>18</v>
      </c>
      <c r="I948">
        <v>1</v>
      </c>
      <c r="J948" t="s">
        <v>22</v>
      </c>
      <c r="K948" t="s">
        <v>31</v>
      </c>
      <c r="L948">
        <v>38</v>
      </c>
      <c r="M948" t="str">
        <f t="shared" si="14"/>
        <v>MIddleAge</v>
      </c>
      <c r="N948" t="s">
        <v>15</v>
      </c>
    </row>
    <row r="949" spans="1:14" x14ac:dyDescent="0.25">
      <c r="A949">
        <v>18949</v>
      </c>
      <c r="B949" t="s">
        <v>36</v>
      </c>
      <c r="C949" t="s">
        <v>38</v>
      </c>
      <c r="D949" s="11">
        <v>70000</v>
      </c>
      <c r="E949">
        <v>0</v>
      </c>
      <c r="F949" t="s">
        <v>30</v>
      </c>
      <c r="G949" t="s">
        <v>28</v>
      </c>
      <c r="H949" t="s">
        <v>15</v>
      </c>
      <c r="I949">
        <v>2</v>
      </c>
      <c r="J949" t="s">
        <v>23</v>
      </c>
      <c r="K949" t="s">
        <v>31</v>
      </c>
      <c r="L949">
        <v>74</v>
      </c>
      <c r="M949" t="str">
        <f t="shared" si="14"/>
        <v>Old</v>
      </c>
      <c r="N949" t="s">
        <v>15</v>
      </c>
    </row>
    <row r="950" spans="1:14" x14ac:dyDescent="0.25">
      <c r="A950">
        <v>18613</v>
      </c>
      <c r="B950" t="s">
        <v>36</v>
      </c>
      <c r="C950" t="s">
        <v>38</v>
      </c>
      <c r="D950" s="11">
        <v>70000</v>
      </c>
      <c r="E950">
        <v>0</v>
      </c>
      <c r="F950" t="s">
        <v>13</v>
      </c>
      <c r="G950" t="s">
        <v>21</v>
      </c>
      <c r="H950" t="s">
        <v>18</v>
      </c>
      <c r="I950">
        <v>1</v>
      </c>
      <c r="J950" t="s">
        <v>22</v>
      </c>
      <c r="K950" t="s">
        <v>31</v>
      </c>
      <c r="L950">
        <v>37</v>
      </c>
      <c r="M950" t="str">
        <f t="shared" si="14"/>
        <v>MIddleAge</v>
      </c>
      <c r="N950" t="s">
        <v>15</v>
      </c>
    </row>
    <row r="951" spans="1:14" x14ac:dyDescent="0.25">
      <c r="A951">
        <v>17319</v>
      </c>
      <c r="B951" t="s">
        <v>36</v>
      </c>
      <c r="C951" t="s">
        <v>37</v>
      </c>
      <c r="D951" s="11">
        <v>70000</v>
      </c>
      <c r="E951">
        <v>0</v>
      </c>
      <c r="F951" t="s">
        <v>13</v>
      </c>
      <c r="G951" t="s">
        <v>21</v>
      </c>
      <c r="H951" t="s">
        <v>18</v>
      </c>
      <c r="I951">
        <v>1</v>
      </c>
      <c r="J951" t="s">
        <v>23</v>
      </c>
      <c r="K951" t="s">
        <v>24</v>
      </c>
      <c r="L951">
        <v>42</v>
      </c>
      <c r="M951" t="str">
        <f t="shared" si="14"/>
        <v>MIddleAge</v>
      </c>
      <c r="N951" t="s">
        <v>18</v>
      </c>
    </row>
    <row r="952" spans="1:14" x14ac:dyDescent="0.25">
      <c r="A952">
        <v>16753</v>
      </c>
      <c r="B952" t="s">
        <v>36</v>
      </c>
      <c r="C952" t="s">
        <v>37</v>
      </c>
      <c r="D952" s="11">
        <v>70000</v>
      </c>
      <c r="E952">
        <v>0</v>
      </c>
      <c r="F952" t="s">
        <v>19</v>
      </c>
      <c r="G952" t="s">
        <v>14</v>
      </c>
      <c r="H952" t="s">
        <v>15</v>
      </c>
      <c r="I952">
        <v>2</v>
      </c>
      <c r="J952" t="s">
        <v>23</v>
      </c>
      <c r="K952" t="s">
        <v>31</v>
      </c>
      <c r="L952">
        <v>34</v>
      </c>
      <c r="M952" t="str">
        <f t="shared" si="14"/>
        <v>MIddleAge</v>
      </c>
      <c r="N952" t="s">
        <v>15</v>
      </c>
    </row>
    <row r="953" spans="1:14" x14ac:dyDescent="0.25">
      <c r="A953">
        <v>14682</v>
      </c>
      <c r="B953" t="s">
        <v>36</v>
      </c>
      <c r="C953" t="s">
        <v>37</v>
      </c>
      <c r="D953" s="11">
        <v>70000</v>
      </c>
      <c r="E953">
        <v>0</v>
      </c>
      <c r="F953" t="s">
        <v>13</v>
      </c>
      <c r="G953" t="s">
        <v>21</v>
      </c>
      <c r="H953" t="s">
        <v>18</v>
      </c>
      <c r="I953">
        <v>1</v>
      </c>
      <c r="J953" t="s">
        <v>23</v>
      </c>
      <c r="K953" t="s">
        <v>24</v>
      </c>
      <c r="L953">
        <v>38</v>
      </c>
      <c r="M953" t="str">
        <f t="shared" si="14"/>
        <v>MIddleAge</v>
      </c>
      <c r="N953" t="s">
        <v>18</v>
      </c>
    </row>
    <row r="954" spans="1:14" x14ac:dyDescent="0.25">
      <c r="A954">
        <v>14063</v>
      </c>
      <c r="B954" t="s">
        <v>36</v>
      </c>
      <c r="C954" t="s">
        <v>37</v>
      </c>
      <c r="D954" s="11">
        <v>70000</v>
      </c>
      <c r="E954">
        <v>0</v>
      </c>
      <c r="F954" t="s">
        <v>13</v>
      </c>
      <c r="G954" t="s">
        <v>21</v>
      </c>
      <c r="H954" t="s">
        <v>18</v>
      </c>
      <c r="I954">
        <v>1</v>
      </c>
      <c r="J954" t="s">
        <v>16</v>
      </c>
      <c r="K954" t="s">
        <v>24</v>
      </c>
      <c r="L954">
        <v>42</v>
      </c>
      <c r="M954" t="str">
        <f t="shared" si="14"/>
        <v>MIddleAge</v>
      </c>
      <c r="N954" t="s">
        <v>15</v>
      </c>
    </row>
    <row r="955" spans="1:14" x14ac:dyDescent="0.25">
      <c r="A955">
        <v>14058</v>
      </c>
      <c r="B955" t="s">
        <v>36</v>
      </c>
      <c r="C955" t="s">
        <v>38</v>
      </c>
      <c r="D955" s="11">
        <v>70000</v>
      </c>
      <c r="E955">
        <v>0</v>
      </c>
      <c r="F955" t="s">
        <v>13</v>
      </c>
      <c r="G955" t="s">
        <v>21</v>
      </c>
      <c r="H955" t="s">
        <v>18</v>
      </c>
      <c r="I955">
        <v>1</v>
      </c>
      <c r="J955" t="s">
        <v>23</v>
      </c>
      <c r="K955" t="s">
        <v>24</v>
      </c>
      <c r="L955">
        <v>41</v>
      </c>
      <c r="M955" t="str">
        <f t="shared" si="14"/>
        <v>MIddleAge</v>
      </c>
      <c r="N955" t="s">
        <v>15</v>
      </c>
    </row>
    <row r="956" spans="1:14" x14ac:dyDescent="0.25">
      <c r="A956">
        <v>13620</v>
      </c>
      <c r="B956" t="s">
        <v>36</v>
      </c>
      <c r="C956" t="s">
        <v>38</v>
      </c>
      <c r="D956" s="11">
        <v>70000</v>
      </c>
      <c r="E956">
        <v>0</v>
      </c>
      <c r="F956" t="s">
        <v>13</v>
      </c>
      <c r="G956" t="s">
        <v>21</v>
      </c>
      <c r="H956" t="s">
        <v>18</v>
      </c>
      <c r="I956">
        <v>3</v>
      </c>
      <c r="J956" t="s">
        <v>42</v>
      </c>
      <c r="K956" t="s">
        <v>24</v>
      </c>
      <c r="L956">
        <v>30</v>
      </c>
      <c r="M956" t="str">
        <f t="shared" si="14"/>
        <v>Adolescent</v>
      </c>
      <c r="N956" t="s">
        <v>15</v>
      </c>
    </row>
    <row r="957" spans="1:14" x14ac:dyDescent="0.25">
      <c r="A957">
        <v>11823</v>
      </c>
      <c r="B957" t="s">
        <v>35</v>
      </c>
      <c r="C957" t="s">
        <v>37</v>
      </c>
      <c r="D957" s="11">
        <v>70000</v>
      </c>
      <c r="E957">
        <v>0</v>
      </c>
      <c r="F957" t="s">
        <v>30</v>
      </c>
      <c r="G957" t="s">
        <v>21</v>
      </c>
      <c r="H957" t="s">
        <v>15</v>
      </c>
      <c r="I957">
        <v>0</v>
      </c>
      <c r="J957" t="s">
        <v>22</v>
      </c>
      <c r="K957" t="s">
        <v>31</v>
      </c>
      <c r="L957">
        <v>39</v>
      </c>
      <c r="M957" t="str">
        <f t="shared" si="14"/>
        <v>MIddleAge</v>
      </c>
      <c r="N957" t="s">
        <v>18</v>
      </c>
    </row>
    <row r="958" spans="1:14" x14ac:dyDescent="0.25">
      <c r="A958">
        <v>11451</v>
      </c>
      <c r="B958" t="s">
        <v>36</v>
      </c>
      <c r="C958" t="s">
        <v>38</v>
      </c>
      <c r="D958" s="11">
        <v>70000</v>
      </c>
      <c r="E958">
        <v>0</v>
      </c>
      <c r="F958" t="s">
        <v>13</v>
      </c>
      <c r="G958" t="s">
        <v>21</v>
      </c>
      <c r="H958" t="s">
        <v>18</v>
      </c>
      <c r="I958">
        <v>4</v>
      </c>
      <c r="J958" t="s">
        <v>42</v>
      </c>
      <c r="K958" t="s">
        <v>24</v>
      </c>
      <c r="L958">
        <v>31</v>
      </c>
      <c r="M958" t="str">
        <f t="shared" si="14"/>
        <v>MIddleAge</v>
      </c>
      <c r="N958" t="s">
        <v>15</v>
      </c>
    </row>
    <row r="959" spans="1:14" x14ac:dyDescent="0.25">
      <c r="A959">
        <v>28580</v>
      </c>
      <c r="B959" t="s">
        <v>35</v>
      </c>
      <c r="C959" t="s">
        <v>37</v>
      </c>
      <c r="D959" s="11">
        <v>80000</v>
      </c>
      <c r="E959">
        <v>0</v>
      </c>
      <c r="F959" t="s">
        <v>30</v>
      </c>
      <c r="G959" t="s">
        <v>14</v>
      </c>
      <c r="H959" t="s">
        <v>15</v>
      </c>
      <c r="I959">
        <v>0</v>
      </c>
      <c r="J959" t="s">
        <v>26</v>
      </c>
      <c r="K959" t="s">
        <v>31</v>
      </c>
      <c r="L959">
        <v>40</v>
      </c>
      <c r="M959" t="str">
        <f t="shared" si="14"/>
        <v>MIddleAge</v>
      </c>
      <c r="N959" t="s">
        <v>15</v>
      </c>
    </row>
    <row r="960" spans="1:14" x14ac:dyDescent="0.25">
      <c r="A960">
        <v>27969</v>
      </c>
      <c r="B960" t="s">
        <v>35</v>
      </c>
      <c r="C960" t="s">
        <v>38</v>
      </c>
      <c r="D960" s="11">
        <v>80000</v>
      </c>
      <c r="E960">
        <v>0</v>
      </c>
      <c r="F960" t="s">
        <v>13</v>
      </c>
      <c r="G960" t="s">
        <v>21</v>
      </c>
      <c r="H960" t="s">
        <v>15</v>
      </c>
      <c r="I960">
        <v>2</v>
      </c>
      <c r="J960" t="s">
        <v>42</v>
      </c>
      <c r="K960" t="s">
        <v>24</v>
      </c>
      <c r="L960">
        <v>29</v>
      </c>
      <c r="M960" t="str">
        <f t="shared" si="14"/>
        <v>Adolescent</v>
      </c>
      <c r="N960" t="s">
        <v>15</v>
      </c>
    </row>
    <row r="961" spans="1:14" x14ac:dyDescent="0.25">
      <c r="A961">
        <v>27198</v>
      </c>
      <c r="B961" t="s">
        <v>36</v>
      </c>
      <c r="C961" t="s">
        <v>37</v>
      </c>
      <c r="D961" s="11">
        <v>80000</v>
      </c>
      <c r="E961">
        <v>0</v>
      </c>
      <c r="F961" t="s">
        <v>30</v>
      </c>
      <c r="G961" t="s">
        <v>14</v>
      </c>
      <c r="H961" t="s">
        <v>18</v>
      </c>
      <c r="I961">
        <v>0</v>
      </c>
      <c r="J961" t="s">
        <v>16</v>
      </c>
      <c r="K961" t="s">
        <v>31</v>
      </c>
      <c r="L961">
        <v>40</v>
      </c>
      <c r="M961" t="str">
        <f t="shared" si="14"/>
        <v>MIddleAge</v>
      </c>
      <c r="N961" t="s">
        <v>18</v>
      </c>
    </row>
    <row r="962" spans="1:14" x14ac:dyDescent="0.25">
      <c r="A962">
        <v>24898</v>
      </c>
      <c r="B962" t="s">
        <v>36</v>
      </c>
      <c r="C962" t="s">
        <v>37</v>
      </c>
      <c r="D962" s="11">
        <v>80000</v>
      </c>
      <c r="E962">
        <v>0</v>
      </c>
      <c r="F962" t="s">
        <v>13</v>
      </c>
      <c r="G962" t="s">
        <v>21</v>
      </c>
      <c r="H962" t="s">
        <v>15</v>
      </c>
      <c r="I962">
        <v>3</v>
      </c>
      <c r="J962" t="s">
        <v>42</v>
      </c>
      <c r="K962" t="s">
        <v>24</v>
      </c>
      <c r="L962">
        <v>32</v>
      </c>
      <c r="M962" t="str">
        <f t="shared" ref="M962:M1025" si="15">IF(L962&gt; 54, "Old",IF(L962&gt;= 31, "MIddleAge",IF(L962&lt;31, "Adolescent", "Adult")))</f>
        <v>MIddleAge</v>
      </c>
      <c r="N962" t="s">
        <v>18</v>
      </c>
    </row>
    <row r="963" spans="1:14" x14ac:dyDescent="0.25">
      <c r="A963">
        <v>24093</v>
      </c>
      <c r="B963" t="s">
        <v>36</v>
      </c>
      <c r="C963" t="s">
        <v>37</v>
      </c>
      <c r="D963" s="11">
        <v>80000</v>
      </c>
      <c r="E963">
        <v>0</v>
      </c>
      <c r="F963" t="s">
        <v>30</v>
      </c>
      <c r="G963" t="s">
        <v>14</v>
      </c>
      <c r="H963" t="s">
        <v>18</v>
      </c>
      <c r="I963">
        <v>0</v>
      </c>
      <c r="J963" t="s">
        <v>16</v>
      </c>
      <c r="K963" t="s">
        <v>17</v>
      </c>
      <c r="L963">
        <v>40</v>
      </c>
      <c r="M963" t="str">
        <f t="shared" si="15"/>
        <v>MIddleAge</v>
      </c>
      <c r="N963" t="s">
        <v>15</v>
      </c>
    </row>
    <row r="964" spans="1:14" x14ac:dyDescent="0.25">
      <c r="A964">
        <v>23586</v>
      </c>
      <c r="B964" t="s">
        <v>35</v>
      </c>
      <c r="C964" t="s">
        <v>37</v>
      </c>
      <c r="D964" s="11">
        <v>80000</v>
      </c>
      <c r="E964">
        <v>0</v>
      </c>
      <c r="F964" t="s">
        <v>13</v>
      </c>
      <c r="G964" t="s">
        <v>28</v>
      </c>
      <c r="H964" t="s">
        <v>15</v>
      </c>
      <c r="I964">
        <v>1</v>
      </c>
      <c r="J964" t="s">
        <v>26</v>
      </c>
      <c r="K964" t="s">
        <v>31</v>
      </c>
      <c r="L964">
        <v>34</v>
      </c>
      <c r="M964" t="str">
        <f t="shared" si="15"/>
        <v>MIddleAge</v>
      </c>
      <c r="N964" t="s">
        <v>15</v>
      </c>
    </row>
    <row r="965" spans="1:14" x14ac:dyDescent="0.25">
      <c r="A965">
        <v>22994</v>
      </c>
      <c r="B965" t="s">
        <v>35</v>
      </c>
      <c r="C965" t="s">
        <v>37</v>
      </c>
      <c r="D965" s="11">
        <v>80000</v>
      </c>
      <c r="E965">
        <v>0</v>
      </c>
      <c r="F965" t="s">
        <v>13</v>
      </c>
      <c r="G965" t="s">
        <v>28</v>
      </c>
      <c r="H965" t="s">
        <v>15</v>
      </c>
      <c r="I965">
        <v>1</v>
      </c>
      <c r="J965" t="s">
        <v>26</v>
      </c>
      <c r="K965" t="s">
        <v>31</v>
      </c>
      <c r="L965">
        <v>34</v>
      </c>
      <c r="M965" t="str">
        <f t="shared" si="15"/>
        <v>MIddleAge</v>
      </c>
      <c r="N965" t="s">
        <v>15</v>
      </c>
    </row>
    <row r="966" spans="1:14" x14ac:dyDescent="0.25">
      <c r="A966">
        <v>22046</v>
      </c>
      <c r="B966" t="s">
        <v>36</v>
      </c>
      <c r="C966" t="s">
        <v>37</v>
      </c>
      <c r="D966" s="11">
        <v>80000</v>
      </c>
      <c r="E966">
        <v>0</v>
      </c>
      <c r="F966" t="s">
        <v>13</v>
      </c>
      <c r="G966" t="s">
        <v>28</v>
      </c>
      <c r="H966" t="s">
        <v>18</v>
      </c>
      <c r="I966">
        <v>1</v>
      </c>
      <c r="J966" t="s">
        <v>16</v>
      </c>
      <c r="K966" t="s">
        <v>31</v>
      </c>
      <c r="L966">
        <v>38</v>
      </c>
      <c r="M966" t="str">
        <f t="shared" si="15"/>
        <v>MIddleAge</v>
      </c>
      <c r="N966" t="s">
        <v>15</v>
      </c>
    </row>
    <row r="967" spans="1:14" x14ac:dyDescent="0.25">
      <c r="A967">
        <v>21564</v>
      </c>
      <c r="B967" t="s">
        <v>36</v>
      </c>
      <c r="C967" t="s">
        <v>37</v>
      </c>
      <c r="D967" s="11">
        <v>80000</v>
      </c>
      <c r="E967">
        <v>0</v>
      </c>
      <c r="F967" t="s">
        <v>13</v>
      </c>
      <c r="G967" t="s">
        <v>21</v>
      </c>
      <c r="H967" t="s">
        <v>15</v>
      </c>
      <c r="I967">
        <v>4</v>
      </c>
      <c r="J967" t="s">
        <v>42</v>
      </c>
      <c r="K967" t="s">
        <v>24</v>
      </c>
      <c r="L967">
        <v>35</v>
      </c>
      <c r="M967" t="str">
        <f t="shared" si="15"/>
        <v>MIddleAge</v>
      </c>
      <c r="N967" t="s">
        <v>18</v>
      </c>
    </row>
    <row r="968" spans="1:14" x14ac:dyDescent="0.25">
      <c r="A968">
        <v>21554</v>
      </c>
      <c r="B968" t="s">
        <v>36</v>
      </c>
      <c r="C968" t="s">
        <v>37</v>
      </c>
      <c r="D968" s="11">
        <v>80000</v>
      </c>
      <c r="E968">
        <v>0</v>
      </c>
      <c r="F968" t="s">
        <v>13</v>
      </c>
      <c r="G968" t="s">
        <v>21</v>
      </c>
      <c r="H968" t="s">
        <v>18</v>
      </c>
      <c r="I968">
        <v>3</v>
      </c>
      <c r="J968" t="s">
        <v>42</v>
      </c>
      <c r="K968" t="s">
        <v>24</v>
      </c>
      <c r="L968">
        <v>33</v>
      </c>
      <c r="M968" t="str">
        <f t="shared" si="15"/>
        <v>MIddleAge</v>
      </c>
      <c r="N968" t="s">
        <v>18</v>
      </c>
    </row>
    <row r="969" spans="1:14" x14ac:dyDescent="0.25">
      <c r="A969">
        <v>21266</v>
      </c>
      <c r="B969" t="s">
        <v>36</v>
      </c>
      <c r="C969" t="s">
        <v>37</v>
      </c>
      <c r="D969" s="11">
        <v>80000</v>
      </c>
      <c r="E969">
        <v>0</v>
      </c>
      <c r="F969" t="s">
        <v>13</v>
      </c>
      <c r="G969" t="s">
        <v>28</v>
      </c>
      <c r="H969" t="s">
        <v>15</v>
      </c>
      <c r="I969">
        <v>1</v>
      </c>
      <c r="J969" t="s">
        <v>26</v>
      </c>
      <c r="K969" t="s">
        <v>31</v>
      </c>
      <c r="L969">
        <v>34</v>
      </c>
      <c r="M969" t="str">
        <f t="shared" si="15"/>
        <v>MIddleAge</v>
      </c>
      <c r="N969" t="s">
        <v>15</v>
      </c>
    </row>
    <row r="970" spans="1:14" x14ac:dyDescent="0.25">
      <c r="A970">
        <v>20619</v>
      </c>
      <c r="B970" t="s">
        <v>36</v>
      </c>
      <c r="C970" t="s">
        <v>38</v>
      </c>
      <c r="D970" s="11">
        <v>80000</v>
      </c>
      <c r="E970">
        <v>0</v>
      </c>
      <c r="F970" t="s">
        <v>13</v>
      </c>
      <c r="G970" t="s">
        <v>21</v>
      </c>
      <c r="H970" t="s">
        <v>18</v>
      </c>
      <c r="I970">
        <v>4</v>
      </c>
      <c r="J970" t="s">
        <v>42</v>
      </c>
      <c r="K970" t="s">
        <v>24</v>
      </c>
      <c r="L970">
        <v>35</v>
      </c>
      <c r="M970" t="str">
        <f t="shared" si="15"/>
        <v>MIddleAge</v>
      </c>
      <c r="N970" t="s">
        <v>18</v>
      </c>
    </row>
    <row r="971" spans="1:14" x14ac:dyDescent="0.25">
      <c r="A971">
        <v>18783</v>
      </c>
      <c r="B971" t="s">
        <v>36</v>
      </c>
      <c r="C971" t="s">
        <v>38</v>
      </c>
      <c r="D971" s="11">
        <v>80000</v>
      </c>
      <c r="E971">
        <v>0</v>
      </c>
      <c r="F971" t="s">
        <v>13</v>
      </c>
      <c r="G971" t="s">
        <v>28</v>
      </c>
      <c r="H971" t="s">
        <v>18</v>
      </c>
      <c r="I971">
        <v>1</v>
      </c>
      <c r="J971" t="s">
        <v>16</v>
      </c>
      <c r="K971" t="s">
        <v>31</v>
      </c>
      <c r="L971">
        <v>38</v>
      </c>
      <c r="M971" t="str">
        <f t="shared" si="15"/>
        <v>MIddleAge</v>
      </c>
      <c r="N971" t="s">
        <v>15</v>
      </c>
    </row>
    <row r="972" spans="1:14" x14ac:dyDescent="0.25">
      <c r="A972">
        <v>17238</v>
      </c>
      <c r="B972" t="s">
        <v>36</v>
      </c>
      <c r="C972" t="s">
        <v>38</v>
      </c>
      <c r="D972" s="11">
        <v>80000</v>
      </c>
      <c r="E972">
        <v>0</v>
      </c>
      <c r="F972" t="s">
        <v>13</v>
      </c>
      <c r="G972" t="s">
        <v>21</v>
      </c>
      <c r="H972" t="s">
        <v>15</v>
      </c>
      <c r="I972">
        <v>3</v>
      </c>
      <c r="J972" t="s">
        <v>42</v>
      </c>
      <c r="K972" t="s">
        <v>24</v>
      </c>
      <c r="L972">
        <v>32</v>
      </c>
      <c r="M972" t="str">
        <f t="shared" si="15"/>
        <v>MIddleAge</v>
      </c>
      <c r="N972" t="s">
        <v>18</v>
      </c>
    </row>
    <row r="973" spans="1:14" x14ac:dyDescent="0.25">
      <c r="A973">
        <v>17230</v>
      </c>
      <c r="B973" t="s">
        <v>35</v>
      </c>
      <c r="C973" t="s">
        <v>38</v>
      </c>
      <c r="D973" s="11">
        <v>80000</v>
      </c>
      <c r="E973">
        <v>0</v>
      </c>
      <c r="F973" t="s">
        <v>13</v>
      </c>
      <c r="G973" t="s">
        <v>21</v>
      </c>
      <c r="H973" t="s">
        <v>15</v>
      </c>
      <c r="I973">
        <v>3</v>
      </c>
      <c r="J973" t="s">
        <v>42</v>
      </c>
      <c r="K973" t="s">
        <v>24</v>
      </c>
      <c r="L973">
        <v>30</v>
      </c>
      <c r="M973" t="str">
        <f t="shared" si="15"/>
        <v>Adolescent</v>
      </c>
      <c r="N973" t="s">
        <v>18</v>
      </c>
    </row>
    <row r="974" spans="1:14" x14ac:dyDescent="0.25">
      <c r="A974">
        <v>16614</v>
      </c>
      <c r="B974" t="s">
        <v>35</v>
      </c>
      <c r="C974" t="s">
        <v>37</v>
      </c>
      <c r="D974" s="11">
        <v>80000</v>
      </c>
      <c r="E974">
        <v>0</v>
      </c>
      <c r="F974" t="s">
        <v>13</v>
      </c>
      <c r="G974" t="s">
        <v>21</v>
      </c>
      <c r="H974" t="s">
        <v>15</v>
      </c>
      <c r="I974">
        <v>3</v>
      </c>
      <c r="J974" t="s">
        <v>42</v>
      </c>
      <c r="K974" t="s">
        <v>24</v>
      </c>
      <c r="L974">
        <v>32</v>
      </c>
      <c r="M974" t="str">
        <f t="shared" si="15"/>
        <v>MIddleAge</v>
      </c>
      <c r="N974" t="s">
        <v>18</v>
      </c>
    </row>
    <row r="975" spans="1:14" x14ac:dyDescent="0.25">
      <c r="A975">
        <v>13122</v>
      </c>
      <c r="B975" t="s">
        <v>35</v>
      </c>
      <c r="C975" t="s">
        <v>37</v>
      </c>
      <c r="D975" s="11">
        <v>80000</v>
      </c>
      <c r="E975">
        <v>0</v>
      </c>
      <c r="F975" t="s">
        <v>13</v>
      </c>
      <c r="G975" t="s">
        <v>21</v>
      </c>
      <c r="H975" t="s">
        <v>15</v>
      </c>
      <c r="I975">
        <v>1</v>
      </c>
      <c r="J975" t="s">
        <v>26</v>
      </c>
      <c r="K975" t="s">
        <v>24</v>
      </c>
      <c r="L975">
        <v>41</v>
      </c>
      <c r="M975" t="str">
        <f t="shared" si="15"/>
        <v>MIddleAge</v>
      </c>
      <c r="N975" t="s">
        <v>15</v>
      </c>
    </row>
    <row r="976" spans="1:14" x14ac:dyDescent="0.25">
      <c r="A976">
        <v>12344</v>
      </c>
      <c r="B976" t="s">
        <v>36</v>
      </c>
      <c r="C976" t="s">
        <v>37</v>
      </c>
      <c r="D976" s="11">
        <v>80000</v>
      </c>
      <c r="E976">
        <v>0</v>
      </c>
      <c r="F976" t="s">
        <v>13</v>
      </c>
      <c r="G976" t="s">
        <v>21</v>
      </c>
      <c r="H976" t="s">
        <v>18</v>
      </c>
      <c r="I976">
        <v>3</v>
      </c>
      <c r="J976" t="s">
        <v>42</v>
      </c>
      <c r="K976" t="s">
        <v>24</v>
      </c>
      <c r="L976">
        <v>31</v>
      </c>
      <c r="M976" t="str">
        <f t="shared" si="15"/>
        <v>MIddleAge</v>
      </c>
      <c r="N976" t="s">
        <v>18</v>
      </c>
    </row>
    <row r="977" spans="1:14" x14ac:dyDescent="0.25">
      <c r="A977">
        <v>11453</v>
      </c>
      <c r="B977" t="s">
        <v>36</v>
      </c>
      <c r="C977" t="s">
        <v>38</v>
      </c>
      <c r="D977" s="11">
        <v>80000</v>
      </c>
      <c r="E977">
        <v>0</v>
      </c>
      <c r="F977" t="s">
        <v>13</v>
      </c>
      <c r="G977" t="s">
        <v>21</v>
      </c>
      <c r="H977" t="s">
        <v>18</v>
      </c>
      <c r="I977">
        <v>3</v>
      </c>
      <c r="J977" t="s">
        <v>42</v>
      </c>
      <c r="K977" t="s">
        <v>24</v>
      </c>
      <c r="L977">
        <v>33</v>
      </c>
      <c r="M977" t="str">
        <f t="shared" si="15"/>
        <v>MIddleAge</v>
      </c>
      <c r="N977" t="s">
        <v>15</v>
      </c>
    </row>
    <row r="978" spans="1:14" x14ac:dyDescent="0.25">
      <c r="A978">
        <v>24611</v>
      </c>
      <c r="B978" t="s">
        <v>36</v>
      </c>
      <c r="C978" t="s">
        <v>38</v>
      </c>
      <c r="D978" s="11">
        <v>90000</v>
      </c>
      <c r="E978">
        <v>0</v>
      </c>
      <c r="F978" t="s">
        <v>13</v>
      </c>
      <c r="G978" t="s">
        <v>21</v>
      </c>
      <c r="H978" t="s">
        <v>18</v>
      </c>
      <c r="I978">
        <v>4</v>
      </c>
      <c r="J978" t="s">
        <v>42</v>
      </c>
      <c r="K978" t="s">
        <v>24</v>
      </c>
      <c r="L978">
        <v>35</v>
      </c>
      <c r="M978" t="str">
        <f t="shared" si="15"/>
        <v>MIddleAge</v>
      </c>
      <c r="N978" t="s">
        <v>15</v>
      </c>
    </row>
    <row r="979" spans="1:14" x14ac:dyDescent="0.25">
      <c r="A979">
        <v>23479</v>
      </c>
      <c r="B979" t="s">
        <v>36</v>
      </c>
      <c r="C979" t="s">
        <v>38</v>
      </c>
      <c r="D979" s="11">
        <v>90000</v>
      </c>
      <c r="E979">
        <v>0</v>
      </c>
      <c r="F979" t="s">
        <v>19</v>
      </c>
      <c r="G979" t="s">
        <v>21</v>
      </c>
      <c r="H979" t="s">
        <v>18</v>
      </c>
      <c r="I979">
        <v>2</v>
      </c>
      <c r="J979" t="s">
        <v>16</v>
      </c>
      <c r="K979" t="s">
        <v>31</v>
      </c>
      <c r="L979">
        <v>43</v>
      </c>
      <c r="M979" t="str">
        <f t="shared" si="15"/>
        <v>MIddleAge</v>
      </c>
      <c r="N979" t="s">
        <v>15</v>
      </c>
    </row>
    <row r="980" spans="1:14" x14ac:dyDescent="0.25">
      <c r="A980">
        <v>21561</v>
      </c>
      <c r="B980" t="s">
        <v>36</v>
      </c>
      <c r="C980" t="s">
        <v>38</v>
      </c>
      <c r="D980" s="11">
        <v>90000</v>
      </c>
      <c r="E980">
        <v>0</v>
      </c>
      <c r="F980" t="s">
        <v>13</v>
      </c>
      <c r="G980" t="s">
        <v>21</v>
      </c>
      <c r="H980" t="s">
        <v>18</v>
      </c>
      <c r="I980">
        <v>3</v>
      </c>
      <c r="J980" t="s">
        <v>42</v>
      </c>
      <c r="K980" t="s">
        <v>24</v>
      </c>
      <c r="L980">
        <v>34</v>
      </c>
      <c r="M980" t="str">
        <f t="shared" si="15"/>
        <v>MIddleAge</v>
      </c>
      <c r="N980" t="s">
        <v>15</v>
      </c>
    </row>
    <row r="981" spans="1:14" x14ac:dyDescent="0.25">
      <c r="A981">
        <v>12697</v>
      </c>
      <c r="B981" t="s">
        <v>36</v>
      </c>
      <c r="C981" t="s">
        <v>37</v>
      </c>
      <c r="D981" s="11">
        <v>90000</v>
      </c>
      <c r="E981">
        <v>0</v>
      </c>
      <c r="F981" t="s">
        <v>13</v>
      </c>
      <c r="G981" t="s">
        <v>21</v>
      </c>
      <c r="H981" t="s">
        <v>18</v>
      </c>
      <c r="I981">
        <v>4</v>
      </c>
      <c r="J981" t="s">
        <v>42</v>
      </c>
      <c r="K981" t="s">
        <v>24</v>
      </c>
      <c r="L981">
        <v>36</v>
      </c>
      <c r="M981" t="str">
        <f t="shared" si="15"/>
        <v>MIddleAge</v>
      </c>
      <c r="N981" t="s">
        <v>18</v>
      </c>
    </row>
    <row r="982" spans="1:14" x14ac:dyDescent="0.25">
      <c r="A982">
        <v>23491</v>
      </c>
      <c r="B982" t="s">
        <v>36</v>
      </c>
      <c r="C982" t="s">
        <v>38</v>
      </c>
      <c r="D982" s="11">
        <v>100000</v>
      </c>
      <c r="E982">
        <v>0</v>
      </c>
      <c r="F982" t="s">
        <v>19</v>
      </c>
      <c r="G982" t="s">
        <v>21</v>
      </c>
      <c r="H982" t="s">
        <v>18</v>
      </c>
      <c r="I982">
        <v>4</v>
      </c>
      <c r="J982" t="s">
        <v>26</v>
      </c>
      <c r="K982" t="s">
        <v>31</v>
      </c>
      <c r="L982">
        <v>45</v>
      </c>
      <c r="M982" t="str">
        <f t="shared" si="15"/>
        <v>MIddleAge</v>
      </c>
      <c r="N982" t="s">
        <v>18</v>
      </c>
    </row>
    <row r="983" spans="1:14" x14ac:dyDescent="0.25">
      <c r="A983">
        <v>21568</v>
      </c>
      <c r="B983" t="s">
        <v>35</v>
      </c>
      <c r="C983" t="s">
        <v>37</v>
      </c>
      <c r="D983" s="11">
        <v>100000</v>
      </c>
      <c r="E983">
        <v>0</v>
      </c>
      <c r="F983" t="s">
        <v>27</v>
      </c>
      <c r="G983" t="s">
        <v>28</v>
      </c>
      <c r="H983" t="s">
        <v>15</v>
      </c>
      <c r="I983">
        <v>4</v>
      </c>
      <c r="J983" t="s">
        <v>42</v>
      </c>
      <c r="K983" t="s">
        <v>24</v>
      </c>
      <c r="L983">
        <v>34</v>
      </c>
      <c r="M983" t="str">
        <f t="shared" si="15"/>
        <v>MIddleAge</v>
      </c>
      <c r="N983" t="s">
        <v>15</v>
      </c>
    </row>
    <row r="984" spans="1:14" x14ac:dyDescent="0.25">
      <c r="A984">
        <v>20625</v>
      </c>
      <c r="B984" t="s">
        <v>35</v>
      </c>
      <c r="C984" t="s">
        <v>38</v>
      </c>
      <c r="D984" s="11">
        <v>100000</v>
      </c>
      <c r="E984">
        <v>0</v>
      </c>
      <c r="F984" t="s">
        <v>27</v>
      </c>
      <c r="G984" t="s">
        <v>28</v>
      </c>
      <c r="H984" t="s">
        <v>15</v>
      </c>
      <c r="I984">
        <v>3</v>
      </c>
      <c r="J984" t="s">
        <v>42</v>
      </c>
      <c r="K984" t="s">
        <v>24</v>
      </c>
      <c r="L984">
        <v>35</v>
      </c>
      <c r="M984" t="str">
        <f t="shared" si="15"/>
        <v>MIddleAge</v>
      </c>
      <c r="N984" t="s">
        <v>15</v>
      </c>
    </row>
    <row r="985" spans="1:14" x14ac:dyDescent="0.25">
      <c r="A985">
        <v>20228</v>
      </c>
      <c r="B985" t="s">
        <v>35</v>
      </c>
      <c r="C985" t="s">
        <v>38</v>
      </c>
      <c r="D985" s="11">
        <v>100000</v>
      </c>
      <c r="E985">
        <v>0</v>
      </c>
      <c r="F985" t="s">
        <v>30</v>
      </c>
      <c r="G985" t="s">
        <v>28</v>
      </c>
      <c r="H985" t="s">
        <v>15</v>
      </c>
      <c r="I985">
        <v>0</v>
      </c>
      <c r="J985" t="s">
        <v>22</v>
      </c>
      <c r="K985" t="s">
        <v>24</v>
      </c>
      <c r="L985">
        <v>40</v>
      </c>
      <c r="M985" t="str">
        <f t="shared" si="15"/>
        <v>MIddleAge</v>
      </c>
      <c r="N985" t="s">
        <v>15</v>
      </c>
    </row>
    <row r="986" spans="1:14" x14ac:dyDescent="0.25">
      <c r="A986">
        <v>18283</v>
      </c>
      <c r="B986" t="s">
        <v>36</v>
      </c>
      <c r="C986" t="s">
        <v>37</v>
      </c>
      <c r="D986" s="11">
        <v>100000</v>
      </c>
      <c r="E986">
        <v>0</v>
      </c>
      <c r="F986" t="s">
        <v>13</v>
      </c>
      <c r="G986" t="s">
        <v>21</v>
      </c>
      <c r="H986" t="s">
        <v>18</v>
      </c>
      <c r="I986">
        <v>1</v>
      </c>
      <c r="J986" t="s">
        <v>23</v>
      </c>
      <c r="K986" t="s">
        <v>24</v>
      </c>
      <c r="L986">
        <v>40</v>
      </c>
      <c r="M986" t="str">
        <f t="shared" si="15"/>
        <v>MIddleAge</v>
      </c>
      <c r="N986" t="s">
        <v>18</v>
      </c>
    </row>
    <row r="987" spans="1:14" x14ac:dyDescent="0.25">
      <c r="A987">
        <v>15214</v>
      </c>
      <c r="B987" t="s">
        <v>36</v>
      </c>
      <c r="C987" t="s">
        <v>37</v>
      </c>
      <c r="D987" s="11">
        <v>100000</v>
      </c>
      <c r="E987">
        <v>0</v>
      </c>
      <c r="F987" t="s">
        <v>30</v>
      </c>
      <c r="G987" t="s">
        <v>28</v>
      </c>
      <c r="H987" t="s">
        <v>18</v>
      </c>
      <c r="I987">
        <v>1</v>
      </c>
      <c r="J987" t="s">
        <v>26</v>
      </c>
      <c r="K987" t="s">
        <v>24</v>
      </c>
      <c r="L987">
        <v>39</v>
      </c>
      <c r="M987" t="str">
        <f t="shared" si="15"/>
        <v>MIddleAge</v>
      </c>
      <c r="N987" t="s">
        <v>15</v>
      </c>
    </row>
    <row r="988" spans="1:14" x14ac:dyDescent="0.25">
      <c r="A988">
        <v>14233</v>
      </c>
      <c r="B988" t="s">
        <v>36</v>
      </c>
      <c r="C988" t="s">
        <v>38</v>
      </c>
      <c r="D988" s="11">
        <v>100000</v>
      </c>
      <c r="E988">
        <v>0</v>
      </c>
      <c r="F988" t="s">
        <v>27</v>
      </c>
      <c r="G988" t="s">
        <v>28</v>
      </c>
      <c r="H988" t="s">
        <v>15</v>
      </c>
      <c r="I988">
        <v>3</v>
      </c>
      <c r="J988" t="s">
        <v>42</v>
      </c>
      <c r="K988" t="s">
        <v>24</v>
      </c>
      <c r="L988">
        <v>35</v>
      </c>
      <c r="M988" t="str">
        <f t="shared" si="15"/>
        <v>MIddleAge</v>
      </c>
      <c r="N988" t="s">
        <v>18</v>
      </c>
    </row>
    <row r="989" spans="1:14" x14ac:dyDescent="0.25">
      <c r="A989">
        <v>24901</v>
      </c>
      <c r="B989" t="s">
        <v>36</v>
      </c>
      <c r="C989" t="s">
        <v>38</v>
      </c>
      <c r="D989" s="11">
        <v>110000</v>
      </c>
      <c r="E989">
        <v>0</v>
      </c>
      <c r="F989" t="s">
        <v>19</v>
      </c>
      <c r="G989" t="s">
        <v>28</v>
      </c>
      <c r="H989" t="s">
        <v>18</v>
      </c>
      <c r="I989">
        <v>3</v>
      </c>
      <c r="J989" t="s">
        <v>42</v>
      </c>
      <c r="K989" t="s">
        <v>24</v>
      </c>
      <c r="L989">
        <v>32</v>
      </c>
      <c r="M989" t="str">
        <f t="shared" si="15"/>
        <v>MIddleAge</v>
      </c>
      <c r="N989" t="s">
        <v>15</v>
      </c>
    </row>
    <row r="990" spans="1:14" x14ac:dyDescent="0.25">
      <c r="A990">
        <v>21891</v>
      </c>
      <c r="B990" t="s">
        <v>35</v>
      </c>
      <c r="C990" t="s">
        <v>37</v>
      </c>
      <c r="D990" s="11">
        <v>110000</v>
      </c>
      <c r="E990">
        <v>0</v>
      </c>
      <c r="F990" t="s">
        <v>27</v>
      </c>
      <c r="G990" t="s">
        <v>28</v>
      </c>
      <c r="H990" t="s">
        <v>15</v>
      </c>
      <c r="I990">
        <v>3</v>
      </c>
      <c r="J990" t="s">
        <v>42</v>
      </c>
      <c r="K990" t="s">
        <v>24</v>
      </c>
      <c r="L990">
        <v>34</v>
      </c>
      <c r="M990" t="str">
        <f t="shared" si="15"/>
        <v>MIddleAge</v>
      </c>
      <c r="N990" t="s">
        <v>15</v>
      </c>
    </row>
    <row r="991" spans="1:14" x14ac:dyDescent="0.25">
      <c r="A991">
        <v>21557</v>
      </c>
      <c r="B991" t="s">
        <v>36</v>
      </c>
      <c r="C991" t="s">
        <v>37</v>
      </c>
      <c r="D991" s="11">
        <v>110000</v>
      </c>
      <c r="E991">
        <v>0</v>
      </c>
      <c r="F991" t="s">
        <v>19</v>
      </c>
      <c r="G991" t="s">
        <v>28</v>
      </c>
      <c r="H991" t="s">
        <v>15</v>
      </c>
      <c r="I991">
        <v>3</v>
      </c>
      <c r="J991" t="s">
        <v>42</v>
      </c>
      <c r="K991" t="s">
        <v>24</v>
      </c>
      <c r="L991">
        <v>32</v>
      </c>
      <c r="M991" t="str">
        <f t="shared" si="15"/>
        <v>MIddleAge</v>
      </c>
      <c r="N991" t="s">
        <v>15</v>
      </c>
    </row>
    <row r="992" spans="1:14" x14ac:dyDescent="0.25">
      <c r="A992">
        <v>28957</v>
      </c>
      <c r="B992" t="s">
        <v>36</v>
      </c>
      <c r="C992" t="s">
        <v>37</v>
      </c>
      <c r="D992" s="11">
        <v>120000</v>
      </c>
      <c r="E992">
        <v>0</v>
      </c>
      <c r="F992" t="s">
        <v>29</v>
      </c>
      <c r="G992" t="s">
        <v>21</v>
      </c>
      <c r="H992" t="s">
        <v>15</v>
      </c>
      <c r="I992">
        <v>4</v>
      </c>
      <c r="J992" t="s">
        <v>42</v>
      </c>
      <c r="K992" t="s">
        <v>24</v>
      </c>
      <c r="L992">
        <v>34</v>
      </c>
      <c r="M992" t="str">
        <f t="shared" si="15"/>
        <v>MIddleAge</v>
      </c>
      <c r="N992" t="s">
        <v>15</v>
      </c>
    </row>
    <row r="993" spans="1:14" x14ac:dyDescent="0.25">
      <c r="A993">
        <v>21560</v>
      </c>
      <c r="B993" t="s">
        <v>35</v>
      </c>
      <c r="C993" t="s">
        <v>38</v>
      </c>
      <c r="D993" s="11">
        <v>120000</v>
      </c>
      <c r="E993">
        <v>0</v>
      </c>
      <c r="F993" t="s">
        <v>29</v>
      </c>
      <c r="G993" t="s">
        <v>21</v>
      </c>
      <c r="H993" t="s">
        <v>15</v>
      </c>
      <c r="I993">
        <v>4</v>
      </c>
      <c r="J993" t="s">
        <v>42</v>
      </c>
      <c r="K993" t="s">
        <v>24</v>
      </c>
      <c r="L993">
        <v>32</v>
      </c>
      <c r="M993" t="str">
        <f t="shared" si="15"/>
        <v>MIddleAge</v>
      </c>
      <c r="N993" t="s">
        <v>15</v>
      </c>
    </row>
    <row r="994" spans="1:14" x14ac:dyDescent="0.25">
      <c r="A994">
        <v>14238</v>
      </c>
      <c r="B994" t="s">
        <v>35</v>
      </c>
      <c r="C994" t="s">
        <v>38</v>
      </c>
      <c r="D994" s="11">
        <v>120000</v>
      </c>
      <c r="E994">
        <v>0</v>
      </c>
      <c r="F994" t="s">
        <v>29</v>
      </c>
      <c r="G994" t="s">
        <v>21</v>
      </c>
      <c r="H994" t="s">
        <v>15</v>
      </c>
      <c r="I994">
        <v>4</v>
      </c>
      <c r="J994" t="s">
        <v>42</v>
      </c>
      <c r="K994" t="s">
        <v>24</v>
      </c>
      <c r="L994">
        <v>36</v>
      </c>
      <c r="M994" t="str">
        <f t="shared" si="15"/>
        <v>MIddleAge</v>
      </c>
      <c r="N994" t="s">
        <v>15</v>
      </c>
    </row>
    <row r="995" spans="1:14" x14ac:dyDescent="0.25">
      <c r="A995">
        <v>18935</v>
      </c>
      <c r="B995" t="s">
        <v>35</v>
      </c>
      <c r="C995" t="s">
        <v>37</v>
      </c>
      <c r="D995" s="11">
        <v>130000</v>
      </c>
      <c r="E995">
        <v>0</v>
      </c>
      <c r="F995" t="s">
        <v>30</v>
      </c>
      <c r="G995" t="s">
        <v>28</v>
      </c>
      <c r="H995" t="s">
        <v>15</v>
      </c>
      <c r="I995">
        <v>3</v>
      </c>
      <c r="J995" t="s">
        <v>26</v>
      </c>
      <c r="K995" t="s">
        <v>31</v>
      </c>
      <c r="L995">
        <v>40</v>
      </c>
      <c r="M995" t="str">
        <f t="shared" si="15"/>
        <v>MIddleAge</v>
      </c>
      <c r="N995" t="s">
        <v>18</v>
      </c>
    </row>
    <row r="996" spans="1:14" x14ac:dyDescent="0.25">
      <c r="A996">
        <v>15758</v>
      </c>
      <c r="B996" t="s">
        <v>35</v>
      </c>
      <c r="C996" t="s">
        <v>38</v>
      </c>
      <c r="D996" s="11">
        <v>130000</v>
      </c>
      <c r="E996">
        <v>0</v>
      </c>
      <c r="F996" t="s">
        <v>30</v>
      </c>
      <c r="G996" t="s">
        <v>28</v>
      </c>
      <c r="H996" t="s">
        <v>15</v>
      </c>
      <c r="I996">
        <v>0</v>
      </c>
      <c r="J996" t="s">
        <v>23</v>
      </c>
      <c r="K996" t="s">
        <v>24</v>
      </c>
      <c r="L996">
        <v>48</v>
      </c>
      <c r="M996" t="str">
        <f t="shared" si="15"/>
        <v>MIddleAge</v>
      </c>
      <c r="N996" t="s">
        <v>18</v>
      </c>
    </row>
    <row r="997" spans="1:14" x14ac:dyDescent="0.25">
      <c r="A997">
        <v>14278</v>
      </c>
      <c r="B997" t="s">
        <v>35</v>
      </c>
      <c r="C997" t="s">
        <v>37</v>
      </c>
      <c r="D997" s="11">
        <v>130000</v>
      </c>
      <c r="E997">
        <v>0</v>
      </c>
      <c r="F997" t="s">
        <v>30</v>
      </c>
      <c r="G997" t="s">
        <v>28</v>
      </c>
      <c r="H997" t="s">
        <v>15</v>
      </c>
      <c r="I997">
        <v>1</v>
      </c>
      <c r="J997" t="s">
        <v>42</v>
      </c>
      <c r="K997" t="s">
        <v>24</v>
      </c>
      <c r="L997">
        <v>48</v>
      </c>
      <c r="M997" t="str">
        <f t="shared" si="15"/>
        <v>MIddleAge</v>
      </c>
      <c r="N997" t="s">
        <v>18</v>
      </c>
    </row>
    <row r="998" spans="1:14" x14ac:dyDescent="0.25">
      <c r="A998">
        <v>13176</v>
      </c>
      <c r="B998" t="s">
        <v>36</v>
      </c>
      <c r="C998" t="s">
        <v>38</v>
      </c>
      <c r="D998" s="11">
        <v>130000</v>
      </c>
      <c r="E998">
        <v>0</v>
      </c>
      <c r="F998" t="s">
        <v>30</v>
      </c>
      <c r="G998" t="s">
        <v>28</v>
      </c>
      <c r="H998" t="s">
        <v>18</v>
      </c>
      <c r="I998">
        <v>2</v>
      </c>
      <c r="J998" t="s">
        <v>16</v>
      </c>
      <c r="K998" t="s">
        <v>31</v>
      </c>
      <c r="L998">
        <v>38</v>
      </c>
      <c r="M998" t="str">
        <f t="shared" si="15"/>
        <v>MIddleAge</v>
      </c>
      <c r="N998" t="s">
        <v>15</v>
      </c>
    </row>
    <row r="999" spans="1:14" x14ac:dyDescent="0.25">
      <c r="A999">
        <v>13082</v>
      </c>
      <c r="B999" t="s">
        <v>36</v>
      </c>
      <c r="C999" t="s">
        <v>38</v>
      </c>
      <c r="D999" s="11">
        <v>130000</v>
      </c>
      <c r="E999">
        <v>0</v>
      </c>
      <c r="F999" t="s">
        <v>30</v>
      </c>
      <c r="G999" t="s">
        <v>28</v>
      </c>
      <c r="H999" t="s">
        <v>15</v>
      </c>
      <c r="I999">
        <v>0</v>
      </c>
      <c r="J999" t="s">
        <v>22</v>
      </c>
      <c r="K999" t="s">
        <v>24</v>
      </c>
      <c r="L999">
        <v>48</v>
      </c>
      <c r="M999" t="str">
        <f t="shared" si="15"/>
        <v>MIddleAge</v>
      </c>
      <c r="N999" t="s">
        <v>15</v>
      </c>
    </row>
    <row r="1000" spans="1:14" x14ac:dyDescent="0.25">
      <c r="A1000">
        <v>12705</v>
      </c>
      <c r="B1000" t="s">
        <v>35</v>
      </c>
      <c r="C1000" t="s">
        <v>38</v>
      </c>
      <c r="D1000" s="11">
        <v>150000</v>
      </c>
      <c r="E1000">
        <v>0</v>
      </c>
      <c r="F1000" t="s">
        <v>13</v>
      </c>
      <c r="G1000" t="s">
        <v>28</v>
      </c>
      <c r="H1000" t="s">
        <v>15</v>
      </c>
      <c r="I1000">
        <v>4</v>
      </c>
      <c r="J1000" t="s">
        <v>16</v>
      </c>
      <c r="K1000" t="s">
        <v>24</v>
      </c>
      <c r="L1000">
        <v>37</v>
      </c>
      <c r="M1000" t="str">
        <f t="shared" si="15"/>
        <v>MIddleAge</v>
      </c>
      <c r="N1000" t="s">
        <v>15</v>
      </c>
    </row>
    <row r="1001" spans="1:14" x14ac:dyDescent="0.25">
      <c r="A1001">
        <v>16675</v>
      </c>
      <c r="B1001" t="s">
        <v>36</v>
      </c>
      <c r="C1001" t="s">
        <v>37</v>
      </c>
      <c r="D1001" s="11">
        <v>160000</v>
      </c>
      <c r="E1001">
        <v>0</v>
      </c>
      <c r="F1001" t="s">
        <v>30</v>
      </c>
      <c r="G1001" t="s">
        <v>28</v>
      </c>
      <c r="H1001" t="s">
        <v>18</v>
      </c>
      <c r="I1001">
        <v>3</v>
      </c>
      <c r="J1001" t="s">
        <v>16</v>
      </c>
      <c r="K1001" t="s">
        <v>24</v>
      </c>
      <c r="L1001">
        <v>47</v>
      </c>
      <c r="M1001" t="str">
        <f t="shared" si="15"/>
        <v>MIddleAge</v>
      </c>
      <c r="N1001" t="s">
        <v>15</v>
      </c>
    </row>
  </sheetData>
  <autoFilter ref="CB6:CI251" xr:uid="{00000000-0001-0000-0000-000000000000}"/>
  <conditionalFormatting sqref="A1:A1001">
    <cfRule type="duplicateValues" dxfId="11" priority="11"/>
  </conditionalFormatting>
  <conditionalFormatting sqref="R1">
    <cfRule type="duplicateValues" dxfId="10" priority="10"/>
  </conditionalFormatting>
  <conditionalFormatting sqref="R8">
    <cfRule type="duplicateValues" dxfId="9" priority="9"/>
  </conditionalFormatting>
  <conditionalFormatting sqref="AG1">
    <cfRule type="duplicateValues" dxfId="8" priority="8"/>
  </conditionalFormatting>
  <conditionalFormatting sqref="AG8">
    <cfRule type="duplicateValues" dxfId="7" priority="7"/>
  </conditionalFormatting>
  <conditionalFormatting sqref="AV1">
    <cfRule type="duplicateValues" dxfId="6" priority="6"/>
  </conditionalFormatting>
  <conditionalFormatting sqref="BL1">
    <cfRule type="duplicateValues" dxfId="5" priority="5"/>
  </conditionalFormatting>
  <conditionalFormatting sqref="BL6">
    <cfRule type="duplicateValues" dxfId="4" priority="4"/>
  </conditionalFormatting>
  <conditionalFormatting sqref="CB1">
    <cfRule type="duplicateValues" dxfId="3" priority="3"/>
  </conditionalFormatting>
  <conditionalFormatting sqref="CB6">
    <cfRule type="duplicateValues" dxfId="2" priority="2"/>
  </conditionalFormatting>
  <conditionalFormatting sqref="CK6">
    <cfRule type="duplicateValues" dxfId="1" priority="1"/>
  </conditionalFormatting>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6F8CD-27FB-4D9E-A02A-4A474F965284}">
  <dimension ref="A1:G41"/>
  <sheetViews>
    <sheetView workbookViewId="0">
      <selection activeCell="E28" sqref="E28"/>
    </sheetView>
  </sheetViews>
  <sheetFormatPr defaultRowHeight="15" x14ac:dyDescent="0.25"/>
  <cols>
    <col min="1" max="1" width="17.85546875" bestFit="1" customWidth="1"/>
    <col min="2" max="2" width="16.28515625" bestFit="1" customWidth="1"/>
    <col min="3" max="3" width="8" bestFit="1" customWidth="1"/>
    <col min="4" max="4" width="11.28515625" bestFit="1" customWidth="1"/>
    <col min="5" max="5" width="16.28515625" bestFit="1" customWidth="1"/>
    <col min="6" max="6" width="4.140625" bestFit="1" customWidth="1"/>
    <col min="7" max="7" width="11.28515625" bestFit="1" customWidth="1"/>
  </cols>
  <sheetData>
    <row r="1" spans="1:4" x14ac:dyDescent="0.25">
      <c r="A1" s="2" t="s">
        <v>34</v>
      </c>
      <c r="B1" s="2" t="s">
        <v>40</v>
      </c>
    </row>
    <row r="2" spans="1:4" x14ac:dyDescent="0.25">
      <c r="A2" s="2" t="s">
        <v>32</v>
      </c>
      <c r="B2" t="s">
        <v>18</v>
      </c>
      <c r="C2" t="s">
        <v>15</v>
      </c>
      <c r="D2" t="s">
        <v>33</v>
      </c>
    </row>
    <row r="3" spans="1:4" x14ac:dyDescent="0.25">
      <c r="A3" s="3" t="s">
        <v>37</v>
      </c>
      <c r="B3" s="5">
        <v>53440</v>
      </c>
      <c r="C3" s="5">
        <v>55774.058577405856</v>
      </c>
      <c r="D3" s="5">
        <v>54580.777096114522</v>
      </c>
    </row>
    <row r="4" spans="1:4" x14ac:dyDescent="0.25">
      <c r="A4" s="3" t="s">
        <v>38</v>
      </c>
      <c r="B4" s="5">
        <v>56208.178438661707</v>
      </c>
      <c r="C4" s="5">
        <v>60123.966942148763</v>
      </c>
      <c r="D4" s="5">
        <v>58062.62230919765</v>
      </c>
    </row>
    <row r="5" spans="1:4" x14ac:dyDescent="0.25">
      <c r="A5" s="3" t="s">
        <v>33</v>
      </c>
      <c r="B5" s="5">
        <v>54874.759152215796</v>
      </c>
      <c r="C5" s="5">
        <v>57962.577962577961</v>
      </c>
      <c r="D5" s="5">
        <v>56360</v>
      </c>
    </row>
    <row r="18" spans="4:7" x14ac:dyDescent="0.25">
      <c r="D18" s="2" t="s">
        <v>41</v>
      </c>
      <c r="E18" s="2" t="s">
        <v>40</v>
      </c>
    </row>
    <row r="19" spans="4:7" x14ac:dyDescent="0.25">
      <c r="D19" s="2" t="s">
        <v>32</v>
      </c>
      <c r="E19" t="s">
        <v>18</v>
      </c>
      <c r="F19" t="s">
        <v>15</v>
      </c>
      <c r="G19" t="s">
        <v>33</v>
      </c>
    </row>
    <row r="20" spans="4:7" x14ac:dyDescent="0.25">
      <c r="D20" s="3" t="s">
        <v>16</v>
      </c>
      <c r="E20">
        <v>166</v>
      </c>
      <c r="F20">
        <v>200</v>
      </c>
      <c r="G20">
        <v>366</v>
      </c>
    </row>
    <row r="21" spans="4:7" x14ac:dyDescent="0.25">
      <c r="D21" s="3" t="s">
        <v>26</v>
      </c>
      <c r="E21">
        <v>92</v>
      </c>
      <c r="F21">
        <v>77</v>
      </c>
      <c r="G21">
        <v>169</v>
      </c>
    </row>
    <row r="22" spans="4:7" x14ac:dyDescent="0.25">
      <c r="D22" s="3" t="s">
        <v>22</v>
      </c>
      <c r="E22">
        <v>67</v>
      </c>
      <c r="F22">
        <v>95</v>
      </c>
      <c r="G22">
        <v>162</v>
      </c>
    </row>
    <row r="23" spans="4:7" x14ac:dyDescent="0.25">
      <c r="D23" s="3" t="s">
        <v>23</v>
      </c>
      <c r="E23">
        <v>116</v>
      </c>
      <c r="F23">
        <v>76</v>
      </c>
      <c r="G23">
        <v>192</v>
      </c>
    </row>
    <row r="24" spans="4:7" x14ac:dyDescent="0.25">
      <c r="D24" s="3" t="s">
        <v>42</v>
      </c>
      <c r="E24">
        <v>78</v>
      </c>
      <c r="F24">
        <v>33</v>
      </c>
      <c r="G24">
        <v>111</v>
      </c>
    </row>
    <row r="25" spans="4:7" x14ac:dyDescent="0.25">
      <c r="D25" s="3" t="s">
        <v>33</v>
      </c>
      <c r="E25">
        <v>519</v>
      </c>
      <c r="F25">
        <v>481</v>
      </c>
      <c r="G25">
        <v>1000</v>
      </c>
    </row>
    <row r="36" spans="1:4" x14ac:dyDescent="0.25">
      <c r="A36" s="2" t="s">
        <v>41</v>
      </c>
      <c r="B36" s="2" t="s">
        <v>40</v>
      </c>
    </row>
    <row r="37" spans="1:4" x14ac:dyDescent="0.25">
      <c r="A37" s="2" t="s">
        <v>32</v>
      </c>
      <c r="B37" t="s">
        <v>18</v>
      </c>
      <c r="C37" t="s">
        <v>15</v>
      </c>
      <c r="D37" t="s">
        <v>33</v>
      </c>
    </row>
    <row r="38" spans="1:4" x14ac:dyDescent="0.25">
      <c r="A38" s="3" t="s">
        <v>43</v>
      </c>
      <c r="B38">
        <v>71</v>
      </c>
      <c r="C38">
        <v>39</v>
      </c>
      <c r="D38">
        <v>110</v>
      </c>
    </row>
    <row r="39" spans="1:4" x14ac:dyDescent="0.25">
      <c r="A39" s="3" t="s">
        <v>44</v>
      </c>
      <c r="B39">
        <v>318</v>
      </c>
      <c r="C39">
        <v>383</v>
      </c>
      <c r="D39">
        <v>701</v>
      </c>
    </row>
    <row r="40" spans="1:4" x14ac:dyDescent="0.25">
      <c r="A40" s="3" t="s">
        <v>45</v>
      </c>
      <c r="B40">
        <v>130</v>
      </c>
      <c r="C40">
        <v>59</v>
      </c>
      <c r="D40">
        <v>189</v>
      </c>
    </row>
    <row r="41" spans="1:4" x14ac:dyDescent="0.25">
      <c r="A41" s="3" t="s">
        <v>33</v>
      </c>
      <c r="B41">
        <v>519</v>
      </c>
      <c r="C41">
        <v>481</v>
      </c>
      <c r="D41">
        <v>1000</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EF0A5-F9BA-4D1D-9BB5-80E288B5467B}">
  <dimension ref="A1"/>
  <sheetViews>
    <sheetView showGridLines="0" workbookViewId="0">
      <selection activeCell="E38" sqref="E38"/>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bike_buyers</vt:lpstr>
      <vt:lpstr>Pivot Tables</vt:lpstr>
      <vt:lpstr>Dashboard</vt:lpstr>
      <vt:lpstr>bike_buyers!Criteria</vt:lpstr>
      <vt:lpstr>bike_buyers!Extract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lucica</dc:creator>
  <cp:lastModifiedBy>Fecioru .</cp:lastModifiedBy>
  <dcterms:created xsi:type="dcterms:W3CDTF">2022-03-18T02:50:57Z</dcterms:created>
  <dcterms:modified xsi:type="dcterms:W3CDTF">2026-07-25T22:19:32Z</dcterms:modified>
</cp:coreProperties>
</file>